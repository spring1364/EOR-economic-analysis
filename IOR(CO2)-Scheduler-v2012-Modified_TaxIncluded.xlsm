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showInkAnnotation="0" codeName="ThisWorkbook" hidePivotFieldList="1"/>
  <mc:AlternateContent xmlns:mc="http://schemas.openxmlformats.org/markup-compatibility/2006">
    <mc:Choice Requires="x15">
      <x15ac:absPath xmlns:x15ac="http://schemas.microsoft.com/office/spreadsheetml/2010/11/ac" url="E:\Courses Files\Python and Machine Learning\Economic with Pandas\"/>
    </mc:Choice>
  </mc:AlternateContent>
  <xr:revisionPtr revIDLastSave="0" documentId="13_ncr:1_{5DC6DAE5-25FD-4F32-BBC8-316620F94B19}" xr6:coauthVersionLast="43" xr6:coauthVersionMax="43" xr10:uidLastSave="{00000000-0000-0000-0000-000000000000}"/>
  <bookViews>
    <workbookView xWindow="-120" yWindow="-120" windowWidth="20730" windowHeight="11160" tabRatio="731" activeTab="2" xr2:uid="{00000000-000D-0000-FFFF-FFFF00000000}"/>
  </bookViews>
  <sheets>
    <sheet name="General Info" sheetId="196" r:id="rId1"/>
    <sheet name="IN_DATA" sheetId="192" r:id="rId2"/>
    <sheet name="Economics Summary" sheetId="193" r:id="rId3"/>
    <sheet name="OpCost" sheetId="14" r:id="rId4"/>
    <sheet name="Reference-Crown Royalties" sheetId="191" r:id="rId5"/>
    <sheet name="Experimental Design" sheetId="194" r:id="rId6"/>
    <sheet name="Results Summary" sheetId="197" r:id="rId7"/>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dd_me">'Economics Summary'!#REF!</definedName>
    <definedName name="CO2_Incentive">'Economics Summary'!$R$9</definedName>
    <definedName name="CO2_PercenatgeStorage">'Economics Summary'!$X$21:$X$220</definedName>
    <definedName name="CO2_Price" localSheetId="2">#REF!</definedName>
    <definedName name="CO2_Price">#REF!</definedName>
    <definedName name="CO2_Royalty_Factor">'Economics Summary'!$R$8</definedName>
    <definedName name="CO2_StoredMass">'Economics Summary'!$Z$21:$Z$220</definedName>
    <definedName name="CO2_StoredVol">'Economics Summary'!$Y$21:$Y$120</definedName>
    <definedName name="Cum_Gas">'Economics Summary'!$G$20</definedName>
    <definedName name="Cum_Oil">'Economics Summary'!$F$20</definedName>
    <definedName name="dis_rate" localSheetId="2">#REF!</definedName>
    <definedName name="dis_rate">#REF!</definedName>
    <definedName name="EOR_tax_Credit" localSheetId="2">#REF!</definedName>
    <definedName name="EOR_tax_Credit">#REF!</definedName>
    <definedName name="Fed_Tax_Rate" localSheetId="2">#REF!</definedName>
    <definedName name="Fed_Tax_Rate">#REF!</definedName>
    <definedName name="FPF">'Economics Summary'!$R$7</definedName>
    <definedName name="Frc_Dir">IN_DATA!$M$4</definedName>
    <definedName name="Frc_HFL">IN_DATA!$O$4</definedName>
    <definedName name="FrcStage_Cost">'Economics Summary'!$G$8</definedName>
    <definedName name="Inflation_Rate" localSheetId="2">#REF!</definedName>
    <definedName name="Inflation_Rate">#REF!</definedName>
    <definedName name="lift_cost" localSheetId="2">#REF!</definedName>
    <definedName name="lift_cost">#REF!</definedName>
    <definedName name="max_gas_price">'Economics Summary'!$M$7</definedName>
    <definedName name="max_NGL_price">'Economics Summary'!$M$8</definedName>
    <definedName name="max_oil_price">'Economics Summary'!$M$6</definedName>
    <definedName name="min_gas_price">'Economics Summary'!$N$7</definedName>
    <definedName name="min_NGL_price">'Economics Summary'!$N$8</definedName>
    <definedName name="min_oil_price">'Economics Summary'!$N$6</definedName>
    <definedName name="N_Frc">IN_DATA!$N$4</definedName>
    <definedName name="N_Well">IN_DATA!$L$4</definedName>
    <definedName name="NPV_DiscountRate">'Economics Summary'!$A$6</definedName>
    <definedName name="OCF">'Economics Summary'!$R$6</definedName>
    <definedName name="Oil_Price" localSheetId="2">#REF!</definedName>
    <definedName name="Oil_Price">#REF!</definedName>
    <definedName name="Op_cost_inf" localSheetId="2">#REF!</definedName>
    <definedName name="Op_cost_inf">#REF!</definedName>
    <definedName name="Pal_Workbook_GUID" hidden="1">"KAQY98WJK85SRW84MSWH9E4K"</definedName>
    <definedName name="Rec_Cost" localSheetId="2">#REF!</definedName>
    <definedName name="Rec_Cost">#REF!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yalty" localSheetId="2">#REF!</definedName>
    <definedName name="Royalty">#REF!</definedName>
    <definedName name="Tax_Rate">'Economics Summary'!$C$6</definedName>
    <definedName name="Total_invet" localSheetId="2">#REF!</definedName>
    <definedName name="Total_invet">#REF!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0" i="14" l="1"/>
  <c r="D21" i="193"/>
  <c r="M10" i="196" l="1"/>
  <c r="O4" i="197"/>
  <c r="O10" i="197" s="1"/>
  <c r="M4" i="197"/>
  <c r="M10" i="197" s="1"/>
  <c r="I4" i="197"/>
  <c r="I10" i="197" s="1"/>
  <c r="G4" i="197"/>
  <c r="G10" i="197" s="1"/>
  <c r="C4" i="197"/>
  <c r="C10" i="197" s="1"/>
  <c r="A4" i="197"/>
  <c r="A10" i="197" s="1"/>
  <c r="E125" i="193"/>
  <c r="E126" i="193"/>
  <c r="E127" i="193"/>
  <c r="E128" i="193"/>
  <c r="E129" i="193"/>
  <c r="E130" i="193"/>
  <c r="E131" i="193"/>
  <c r="E132" i="193"/>
  <c r="E133" i="193"/>
  <c r="E134" i="193"/>
  <c r="E135" i="193"/>
  <c r="E136" i="193"/>
  <c r="E137" i="193"/>
  <c r="E138" i="193"/>
  <c r="E139" i="193"/>
  <c r="E140" i="193"/>
  <c r="E141" i="193"/>
  <c r="E142" i="193"/>
  <c r="E143" i="193"/>
  <c r="E144" i="193"/>
  <c r="E145" i="193"/>
  <c r="E146" i="193"/>
  <c r="E147" i="193"/>
  <c r="E148" i="193"/>
  <c r="E149" i="193"/>
  <c r="E150" i="193"/>
  <c r="E151" i="193"/>
  <c r="E152" i="193"/>
  <c r="E153" i="193"/>
  <c r="E154" i="193"/>
  <c r="E155" i="193"/>
  <c r="E156" i="193"/>
  <c r="E157" i="193"/>
  <c r="E158" i="193"/>
  <c r="E159" i="193"/>
  <c r="E160" i="193"/>
  <c r="E161" i="193"/>
  <c r="E162" i="193"/>
  <c r="E163" i="193"/>
  <c r="E164" i="193"/>
  <c r="E165" i="193"/>
  <c r="E166" i="193"/>
  <c r="E167" i="193"/>
  <c r="E168" i="193"/>
  <c r="E169" i="193"/>
  <c r="E170" i="193"/>
  <c r="E171" i="193"/>
  <c r="E172" i="193"/>
  <c r="E173" i="193"/>
  <c r="E174" i="193"/>
  <c r="E175" i="193"/>
  <c r="E176" i="193"/>
  <c r="E177" i="193"/>
  <c r="E178" i="193"/>
  <c r="E179" i="193"/>
  <c r="E180" i="193"/>
  <c r="E181" i="193"/>
  <c r="E182" i="193"/>
  <c r="E183" i="193"/>
  <c r="E184" i="193"/>
  <c r="E185" i="193"/>
  <c r="E186" i="193"/>
  <c r="E187" i="193"/>
  <c r="E188" i="193"/>
  <c r="E189" i="193"/>
  <c r="E190" i="193"/>
  <c r="E191" i="193"/>
  <c r="E192" i="193"/>
  <c r="E193" i="193"/>
  <c r="E194" i="193"/>
  <c r="E195" i="193"/>
  <c r="E196" i="193"/>
  <c r="E197" i="193"/>
  <c r="E198" i="193"/>
  <c r="E199" i="193"/>
  <c r="E200" i="193"/>
  <c r="E201" i="193"/>
  <c r="E202" i="193"/>
  <c r="E203" i="193"/>
  <c r="E204" i="193"/>
  <c r="E205" i="193"/>
  <c r="E206" i="193"/>
  <c r="E207" i="193"/>
  <c r="E208" i="193"/>
  <c r="E209" i="193"/>
  <c r="E210" i="193"/>
  <c r="E211" i="193"/>
  <c r="E212" i="193"/>
  <c r="E213" i="193"/>
  <c r="E214" i="193"/>
  <c r="E215" i="193"/>
  <c r="E216" i="193"/>
  <c r="E217" i="193"/>
  <c r="E218" i="193"/>
  <c r="E219" i="193"/>
  <c r="E220" i="193"/>
  <c r="D125" i="193"/>
  <c r="D126" i="193"/>
  <c r="D127" i="193"/>
  <c r="D128" i="193"/>
  <c r="D129" i="193"/>
  <c r="D130" i="193"/>
  <c r="D131" i="193"/>
  <c r="D132" i="193"/>
  <c r="D133" i="193"/>
  <c r="D134" i="193"/>
  <c r="D135" i="193"/>
  <c r="D136" i="193"/>
  <c r="D137" i="193"/>
  <c r="D138" i="193"/>
  <c r="D139" i="193"/>
  <c r="D140" i="193"/>
  <c r="D141" i="193"/>
  <c r="D142" i="193"/>
  <c r="D143" i="193"/>
  <c r="D144" i="193"/>
  <c r="D145" i="193"/>
  <c r="D146" i="193"/>
  <c r="D147" i="193"/>
  <c r="D148" i="193"/>
  <c r="D149" i="193"/>
  <c r="D150" i="193"/>
  <c r="D151" i="193"/>
  <c r="D152" i="193"/>
  <c r="D153" i="193"/>
  <c r="D154" i="193"/>
  <c r="D155" i="193"/>
  <c r="D156" i="193"/>
  <c r="D157" i="193"/>
  <c r="D158" i="193"/>
  <c r="D159" i="193"/>
  <c r="D160" i="193"/>
  <c r="D161" i="193"/>
  <c r="D162" i="193"/>
  <c r="D163" i="193"/>
  <c r="D164" i="193"/>
  <c r="D165" i="193"/>
  <c r="D166" i="193"/>
  <c r="D167" i="193"/>
  <c r="D168" i="193"/>
  <c r="D169" i="193"/>
  <c r="D170" i="193"/>
  <c r="D171" i="193"/>
  <c r="D172" i="193"/>
  <c r="D173" i="193"/>
  <c r="D174" i="193"/>
  <c r="D175" i="193"/>
  <c r="D176" i="193"/>
  <c r="D177" i="193"/>
  <c r="D178" i="193"/>
  <c r="D179" i="193"/>
  <c r="D180" i="193"/>
  <c r="D181" i="193"/>
  <c r="D182" i="193"/>
  <c r="D183" i="193"/>
  <c r="D184" i="193"/>
  <c r="D185" i="193"/>
  <c r="D186" i="193"/>
  <c r="D187" i="193"/>
  <c r="D188" i="193"/>
  <c r="D189" i="193"/>
  <c r="D190" i="193"/>
  <c r="D191" i="193"/>
  <c r="D192" i="193"/>
  <c r="D193" i="193"/>
  <c r="D194" i="193"/>
  <c r="D195" i="193"/>
  <c r="D196" i="193"/>
  <c r="D197" i="193"/>
  <c r="D198" i="193"/>
  <c r="D199" i="193"/>
  <c r="D200" i="193"/>
  <c r="D201" i="193"/>
  <c r="D202" i="193"/>
  <c r="D203" i="193"/>
  <c r="D204" i="193"/>
  <c r="D205" i="193"/>
  <c r="D206" i="193"/>
  <c r="D207" i="193"/>
  <c r="D208" i="193"/>
  <c r="D209" i="193"/>
  <c r="D210" i="193"/>
  <c r="D211" i="193"/>
  <c r="D212" i="193"/>
  <c r="D213" i="193"/>
  <c r="D214" i="193"/>
  <c r="D215" i="193"/>
  <c r="D216" i="193"/>
  <c r="D217" i="193"/>
  <c r="D218" i="193"/>
  <c r="D219" i="193"/>
  <c r="D220" i="193"/>
  <c r="C125" i="193"/>
  <c r="C126" i="193"/>
  <c r="C127" i="193"/>
  <c r="C128" i="193"/>
  <c r="C129" i="193"/>
  <c r="C130" i="193"/>
  <c r="C131" i="193"/>
  <c r="C132" i="193"/>
  <c r="C133" i="193"/>
  <c r="C134" i="193"/>
  <c r="C135" i="193"/>
  <c r="C136" i="193"/>
  <c r="C137" i="193"/>
  <c r="C138" i="193"/>
  <c r="C139" i="193"/>
  <c r="C140" i="193"/>
  <c r="C141" i="193"/>
  <c r="C142" i="193"/>
  <c r="C143" i="193"/>
  <c r="C144" i="193"/>
  <c r="C145" i="193"/>
  <c r="C146" i="193"/>
  <c r="C147" i="193"/>
  <c r="C148" i="193"/>
  <c r="C149" i="193"/>
  <c r="C150" i="193"/>
  <c r="C151" i="193"/>
  <c r="C152" i="193"/>
  <c r="C153" i="193"/>
  <c r="C154" i="193"/>
  <c r="C155" i="193"/>
  <c r="C156" i="193"/>
  <c r="C157" i="193"/>
  <c r="C158" i="193"/>
  <c r="C159" i="193"/>
  <c r="C160" i="193"/>
  <c r="C161" i="193"/>
  <c r="C162" i="193"/>
  <c r="C163" i="193"/>
  <c r="C164" i="193"/>
  <c r="C165" i="193"/>
  <c r="C166" i="193"/>
  <c r="C167" i="193"/>
  <c r="C168" i="193"/>
  <c r="C169" i="193"/>
  <c r="C170" i="193"/>
  <c r="C171" i="193"/>
  <c r="C172" i="193"/>
  <c r="C173" i="193"/>
  <c r="C174" i="193"/>
  <c r="C175" i="193"/>
  <c r="C176" i="193"/>
  <c r="C177" i="193"/>
  <c r="C178" i="193"/>
  <c r="C179" i="193"/>
  <c r="C180" i="193"/>
  <c r="C181" i="193"/>
  <c r="C182" i="193"/>
  <c r="C183" i="193"/>
  <c r="C184" i="193"/>
  <c r="C185" i="193"/>
  <c r="C186" i="193"/>
  <c r="C187" i="193"/>
  <c r="C188" i="193"/>
  <c r="C189" i="193"/>
  <c r="C190" i="193"/>
  <c r="C191" i="193"/>
  <c r="C192" i="193"/>
  <c r="C193" i="193"/>
  <c r="C194" i="193"/>
  <c r="C195" i="193"/>
  <c r="C196" i="193"/>
  <c r="C197" i="193"/>
  <c r="C198" i="193"/>
  <c r="C199" i="193"/>
  <c r="C200" i="193"/>
  <c r="C201" i="193"/>
  <c r="C202" i="193"/>
  <c r="C203" i="193"/>
  <c r="C204" i="193"/>
  <c r="C205" i="193"/>
  <c r="C206" i="193"/>
  <c r="C207" i="193"/>
  <c r="C208" i="193"/>
  <c r="C209" i="193"/>
  <c r="C210" i="193"/>
  <c r="C211" i="193"/>
  <c r="C212" i="193"/>
  <c r="C213" i="193"/>
  <c r="C214" i="193"/>
  <c r="C215" i="193"/>
  <c r="C216" i="193"/>
  <c r="C217" i="193"/>
  <c r="C218" i="193"/>
  <c r="C219" i="193"/>
  <c r="C220" i="193"/>
  <c r="E21" i="193"/>
  <c r="E22" i="193" s="1"/>
  <c r="E23" i="193" s="1"/>
  <c r="E24" i="193" s="1"/>
  <c r="E25" i="193" s="1"/>
  <c r="E26" i="193" s="1"/>
  <c r="E27" i="193" s="1"/>
  <c r="E28" i="193" s="1"/>
  <c r="E29" i="193" s="1"/>
  <c r="E30" i="193" s="1"/>
  <c r="E31" i="193" s="1"/>
  <c r="D44" i="193"/>
  <c r="D97" i="193"/>
  <c r="D98" i="193"/>
  <c r="C21" i="193"/>
  <c r="C44" i="193"/>
  <c r="P6" i="192"/>
  <c r="P7" i="192"/>
  <c r="R7" i="192"/>
  <c r="P8" i="192"/>
  <c r="C13" i="14" s="1"/>
  <c r="H13" i="14" s="1"/>
  <c r="Q13" i="14" s="1"/>
  <c r="Y13" i="14" s="1"/>
  <c r="P9" i="192"/>
  <c r="P10" i="192"/>
  <c r="S10" i="192" s="1"/>
  <c r="P11" i="192"/>
  <c r="P12" i="192"/>
  <c r="P13" i="192"/>
  <c r="P14" i="192"/>
  <c r="C19" i="14" s="1"/>
  <c r="P15" i="192"/>
  <c r="C20" i="14" s="1"/>
  <c r="N20" i="14" s="1"/>
  <c r="P16" i="192"/>
  <c r="P17" i="192"/>
  <c r="P18" i="192"/>
  <c r="C23" i="14" s="1"/>
  <c r="P19" i="192"/>
  <c r="C24" i="14" s="1"/>
  <c r="P20" i="192"/>
  <c r="C25" i="14" s="1"/>
  <c r="R20" i="192"/>
  <c r="P21" i="192"/>
  <c r="C26" i="14" s="1"/>
  <c r="P22" i="192"/>
  <c r="C27" i="14" s="1"/>
  <c r="G27" i="14" s="1"/>
  <c r="P23" i="192"/>
  <c r="P24" i="192"/>
  <c r="P25" i="192"/>
  <c r="C30" i="14" s="1"/>
  <c r="P26" i="192"/>
  <c r="C31" i="14" s="1"/>
  <c r="P27" i="192"/>
  <c r="P28" i="192"/>
  <c r="P29" i="192"/>
  <c r="C34" i="14" s="1"/>
  <c r="K34" i="14" s="1"/>
  <c r="P30" i="192"/>
  <c r="C35" i="14" s="1"/>
  <c r="I35" i="14" s="1"/>
  <c r="P31" i="192"/>
  <c r="C36" i="14" s="1"/>
  <c r="P32" i="192"/>
  <c r="P33" i="192"/>
  <c r="C38" i="14" s="1"/>
  <c r="R33" i="192"/>
  <c r="P34" i="192"/>
  <c r="C39" i="14" s="1"/>
  <c r="P35" i="192"/>
  <c r="P36" i="192"/>
  <c r="C41" i="14" s="1"/>
  <c r="O41" i="14" s="1"/>
  <c r="P37" i="192"/>
  <c r="C42" i="14" s="1"/>
  <c r="P38" i="192"/>
  <c r="P39" i="192"/>
  <c r="P40" i="192"/>
  <c r="C45" i="14" s="1"/>
  <c r="G45" i="14" s="1"/>
  <c r="P41" i="192"/>
  <c r="C46" i="14" s="1"/>
  <c r="R41" i="192"/>
  <c r="P42" i="192"/>
  <c r="P43" i="192"/>
  <c r="C48" i="14" s="1"/>
  <c r="W48" i="14" s="1"/>
  <c r="P44" i="192"/>
  <c r="C49" i="14" s="1"/>
  <c r="P45" i="192"/>
  <c r="C50" i="14" s="1"/>
  <c r="V50" i="14" s="1"/>
  <c r="P46" i="192"/>
  <c r="P47" i="192"/>
  <c r="C52" i="14" s="1"/>
  <c r="Z52" i="14" s="1"/>
  <c r="P48" i="192"/>
  <c r="C53" i="14" s="1"/>
  <c r="P49" i="192"/>
  <c r="C54" i="14" s="1"/>
  <c r="P50" i="192"/>
  <c r="P51" i="192"/>
  <c r="C56" i="14" s="1"/>
  <c r="P52" i="192"/>
  <c r="C57" i="14" s="1"/>
  <c r="P53" i="192"/>
  <c r="C58" i="14" s="1"/>
  <c r="P54" i="192"/>
  <c r="C59" i="14" s="1"/>
  <c r="S59" i="14" s="1"/>
  <c r="P55" i="192"/>
  <c r="C60" i="14" s="1"/>
  <c r="I60" i="14" s="1"/>
  <c r="P56" i="192"/>
  <c r="C61" i="14" s="1"/>
  <c r="P57" i="192"/>
  <c r="C62" i="14" s="1"/>
  <c r="P58" i="192"/>
  <c r="C63" i="14" s="1"/>
  <c r="W63" i="14" s="1"/>
  <c r="P59" i="192"/>
  <c r="C64" i="14" s="1"/>
  <c r="P60" i="192"/>
  <c r="C65" i="14" s="1"/>
  <c r="K65" i="14" s="1"/>
  <c r="P61" i="192"/>
  <c r="P62" i="192"/>
  <c r="C67" i="14" s="1"/>
  <c r="I67" i="14" s="1"/>
  <c r="P63" i="192"/>
  <c r="C68" i="14"/>
  <c r="Z68" i="14" s="1"/>
  <c r="P64" i="192"/>
  <c r="P65" i="192"/>
  <c r="C70" i="14" s="1"/>
  <c r="N70" i="14" s="1"/>
  <c r="P66" i="192"/>
  <c r="C71" i="14" s="1"/>
  <c r="AA71" i="14" s="1"/>
  <c r="P67" i="192"/>
  <c r="C72" i="14" s="1"/>
  <c r="H72" i="14" s="1"/>
  <c r="P68" i="192"/>
  <c r="C73" i="14" s="1"/>
  <c r="X73" i="14" s="1"/>
  <c r="P69" i="192"/>
  <c r="C74" i="14" s="1"/>
  <c r="N74" i="14" s="1"/>
  <c r="P70" i="192"/>
  <c r="C75" i="14" s="1"/>
  <c r="P71" i="192"/>
  <c r="C76" i="14" s="1"/>
  <c r="Z76" i="14" s="1"/>
  <c r="P72" i="192"/>
  <c r="C77" i="14" s="1"/>
  <c r="P73" i="192"/>
  <c r="C78" i="14" s="1"/>
  <c r="P78" i="14" s="1"/>
  <c r="P74" i="192"/>
  <c r="C79" i="14" s="1"/>
  <c r="P75" i="192"/>
  <c r="C80" i="14" s="1"/>
  <c r="J80" i="14" s="1"/>
  <c r="P76" i="192"/>
  <c r="C81" i="14" s="1"/>
  <c r="O81" i="14" s="1"/>
  <c r="P77" i="192"/>
  <c r="C82" i="14" s="1"/>
  <c r="V82" i="14" s="1"/>
  <c r="P78" i="192"/>
  <c r="C83" i="14" s="1"/>
  <c r="H83" i="14" s="1"/>
  <c r="P79" i="192"/>
  <c r="C84" i="14" s="1"/>
  <c r="P80" i="192"/>
  <c r="C85" i="14" s="1"/>
  <c r="P81" i="192"/>
  <c r="C86" i="14" s="1"/>
  <c r="I86" i="14" s="1"/>
  <c r="P82" i="192"/>
  <c r="C87" i="14" s="1"/>
  <c r="P87" i="14" s="1"/>
  <c r="P83" i="192"/>
  <c r="C88" i="14" s="1"/>
  <c r="P84" i="192"/>
  <c r="C89" i="14" s="1"/>
  <c r="P85" i="192"/>
  <c r="C90" i="14" s="1"/>
  <c r="S85" i="192"/>
  <c r="P86" i="192"/>
  <c r="C91" i="14" s="1"/>
  <c r="L91" i="14" s="1"/>
  <c r="P87" i="192"/>
  <c r="C92" i="14" s="1"/>
  <c r="P88" i="192"/>
  <c r="C93" i="14" s="1"/>
  <c r="P89" i="192"/>
  <c r="C94" i="14" s="1"/>
  <c r="P90" i="192"/>
  <c r="C95" i="14" s="1"/>
  <c r="O95" i="14" s="1"/>
  <c r="P91" i="192"/>
  <c r="C96" i="14" s="1"/>
  <c r="P92" i="192"/>
  <c r="C97" i="14" s="1"/>
  <c r="O97" i="14" s="1"/>
  <c r="P93" i="192"/>
  <c r="C98" i="14" s="1"/>
  <c r="P94" i="192"/>
  <c r="C99" i="14" s="1"/>
  <c r="P95" i="192"/>
  <c r="C100" i="14" s="1"/>
  <c r="H100" i="14" s="1"/>
  <c r="P96" i="192"/>
  <c r="C101" i="14" s="1"/>
  <c r="P97" i="192"/>
  <c r="C102" i="14" s="1"/>
  <c r="P98" i="192"/>
  <c r="C103" i="14" s="1"/>
  <c r="P99" i="192"/>
  <c r="C104" i="14" s="1"/>
  <c r="P100" i="192"/>
  <c r="C105" i="14" s="1"/>
  <c r="T105" i="14" s="1"/>
  <c r="P101" i="192"/>
  <c r="C106" i="14" s="1"/>
  <c r="P102" i="192"/>
  <c r="C107" i="14" s="1"/>
  <c r="P103" i="192"/>
  <c r="C108" i="14" s="1"/>
  <c r="P104" i="192"/>
  <c r="C109" i="14" s="1"/>
  <c r="U109" i="14" s="1"/>
  <c r="P105" i="192"/>
  <c r="C110" i="14" s="1"/>
  <c r="P106" i="192"/>
  <c r="C111" i="14" s="1"/>
  <c r="N111" i="14" s="1"/>
  <c r="P107" i="192"/>
  <c r="C112" i="14" s="1"/>
  <c r="AD112" i="14" s="1"/>
  <c r="P108" i="192"/>
  <c r="C113" i="14" s="1"/>
  <c r="R113" i="14" s="1"/>
  <c r="P109" i="192"/>
  <c r="C114" i="14" s="1"/>
  <c r="P110" i="192"/>
  <c r="C115" i="14" s="1"/>
  <c r="AE115" i="14" s="1"/>
  <c r="O126" i="193" s="1"/>
  <c r="G126" i="193" s="1"/>
  <c r="J126" i="193" s="1"/>
  <c r="P111" i="192"/>
  <c r="C116" i="14" s="1"/>
  <c r="P112" i="192"/>
  <c r="C117" i="14" s="1"/>
  <c r="AB117" i="14" s="1"/>
  <c r="P113" i="192"/>
  <c r="C118" i="14" s="1"/>
  <c r="P114" i="192"/>
  <c r="C119" i="14" s="1"/>
  <c r="N119" i="14" s="1"/>
  <c r="P115" i="192"/>
  <c r="C120" i="14" s="1"/>
  <c r="AC120" i="14" s="1"/>
  <c r="P116" i="192"/>
  <c r="C121" i="14" s="1"/>
  <c r="P121" i="14" s="1"/>
  <c r="P117" i="192"/>
  <c r="C122" i="14" s="1"/>
  <c r="P118" i="192"/>
  <c r="C123" i="14" s="1"/>
  <c r="Z123" i="14" s="1"/>
  <c r="P119" i="192"/>
  <c r="C124" i="14" s="1"/>
  <c r="P120" i="192"/>
  <c r="C125" i="14" s="1"/>
  <c r="U125" i="14" s="1"/>
  <c r="P121" i="192"/>
  <c r="C126" i="14" s="1"/>
  <c r="P122" i="192"/>
  <c r="C127" i="14" s="1"/>
  <c r="X127" i="14" s="1"/>
  <c r="P123" i="192"/>
  <c r="C128" i="14" s="1"/>
  <c r="P124" i="192"/>
  <c r="C129" i="14" s="1"/>
  <c r="P125" i="192"/>
  <c r="C130" i="14" s="1"/>
  <c r="P126" i="192"/>
  <c r="C131" i="14" s="1"/>
  <c r="P127" i="192"/>
  <c r="C132" i="14" s="1"/>
  <c r="P128" i="192"/>
  <c r="C133" i="14" s="1"/>
  <c r="P129" i="192"/>
  <c r="C134" i="14" s="1"/>
  <c r="AB134" i="14" s="1"/>
  <c r="P130" i="192"/>
  <c r="C135" i="14" s="1"/>
  <c r="P131" i="192"/>
  <c r="C136" i="14" s="1"/>
  <c r="P132" i="192"/>
  <c r="C137" i="14" s="1"/>
  <c r="N137" i="14" s="1"/>
  <c r="P133" i="192"/>
  <c r="C138" i="14" s="1"/>
  <c r="T138" i="14" s="1"/>
  <c r="P134" i="192"/>
  <c r="C139" i="14" s="1"/>
  <c r="H139" i="14" s="1"/>
  <c r="P135" i="192"/>
  <c r="C140" i="14" s="1"/>
  <c r="P136" i="192"/>
  <c r="C141" i="14"/>
  <c r="P137" i="192"/>
  <c r="C142" i="14" s="1"/>
  <c r="K142" i="14" s="1"/>
  <c r="P138" i="192"/>
  <c r="C143" i="14" s="1"/>
  <c r="P139" i="192"/>
  <c r="C144" i="14" s="1"/>
  <c r="P140" i="192"/>
  <c r="C145" i="14" s="1"/>
  <c r="P141" i="192"/>
  <c r="C146" i="14" s="1"/>
  <c r="P142" i="192"/>
  <c r="C147" i="14" s="1"/>
  <c r="Q147" i="14" s="1"/>
  <c r="P143" i="192"/>
  <c r="C148" i="14" s="1"/>
  <c r="G148" i="14" s="1"/>
  <c r="P144" i="192"/>
  <c r="C149" i="14" s="1"/>
  <c r="I149" i="14" s="1"/>
  <c r="P145" i="192"/>
  <c r="C150" i="14" s="1"/>
  <c r="P146" i="192"/>
  <c r="C151" i="14" s="1"/>
  <c r="P147" i="192"/>
  <c r="C152" i="14" s="1"/>
  <c r="P148" i="192"/>
  <c r="C153" i="14" s="1"/>
  <c r="J153" i="14" s="1"/>
  <c r="P149" i="192"/>
  <c r="C154" i="14" s="1"/>
  <c r="P150" i="192"/>
  <c r="C155" i="14" s="1"/>
  <c r="R155" i="14" s="1"/>
  <c r="P151" i="192"/>
  <c r="C156" i="14" s="1"/>
  <c r="P152" i="192"/>
  <c r="C157" i="14" s="1"/>
  <c r="P153" i="192"/>
  <c r="C158" i="14" s="1"/>
  <c r="X158" i="14" s="1"/>
  <c r="P154" i="192"/>
  <c r="C159" i="14" s="1"/>
  <c r="U159" i="14" s="1"/>
  <c r="P155" i="192"/>
  <c r="C160" i="14" s="1"/>
  <c r="P156" i="192"/>
  <c r="C161" i="14" s="1"/>
  <c r="P157" i="192"/>
  <c r="C162" i="14" s="1"/>
  <c r="P158" i="192"/>
  <c r="C163" i="14" s="1"/>
  <c r="P159" i="192"/>
  <c r="C164" i="14" s="1"/>
  <c r="P160" i="192"/>
  <c r="C165" i="14" s="1"/>
  <c r="P161" i="192"/>
  <c r="C166" i="14" s="1"/>
  <c r="P162" i="192"/>
  <c r="C167" i="14" s="1"/>
  <c r="P163" i="192"/>
  <c r="C168" i="14" s="1"/>
  <c r="P164" i="192"/>
  <c r="C169" i="14"/>
  <c r="P165" i="192"/>
  <c r="C170" i="14" s="1"/>
  <c r="X170" i="14" s="1"/>
  <c r="P166" i="192"/>
  <c r="C171" i="14" s="1"/>
  <c r="P167" i="192"/>
  <c r="C172" i="14" s="1"/>
  <c r="AC172" i="14" s="1"/>
  <c r="P168" i="192"/>
  <c r="C173" i="14" s="1"/>
  <c r="P169" i="192"/>
  <c r="C174" i="14" s="1"/>
  <c r="U174" i="14" s="1"/>
  <c r="P170" i="192"/>
  <c r="C175" i="14" s="1"/>
  <c r="P171" i="192"/>
  <c r="C176" i="14" s="1"/>
  <c r="P172" i="192"/>
  <c r="C177" i="14" s="1"/>
  <c r="P173" i="192"/>
  <c r="C178" i="14" s="1"/>
  <c r="P174" i="192"/>
  <c r="C179" i="14" s="1"/>
  <c r="P175" i="192"/>
  <c r="C180" i="14" s="1"/>
  <c r="P176" i="192"/>
  <c r="C181" i="14" s="1"/>
  <c r="P177" i="192"/>
  <c r="C182" i="14" s="1"/>
  <c r="P178" i="192"/>
  <c r="C183" i="14" s="1"/>
  <c r="P179" i="192"/>
  <c r="C184" i="14" s="1"/>
  <c r="P180" i="192"/>
  <c r="C185" i="14" s="1"/>
  <c r="U185" i="14" s="1"/>
  <c r="P181" i="192"/>
  <c r="C186" i="14" s="1"/>
  <c r="P182" i="192"/>
  <c r="C187" i="14" s="1"/>
  <c r="P183" i="192"/>
  <c r="C188" i="14" s="1"/>
  <c r="P184" i="192"/>
  <c r="C189" i="14"/>
  <c r="P185" i="192"/>
  <c r="C190" i="14" s="1"/>
  <c r="Z190" i="14" s="1"/>
  <c r="P186" i="192"/>
  <c r="C191" i="14" s="1"/>
  <c r="P187" i="192"/>
  <c r="C192" i="14" s="1"/>
  <c r="P188" i="192"/>
  <c r="C193" i="14" s="1"/>
  <c r="P189" i="192"/>
  <c r="C194" i="14" s="1"/>
  <c r="P190" i="192"/>
  <c r="C195" i="14" s="1"/>
  <c r="P191" i="192"/>
  <c r="C196" i="14"/>
  <c r="AD196" i="14" s="1"/>
  <c r="P192" i="192"/>
  <c r="C197" i="14" s="1"/>
  <c r="P193" i="192"/>
  <c r="C198" i="14" s="1"/>
  <c r="R198" i="14" s="1"/>
  <c r="P194" i="192"/>
  <c r="C199" i="14" s="1"/>
  <c r="Y199" i="14" s="1"/>
  <c r="P195" i="192"/>
  <c r="C200" i="14" s="1"/>
  <c r="P196" i="192"/>
  <c r="C201" i="14" s="1"/>
  <c r="P197" i="192"/>
  <c r="C202" i="14" s="1"/>
  <c r="O202" i="14" s="1"/>
  <c r="P198" i="192"/>
  <c r="C203" i="14" s="1"/>
  <c r="Y203" i="14" s="1"/>
  <c r="P199" i="192"/>
  <c r="C204" i="14" s="1"/>
  <c r="R204" i="14" s="1"/>
  <c r="P200" i="192"/>
  <c r="C205" i="14" s="1"/>
  <c r="P201" i="192"/>
  <c r="C206" i="14" s="1"/>
  <c r="I206" i="14" s="1"/>
  <c r="P202" i="192"/>
  <c r="C207" i="14" s="1"/>
  <c r="L207" i="14" s="1"/>
  <c r="P203" i="192"/>
  <c r="C208" i="14" s="1"/>
  <c r="P204" i="192"/>
  <c r="C209" i="14" s="1"/>
  <c r="P5" i="192"/>
  <c r="T109" i="192"/>
  <c r="T110" i="192"/>
  <c r="T111" i="192"/>
  <c r="T112" i="192"/>
  <c r="T113" i="192"/>
  <c r="T114" i="192"/>
  <c r="T115" i="192"/>
  <c r="T116" i="192"/>
  <c r="T117" i="192"/>
  <c r="T118" i="192"/>
  <c r="T119" i="192"/>
  <c r="T120" i="192"/>
  <c r="T121" i="192"/>
  <c r="T122" i="192"/>
  <c r="T123" i="192"/>
  <c r="T124" i="192"/>
  <c r="T125" i="192"/>
  <c r="T126" i="192"/>
  <c r="T127" i="192"/>
  <c r="T128" i="192"/>
  <c r="T129" i="192"/>
  <c r="T130" i="192"/>
  <c r="T131" i="192"/>
  <c r="T132" i="192"/>
  <c r="T133" i="192"/>
  <c r="T134" i="192"/>
  <c r="T135" i="192"/>
  <c r="T136" i="192"/>
  <c r="T137" i="192"/>
  <c r="T138" i="192"/>
  <c r="T139" i="192"/>
  <c r="T140" i="192"/>
  <c r="T141" i="192"/>
  <c r="T142" i="192"/>
  <c r="T143" i="192"/>
  <c r="T144" i="192"/>
  <c r="T145" i="192"/>
  <c r="T146" i="192"/>
  <c r="T147" i="192"/>
  <c r="T148" i="192"/>
  <c r="T149" i="192"/>
  <c r="T150" i="192"/>
  <c r="T151" i="192"/>
  <c r="T152" i="192"/>
  <c r="T153" i="192"/>
  <c r="T154" i="192"/>
  <c r="T155" i="192"/>
  <c r="T156" i="192"/>
  <c r="T157" i="192"/>
  <c r="T158" i="192"/>
  <c r="T159" i="192"/>
  <c r="T160" i="192"/>
  <c r="T161" i="192"/>
  <c r="T162" i="192"/>
  <c r="T163" i="192"/>
  <c r="T164" i="192"/>
  <c r="T165" i="192"/>
  <c r="T166" i="192"/>
  <c r="T167" i="192"/>
  <c r="T168" i="192"/>
  <c r="T169" i="192"/>
  <c r="T170" i="192"/>
  <c r="T171" i="192"/>
  <c r="T172" i="192"/>
  <c r="T173" i="192"/>
  <c r="T174" i="192"/>
  <c r="T175" i="192"/>
  <c r="T176" i="192"/>
  <c r="T177" i="192"/>
  <c r="T178" i="192"/>
  <c r="T179" i="192"/>
  <c r="T180" i="192"/>
  <c r="T181" i="192"/>
  <c r="T182" i="192"/>
  <c r="T183" i="192"/>
  <c r="T184" i="192"/>
  <c r="T185" i="192"/>
  <c r="T186" i="192"/>
  <c r="T187" i="192"/>
  <c r="T188" i="192"/>
  <c r="T189" i="192"/>
  <c r="T190" i="192"/>
  <c r="T191" i="192"/>
  <c r="T192" i="192"/>
  <c r="T193" i="192"/>
  <c r="T194" i="192"/>
  <c r="T195" i="192"/>
  <c r="T196" i="192"/>
  <c r="T197" i="192"/>
  <c r="T198" i="192"/>
  <c r="T199" i="192"/>
  <c r="T200" i="192"/>
  <c r="T201" i="192"/>
  <c r="T202" i="192"/>
  <c r="T203" i="192"/>
  <c r="T204" i="192"/>
  <c r="S59" i="192"/>
  <c r="S65" i="192"/>
  <c r="S68" i="192"/>
  <c r="S72" i="192"/>
  <c r="S80" i="192"/>
  <c r="S82" i="192"/>
  <c r="S83" i="192"/>
  <c r="S84" i="192"/>
  <c r="S87" i="192"/>
  <c r="S89" i="192"/>
  <c r="S92" i="192"/>
  <c r="S94" i="192"/>
  <c r="S96" i="192"/>
  <c r="S100" i="192"/>
  <c r="S102" i="192"/>
  <c r="S104" i="192"/>
  <c r="S107" i="192"/>
  <c r="S108" i="192"/>
  <c r="S109" i="192"/>
  <c r="S110" i="192"/>
  <c r="S111" i="192"/>
  <c r="S112" i="192"/>
  <c r="S113" i="192"/>
  <c r="S114" i="192"/>
  <c r="S115" i="192"/>
  <c r="S116" i="192"/>
  <c r="S117" i="192"/>
  <c r="S118" i="192"/>
  <c r="S119" i="192"/>
  <c r="S120" i="192"/>
  <c r="S121" i="192"/>
  <c r="S122" i="192"/>
  <c r="S123" i="192"/>
  <c r="S124" i="192"/>
  <c r="S125" i="192"/>
  <c r="S126" i="192"/>
  <c r="S127" i="192"/>
  <c r="S128" i="192"/>
  <c r="S129" i="192"/>
  <c r="S130" i="192"/>
  <c r="S131" i="192"/>
  <c r="S132" i="192"/>
  <c r="S133" i="192"/>
  <c r="S134" i="192"/>
  <c r="S135" i="192"/>
  <c r="S136" i="192"/>
  <c r="S137" i="192"/>
  <c r="S138" i="192"/>
  <c r="S139" i="192"/>
  <c r="S140" i="192"/>
  <c r="S141" i="192"/>
  <c r="S142" i="192"/>
  <c r="S143" i="192"/>
  <c r="S144" i="192"/>
  <c r="S145" i="192"/>
  <c r="S146" i="192"/>
  <c r="S147" i="192"/>
  <c r="S148" i="192"/>
  <c r="S149" i="192"/>
  <c r="S150" i="192"/>
  <c r="S151" i="192"/>
  <c r="S152" i="192"/>
  <c r="S153" i="192"/>
  <c r="S154" i="192"/>
  <c r="S155" i="192"/>
  <c r="S156" i="192"/>
  <c r="S157" i="192"/>
  <c r="S158" i="192"/>
  <c r="S159" i="192"/>
  <c r="S160" i="192"/>
  <c r="S161" i="192"/>
  <c r="S162" i="192"/>
  <c r="S163" i="192"/>
  <c r="S164" i="192"/>
  <c r="S165" i="192"/>
  <c r="S166" i="192"/>
  <c r="S167" i="192"/>
  <c r="S168" i="192"/>
  <c r="S169" i="192"/>
  <c r="S170" i="192"/>
  <c r="S171" i="192"/>
  <c r="S172" i="192"/>
  <c r="S173" i="192"/>
  <c r="S174" i="192"/>
  <c r="S175" i="192"/>
  <c r="S176" i="192"/>
  <c r="S177" i="192"/>
  <c r="S178" i="192"/>
  <c r="S179" i="192"/>
  <c r="S180" i="192"/>
  <c r="S181" i="192"/>
  <c r="S182" i="192"/>
  <c r="S183" i="192"/>
  <c r="S184" i="192"/>
  <c r="S185" i="192"/>
  <c r="S186" i="192"/>
  <c r="S187" i="192"/>
  <c r="S188" i="192"/>
  <c r="S189" i="192"/>
  <c r="S190" i="192"/>
  <c r="S191" i="192"/>
  <c r="S192" i="192"/>
  <c r="S193" i="192"/>
  <c r="S194" i="192"/>
  <c r="S195" i="192"/>
  <c r="S196" i="192"/>
  <c r="S197" i="192"/>
  <c r="S198" i="192"/>
  <c r="S199" i="192"/>
  <c r="S200" i="192"/>
  <c r="S201" i="192"/>
  <c r="S202" i="192"/>
  <c r="S203" i="192"/>
  <c r="S204" i="192"/>
  <c r="R6" i="192"/>
  <c r="R8" i="192"/>
  <c r="R9" i="192"/>
  <c r="R10" i="192"/>
  <c r="R11" i="192"/>
  <c r="R12" i="192"/>
  <c r="R13" i="192"/>
  <c r="R14" i="192"/>
  <c r="R15" i="192"/>
  <c r="R16" i="192"/>
  <c r="R17" i="192"/>
  <c r="R18" i="192"/>
  <c r="R19" i="192"/>
  <c r="R21" i="192"/>
  <c r="R22" i="192"/>
  <c r="R23" i="192"/>
  <c r="R24" i="192"/>
  <c r="R25" i="192"/>
  <c r="R26" i="192"/>
  <c r="R27" i="192"/>
  <c r="R28" i="192"/>
  <c r="R29" i="192"/>
  <c r="R30" i="192"/>
  <c r="R31" i="192"/>
  <c r="R32" i="192"/>
  <c r="R34" i="192"/>
  <c r="R35" i="192"/>
  <c r="R36" i="192"/>
  <c r="R37" i="192"/>
  <c r="R38" i="192"/>
  <c r="R39" i="192"/>
  <c r="R40" i="192"/>
  <c r="R42" i="192"/>
  <c r="R43" i="192"/>
  <c r="R44" i="192"/>
  <c r="R45" i="192"/>
  <c r="R46" i="192"/>
  <c r="R47" i="192"/>
  <c r="R48" i="192"/>
  <c r="R49" i="192"/>
  <c r="R50" i="192"/>
  <c r="R51" i="192"/>
  <c r="R52" i="192"/>
  <c r="R53" i="192"/>
  <c r="R54" i="192"/>
  <c r="R55" i="192"/>
  <c r="R56" i="192"/>
  <c r="R57" i="192"/>
  <c r="R58" i="192"/>
  <c r="R59" i="192"/>
  <c r="R60" i="192"/>
  <c r="R61" i="192"/>
  <c r="R62" i="192"/>
  <c r="R63" i="192"/>
  <c r="R64" i="192"/>
  <c r="R65" i="192"/>
  <c r="R66" i="192"/>
  <c r="R67" i="192"/>
  <c r="R68" i="192"/>
  <c r="R69" i="192"/>
  <c r="R70" i="192"/>
  <c r="R71" i="192"/>
  <c r="R72" i="192"/>
  <c r="R73" i="192"/>
  <c r="R74" i="192"/>
  <c r="R75" i="192"/>
  <c r="R76" i="192"/>
  <c r="R77" i="192"/>
  <c r="R78" i="192"/>
  <c r="R79" i="192"/>
  <c r="R80" i="192"/>
  <c r="R81" i="192"/>
  <c r="R82" i="192"/>
  <c r="R83" i="192"/>
  <c r="R84" i="192"/>
  <c r="R85" i="192"/>
  <c r="R86" i="192"/>
  <c r="R87" i="192"/>
  <c r="R88" i="192"/>
  <c r="R89" i="192"/>
  <c r="R90" i="192"/>
  <c r="R91" i="192"/>
  <c r="R92" i="192"/>
  <c r="R93" i="192"/>
  <c r="R94" i="192"/>
  <c r="R95" i="192"/>
  <c r="R96" i="192"/>
  <c r="R97" i="192"/>
  <c r="R98" i="192"/>
  <c r="R99" i="192"/>
  <c r="R100" i="192"/>
  <c r="R101" i="192"/>
  <c r="R102" i="192"/>
  <c r="R103" i="192"/>
  <c r="R104" i="192"/>
  <c r="R105" i="192"/>
  <c r="R106" i="192"/>
  <c r="R107" i="192"/>
  <c r="R108" i="192"/>
  <c r="R109" i="192"/>
  <c r="R110" i="192"/>
  <c r="R111" i="192"/>
  <c r="R112" i="192"/>
  <c r="R113" i="192"/>
  <c r="R114" i="192"/>
  <c r="R115" i="192"/>
  <c r="R116" i="192"/>
  <c r="R117" i="192"/>
  <c r="R118" i="192"/>
  <c r="R119" i="192"/>
  <c r="R120" i="192"/>
  <c r="R121" i="192"/>
  <c r="R122" i="192"/>
  <c r="R123" i="192"/>
  <c r="R124" i="192"/>
  <c r="R125" i="192"/>
  <c r="R126" i="192"/>
  <c r="R127" i="192"/>
  <c r="R128" i="192"/>
  <c r="R129" i="192"/>
  <c r="R130" i="192"/>
  <c r="R131" i="192"/>
  <c r="R132" i="192"/>
  <c r="R133" i="192"/>
  <c r="R134" i="192"/>
  <c r="R135" i="192"/>
  <c r="R136" i="192"/>
  <c r="R137" i="192"/>
  <c r="R138" i="192"/>
  <c r="R139" i="192"/>
  <c r="R140" i="192"/>
  <c r="R141" i="192"/>
  <c r="R142" i="192"/>
  <c r="R143" i="192"/>
  <c r="R144" i="192"/>
  <c r="R145" i="192"/>
  <c r="R146" i="192"/>
  <c r="R147" i="192"/>
  <c r="R148" i="192"/>
  <c r="R149" i="192"/>
  <c r="R150" i="192"/>
  <c r="R151" i="192"/>
  <c r="R152" i="192"/>
  <c r="R153" i="192"/>
  <c r="R154" i="192"/>
  <c r="R155" i="192"/>
  <c r="R156" i="192"/>
  <c r="R157" i="192"/>
  <c r="R158" i="192"/>
  <c r="R159" i="192"/>
  <c r="R160" i="192"/>
  <c r="R161" i="192"/>
  <c r="R162" i="192"/>
  <c r="R163" i="192"/>
  <c r="R164" i="192"/>
  <c r="R165" i="192"/>
  <c r="R166" i="192"/>
  <c r="R167" i="192"/>
  <c r="R168" i="192"/>
  <c r="R169" i="192"/>
  <c r="R170" i="192"/>
  <c r="R171" i="192"/>
  <c r="R172" i="192"/>
  <c r="R173" i="192"/>
  <c r="R174" i="192"/>
  <c r="R175" i="192"/>
  <c r="R176" i="192"/>
  <c r="R177" i="192"/>
  <c r="R178" i="192"/>
  <c r="R179" i="192"/>
  <c r="R180" i="192"/>
  <c r="R181" i="192"/>
  <c r="R182" i="192"/>
  <c r="R183" i="192"/>
  <c r="R184" i="192"/>
  <c r="R185" i="192"/>
  <c r="R186" i="192"/>
  <c r="R187" i="192"/>
  <c r="R188" i="192"/>
  <c r="R189" i="192"/>
  <c r="R190" i="192"/>
  <c r="R191" i="192"/>
  <c r="R192" i="192"/>
  <c r="R193" i="192"/>
  <c r="R194" i="192"/>
  <c r="R195" i="192"/>
  <c r="R196" i="192"/>
  <c r="R197" i="192"/>
  <c r="R198" i="192"/>
  <c r="R199" i="192"/>
  <c r="R200" i="192"/>
  <c r="R201" i="192"/>
  <c r="R202" i="192"/>
  <c r="R203" i="192"/>
  <c r="R204" i="192"/>
  <c r="R5" i="192"/>
  <c r="Q6" i="192"/>
  <c r="D11" i="14" s="1"/>
  <c r="Q7" i="192"/>
  <c r="D12" i="14" s="1"/>
  <c r="Q8" i="192"/>
  <c r="Q9" i="192"/>
  <c r="D14" i="14" s="1"/>
  <c r="Q10" i="192"/>
  <c r="Q11" i="192"/>
  <c r="D16" i="14" s="1"/>
  <c r="Q12" i="192"/>
  <c r="D17" i="14" s="1"/>
  <c r="Q13" i="192"/>
  <c r="D18" i="14" s="1"/>
  <c r="Q14" i="192"/>
  <c r="D19" i="14" s="1"/>
  <c r="Q15" i="192"/>
  <c r="D20" i="14" s="1"/>
  <c r="Q16" i="192"/>
  <c r="D21" i="14" s="1"/>
  <c r="Q17" i="192"/>
  <c r="D22" i="14" s="1"/>
  <c r="Q18" i="192"/>
  <c r="D23" i="14" s="1"/>
  <c r="Q19" i="192"/>
  <c r="D24" i="14" s="1"/>
  <c r="Q20" i="192"/>
  <c r="D25" i="14" s="1"/>
  <c r="Q21" i="192"/>
  <c r="D26" i="14" s="1"/>
  <c r="Q22" i="192"/>
  <c r="Q23" i="192"/>
  <c r="D28" i="14" s="1"/>
  <c r="Q24" i="192"/>
  <c r="D29" i="14" s="1"/>
  <c r="Q25" i="192"/>
  <c r="D30" i="14" s="1"/>
  <c r="Q26" i="192"/>
  <c r="D31" i="14" s="1"/>
  <c r="Q27" i="192"/>
  <c r="D32" i="14" s="1"/>
  <c r="Q28" i="192"/>
  <c r="D33" i="14" s="1"/>
  <c r="Q29" i="192"/>
  <c r="D34" i="14" s="1"/>
  <c r="Q30" i="192"/>
  <c r="D35" i="14" s="1"/>
  <c r="Q31" i="192"/>
  <c r="D36" i="14" s="1"/>
  <c r="Q32" i="192"/>
  <c r="D37" i="14" s="1"/>
  <c r="Q33" i="192"/>
  <c r="D38" i="14" s="1"/>
  <c r="Q34" i="192"/>
  <c r="D39" i="14" s="1"/>
  <c r="Q35" i="192"/>
  <c r="D40" i="14" s="1"/>
  <c r="Q36" i="192"/>
  <c r="D41" i="14" s="1"/>
  <c r="Q37" i="192"/>
  <c r="D42" i="14" s="1"/>
  <c r="Q38" i="192"/>
  <c r="D43" i="14" s="1"/>
  <c r="Q39" i="192"/>
  <c r="D44" i="14" s="1"/>
  <c r="Q40" i="192"/>
  <c r="D45" i="14" s="1"/>
  <c r="Q41" i="192"/>
  <c r="D46" i="14" s="1"/>
  <c r="Q42" i="192"/>
  <c r="D47" i="14" s="1"/>
  <c r="Q43" i="192"/>
  <c r="D48" i="14" s="1"/>
  <c r="Q44" i="192"/>
  <c r="D49" i="14" s="1"/>
  <c r="Q45" i="192"/>
  <c r="D50" i="14" s="1"/>
  <c r="Q46" i="192"/>
  <c r="D51" i="14" s="1"/>
  <c r="Q47" i="192"/>
  <c r="D52" i="14" s="1"/>
  <c r="Q48" i="192"/>
  <c r="D53" i="14" s="1"/>
  <c r="Q49" i="192"/>
  <c r="D54" i="14" s="1"/>
  <c r="Q50" i="192"/>
  <c r="D55" i="14" s="1"/>
  <c r="Q51" i="192"/>
  <c r="D56" i="14" s="1"/>
  <c r="Q52" i="192"/>
  <c r="D57" i="14" s="1"/>
  <c r="Q53" i="192"/>
  <c r="D58" i="14" s="1"/>
  <c r="Q54" i="192"/>
  <c r="D59" i="14" s="1"/>
  <c r="Q55" i="192"/>
  <c r="D60" i="14" s="1"/>
  <c r="Q56" i="192"/>
  <c r="D61" i="14" s="1"/>
  <c r="Q57" i="192"/>
  <c r="D62" i="14" s="1"/>
  <c r="Q58" i="192"/>
  <c r="D63" i="14" s="1"/>
  <c r="Q59" i="192"/>
  <c r="D64" i="14" s="1"/>
  <c r="Q60" i="192"/>
  <c r="D65" i="14" s="1"/>
  <c r="Q61" i="192"/>
  <c r="D66" i="14" s="1"/>
  <c r="Q62" i="192"/>
  <c r="D67" i="14" s="1"/>
  <c r="Q63" i="192"/>
  <c r="D68" i="14" s="1"/>
  <c r="Q64" i="192"/>
  <c r="D69" i="14" s="1"/>
  <c r="Q65" i="192"/>
  <c r="D70" i="14" s="1"/>
  <c r="Q66" i="192"/>
  <c r="D71" i="14" s="1"/>
  <c r="Q67" i="192"/>
  <c r="D72" i="14" s="1"/>
  <c r="Q68" i="192"/>
  <c r="D73" i="14" s="1"/>
  <c r="Q69" i="192"/>
  <c r="D74" i="14" s="1"/>
  <c r="Q70" i="192"/>
  <c r="D75" i="14" s="1"/>
  <c r="Q71" i="192"/>
  <c r="D76" i="14" s="1"/>
  <c r="Q72" i="192"/>
  <c r="D77" i="14" s="1"/>
  <c r="Q73" i="192"/>
  <c r="D78" i="14" s="1"/>
  <c r="Q74" i="192"/>
  <c r="D79" i="14" s="1"/>
  <c r="Q75" i="192"/>
  <c r="D80" i="14" s="1"/>
  <c r="Q76" i="192"/>
  <c r="D81" i="14" s="1"/>
  <c r="Q77" i="192"/>
  <c r="D82" i="14" s="1"/>
  <c r="Q78" i="192"/>
  <c r="D83" i="14" s="1"/>
  <c r="Q79" i="192"/>
  <c r="D84" i="14" s="1"/>
  <c r="Q80" i="192"/>
  <c r="D85" i="14" s="1"/>
  <c r="Q81" i="192"/>
  <c r="D86" i="14" s="1"/>
  <c r="Q82" i="192"/>
  <c r="D87" i="14" s="1"/>
  <c r="Q83" i="192"/>
  <c r="D88" i="14" s="1"/>
  <c r="Q84" i="192"/>
  <c r="D89" i="14" s="1"/>
  <c r="Q85" i="192"/>
  <c r="D90" i="14" s="1"/>
  <c r="Q86" i="192"/>
  <c r="D91" i="14" s="1"/>
  <c r="Q87" i="192"/>
  <c r="D92" i="14" s="1"/>
  <c r="Q88" i="192"/>
  <c r="D93" i="14" s="1"/>
  <c r="Q89" i="192"/>
  <c r="D94" i="14" s="1"/>
  <c r="Q90" i="192"/>
  <c r="D95" i="14" s="1"/>
  <c r="Q91" i="192"/>
  <c r="D96" i="14" s="1"/>
  <c r="Q92" i="192"/>
  <c r="D97" i="14" s="1"/>
  <c r="Q93" i="192"/>
  <c r="D98" i="14" s="1"/>
  <c r="Q94" i="192"/>
  <c r="D99" i="14" s="1"/>
  <c r="Q95" i="192"/>
  <c r="D100" i="14" s="1"/>
  <c r="Q96" i="192"/>
  <c r="D101" i="14" s="1"/>
  <c r="Q97" i="192"/>
  <c r="D102" i="14" s="1"/>
  <c r="Q98" i="192"/>
  <c r="D103" i="14" s="1"/>
  <c r="Q99" i="192"/>
  <c r="D104" i="14" s="1"/>
  <c r="Q100" i="192"/>
  <c r="D105" i="14" s="1"/>
  <c r="Q101" i="192"/>
  <c r="D106" i="14" s="1"/>
  <c r="Q102" i="192"/>
  <c r="D107" i="14" s="1"/>
  <c r="Q103" i="192"/>
  <c r="D108" i="14" s="1"/>
  <c r="Q104" i="192"/>
  <c r="D109" i="14" s="1"/>
  <c r="Q105" i="192"/>
  <c r="D110" i="14" s="1"/>
  <c r="Q106" i="192"/>
  <c r="D111" i="14" s="1"/>
  <c r="Q107" i="192"/>
  <c r="D112" i="14" s="1"/>
  <c r="Q108" i="192"/>
  <c r="D113" i="14" s="1"/>
  <c r="Q109" i="192"/>
  <c r="D114" i="14" s="1"/>
  <c r="Q110" i="192"/>
  <c r="D115" i="14" s="1"/>
  <c r="Q111" i="192"/>
  <c r="D116" i="14" s="1"/>
  <c r="Q112" i="192"/>
  <c r="D117" i="14" s="1"/>
  <c r="Q113" i="192"/>
  <c r="D118" i="14" s="1"/>
  <c r="Q114" i="192"/>
  <c r="D119" i="14" s="1"/>
  <c r="Q115" i="192"/>
  <c r="D120" i="14" s="1"/>
  <c r="Q116" i="192"/>
  <c r="D121" i="14" s="1"/>
  <c r="Q117" i="192"/>
  <c r="D122" i="14" s="1"/>
  <c r="Q118" i="192"/>
  <c r="D123" i="14" s="1"/>
  <c r="Q119" i="192"/>
  <c r="D124" i="14" s="1"/>
  <c r="Q120" i="192"/>
  <c r="D125" i="14" s="1"/>
  <c r="Q121" i="192"/>
  <c r="D126" i="14" s="1"/>
  <c r="Q122" i="192"/>
  <c r="D127" i="14" s="1"/>
  <c r="Q123" i="192"/>
  <c r="D128" i="14" s="1"/>
  <c r="Q124" i="192"/>
  <c r="D129" i="14" s="1"/>
  <c r="Q125" i="192"/>
  <c r="D130" i="14" s="1"/>
  <c r="Q126" i="192"/>
  <c r="D131" i="14" s="1"/>
  <c r="Q127" i="192"/>
  <c r="D132" i="14" s="1"/>
  <c r="Q128" i="192"/>
  <c r="D133" i="14" s="1"/>
  <c r="Q129" i="192"/>
  <c r="D134" i="14" s="1"/>
  <c r="Q130" i="192"/>
  <c r="D135" i="14" s="1"/>
  <c r="Q131" i="192"/>
  <c r="D136" i="14" s="1"/>
  <c r="Q132" i="192"/>
  <c r="D137" i="14" s="1"/>
  <c r="Q133" i="192"/>
  <c r="D138" i="14"/>
  <c r="Q134" i="192"/>
  <c r="D139" i="14" s="1"/>
  <c r="Q135" i="192"/>
  <c r="D140" i="14" s="1"/>
  <c r="Q136" i="192"/>
  <c r="D141" i="14" s="1"/>
  <c r="Q137" i="192"/>
  <c r="D142" i="14" s="1"/>
  <c r="Q138" i="192"/>
  <c r="D143" i="14" s="1"/>
  <c r="Q139" i="192"/>
  <c r="D144" i="14" s="1"/>
  <c r="Q140" i="192"/>
  <c r="D145" i="14" s="1"/>
  <c r="Q141" i="192"/>
  <c r="D146" i="14" s="1"/>
  <c r="Q142" i="192"/>
  <c r="D147" i="14" s="1"/>
  <c r="Q143" i="192"/>
  <c r="D148" i="14" s="1"/>
  <c r="Q144" i="192"/>
  <c r="D149" i="14" s="1"/>
  <c r="Q145" i="192"/>
  <c r="D150" i="14" s="1"/>
  <c r="Q146" i="192"/>
  <c r="D151" i="14" s="1"/>
  <c r="Q147" i="192"/>
  <c r="D152" i="14" s="1"/>
  <c r="Q148" i="192"/>
  <c r="D153" i="14" s="1"/>
  <c r="Q149" i="192"/>
  <c r="D154" i="14" s="1"/>
  <c r="Q150" i="192"/>
  <c r="D155" i="14" s="1"/>
  <c r="Q151" i="192"/>
  <c r="D156" i="14" s="1"/>
  <c r="Q152" i="192"/>
  <c r="D157" i="14" s="1"/>
  <c r="Q153" i="192"/>
  <c r="D158" i="14" s="1"/>
  <c r="Q154" i="192"/>
  <c r="D159" i="14" s="1"/>
  <c r="Q155" i="192"/>
  <c r="D160" i="14" s="1"/>
  <c r="Q156" i="192"/>
  <c r="D161" i="14" s="1"/>
  <c r="Q157" i="192"/>
  <c r="D162" i="14" s="1"/>
  <c r="Q158" i="192"/>
  <c r="D163" i="14" s="1"/>
  <c r="Q159" i="192"/>
  <c r="D164" i="14" s="1"/>
  <c r="Q160" i="192"/>
  <c r="D165" i="14" s="1"/>
  <c r="Q161" i="192"/>
  <c r="D166" i="14" s="1"/>
  <c r="Q162" i="192"/>
  <c r="D167" i="14" s="1"/>
  <c r="Q163" i="192"/>
  <c r="D168" i="14" s="1"/>
  <c r="Q164" i="192"/>
  <c r="D169" i="14" s="1"/>
  <c r="Q165" i="192"/>
  <c r="D170" i="14" s="1"/>
  <c r="Q166" i="192"/>
  <c r="D171" i="14" s="1"/>
  <c r="Q167" i="192"/>
  <c r="D172" i="14" s="1"/>
  <c r="Q168" i="192"/>
  <c r="D173" i="14" s="1"/>
  <c r="Q169" i="192"/>
  <c r="D174" i="14" s="1"/>
  <c r="Q170" i="192"/>
  <c r="D175" i="14" s="1"/>
  <c r="Q171" i="192"/>
  <c r="D176" i="14" s="1"/>
  <c r="Q172" i="192"/>
  <c r="D177" i="14" s="1"/>
  <c r="Q173" i="192"/>
  <c r="D178" i="14" s="1"/>
  <c r="Q174" i="192"/>
  <c r="D179" i="14" s="1"/>
  <c r="Q175" i="192"/>
  <c r="D180" i="14" s="1"/>
  <c r="Q176" i="192"/>
  <c r="D181" i="14" s="1"/>
  <c r="Q177" i="192"/>
  <c r="D182" i="14" s="1"/>
  <c r="Q178" i="192"/>
  <c r="D183" i="14" s="1"/>
  <c r="Q179" i="192"/>
  <c r="D184" i="14" s="1"/>
  <c r="Q180" i="192"/>
  <c r="D185" i="14" s="1"/>
  <c r="Q181" i="192"/>
  <c r="D186" i="14" s="1"/>
  <c r="Q182" i="192"/>
  <c r="D187" i="14" s="1"/>
  <c r="Q183" i="192"/>
  <c r="D188" i="14" s="1"/>
  <c r="Q184" i="192"/>
  <c r="D189" i="14" s="1"/>
  <c r="Q185" i="192"/>
  <c r="D190" i="14" s="1"/>
  <c r="Q186" i="192"/>
  <c r="D191" i="14" s="1"/>
  <c r="Q187" i="192"/>
  <c r="D192" i="14" s="1"/>
  <c r="Q188" i="192"/>
  <c r="D193" i="14" s="1"/>
  <c r="Q189" i="192"/>
  <c r="D194" i="14" s="1"/>
  <c r="Q190" i="192"/>
  <c r="D195" i="14" s="1"/>
  <c r="Q191" i="192"/>
  <c r="D196" i="14" s="1"/>
  <c r="Q192" i="192"/>
  <c r="D197" i="14" s="1"/>
  <c r="Q193" i="192"/>
  <c r="D198" i="14" s="1"/>
  <c r="Q194" i="192"/>
  <c r="D199" i="14" s="1"/>
  <c r="Q195" i="192"/>
  <c r="D200" i="14" s="1"/>
  <c r="Q196" i="192"/>
  <c r="D201" i="14" s="1"/>
  <c r="Q197" i="192"/>
  <c r="D202" i="14" s="1"/>
  <c r="Q198" i="192"/>
  <c r="D203" i="14" s="1"/>
  <c r="Q199" i="192"/>
  <c r="D204" i="14" s="1"/>
  <c r="Q200" i="192"/>
  <c r="D205" i="14" s="1"/>
  <c r="Q201" i="192"/>
  <c r="D206" i="14" s="1"/>
  <c r="Q202" i="192"/>
  <c r="D207" i="14" s="1"/>
  <c r="Q203" i="192"/>
  <c r="D208" i="14" s="1"/>
  <c r="Q204" i="192"/>
  <c r="D209" i="14" s="1"/>
  <c r="Q5" i="192"/>
  <c r="D10" i="14" s="1"/>
  <c r="B110" i="14"/>
  <c r="F110" i="14"/>
  <c r="B111" i="14"/>
  <c r="F111" i="14" s="1"/>
  <c r="B112" i="14"/>
  <c r="F112" i="14"/>
  <c r="B113" i="14"/>
  <c r="F113" i="14" s="1"/>
  <c r="B114" i="14"/>
  <c r="F114" i="14"/>
  <c r="B115" i="14"/>
  <c r="F115" i="14" s="1"/>
  <c r="B116" i="14"/>
  <c r="F116" i="14"/>
  <c r="B117" i="14"/>
  <c r="F117" i="14" s="1"/>
  <c r="B118" i="14"/>
  <c r="F118" i="14"/>
  <c r="B119" i="14"/>
  <c r="F119" i="14" s="1"/>
  <c r="B120" i="14"/>
  <c r="F120" i="14"/>
  <c r="B121" i="14"/>
  <c r="F121" i="14" s="1"/>
  <c r="B122" i="14"/>
  <c r="F122" i="14"/>
  <c r="B123" i="14"/>
  <c r="F123" i="14" s="1"/>
  <c r="B124" i="14"/>
  <c r="F124" i="14"/>
  <c r="B125" i="14"/>
  <c r="F125" i="14" s="1"/>
  <c r="B126" i="14"/>
  <c r="F126" i="14"/>
  <c r="B127" i="14"/>
  <c r="F127" i="14" s="1"/>
  <c r="B128" i="14"/>
  <c r="F128" i="14"/>
  <c r="B129" i="14"/>
  <c r="F129" i="14" s="1"/>
  <c r="B130" i="14"/>
  <c r="F130" i="14"/>
  <c r="B131" i="14"/>
  <c r="F131" i="14" s="1"/>
  <c r="B132" i="14"/>
  <c r="F132" i="14"/>
  <c r="B133" i="14"/>
  <c r="F133" i="14" s="1"/>
  <c r="B134" i="14"/>
  <c r="F134" i="14"/>
  <c r="B135" i="14"/>
  <c r="F135" i="14" s="1"/>
  <c r="B136" i="14"/>
  <c r="F136" i="14"/>
  <c r="B137" i="14"/>
  <c r="F137" i="14" s="1"/>
  <c r="B138" i="14"/>
  <c r="F138" i="14"/>
  <c r="B139" i="14"/>
  <c r="F139" i="14" s="1"/>
  <c r="B140" i="14"/>
  <c r="F140" i="14"/>
  <c r="B141" i="14"/>
  <c r="F141" i="14" s="1"/>
  <c r="B142" i="14"/>
  <c r="F142" i="14"/>
  <c r="B143" i="14"/>
  <c r="F143" i="14" s="1"/>
  <c r="B144" i="14"/>
  <c r="F144" i="14"/>
  <c r="B145" i="14"/>
  <c r="F145" i="14" s="1"/>
  <c r="B146" i="14"/>
  <c r="F146" i="14"/>
  <c r="B147" i="14"/>
  <c r="F147" i="14" s="1"/>
  <c r="B148" i="14"/>
  <c r="F148" i="14"/>
  <c r="B149" i="14"/>
  <c r="F149" i="14" s="1"/>
  <c r="B150" i="14"/>
  <c r="F150" i="14"/>
  <c r="B151" i="14"/>
  <c r="F151" i="14" s="1"/>
  <c r="B152" i="14"/>
  <c r="F152" i="14"/>
  <c r="B153" i="14"/>
  <c r="F153" i="14" s="1"/>
  <c r="B154" i="14"/>
  <c r="F154" i="14"/>
  <c r="B155" i="14"/>
  <c r="F155" i="14" s="1"/>
  <c r="B156" i="14"/>
  <c r="F156" i="14"/>
  <c r="B157" i="14"/>
  <c r="F157" i="14" s="1"/>
  <c r="B158" i="14"/>
  <c r="F158" i="14"/>
  <c r="B159" i="14"/>
  <c r="F159" i="14" s="1"/>
  <c r="B160" i="14"/>
  <c r="F160" i="14"/>
  <c r="B161" i="14"/>
  <c r="F161" i="14" s="1"/>
  <c r="B162" i="14"/>
  <c r="F162" i="14"/>
  <c r="B163" i="14"/>
  <c r="F163" i="14" s="1"/>
  <c r="B164" i="14"/>
  <c r="F164" i="14"/>
  <c r="B165" i="14"/>
  <c r="F165" i="14" s="1"/>
  <c r="B166" i="14"/>
  <c r="F166" i="14"/>
  <c r="B167" i="14"/>
  <c r="F167" i="14" s="1"/>
  <c r="B168" i="14"/>
  <c r="F168" i="14"/>
  <c r="B169" i="14"/>
  <c r="F169" i="14" s="1"/>
  <c r="B170" i="14"/>
  <c r="F170" i="14"/>
  <c r="B171" i="14"/>
  <c r="F171" i="14" s="1"/>
  <c r="B172" i="14"/>
  <c r="F172" i="14"/>
  <c r="B173" i="14"/>
  <c r="F173" i="14" s="1"/>
  <c r="B174" i="14"/>
  <c r="F174" i="14"/>
  <c r="B175" i="14"/>
  <c r="F175" i="14" s="1"/>
  <c r="B176" i="14"/>
  <c r="F176" i="14"/>
  <c r="B177" i="14"/>
  <c r="F177" i="14" s="1"/>
  <c r="B178" i="14"/>
  <c r="F178" i="14"/>
  <c r="B179" i="14"/>
  <c r="F179" i="14" s="1"/>
  <c r="B180" i="14"/>
  <c r="F180" i="14"/>
  <c r="B181" i="14"/>
  <c r="F181" i="14" s="1"/>
  <c r="B182" i="14"/>
  <c r="F182" i="14"/>
  <c r="B183" i="14"/>
  <c r="F183" i="14" s="1"/>
  <c r="B184" i="14"/>
  <c r="F184" i="14"/>
  <c r="B185" i="14"/>
  <c r="F185" i="14" s="1"/>
  <c r="B186" i="14"/>
  <c r="F186" i="14"/>
  <c r="B187" i="14"/>
  <c r="F187" i="14" s="1"/>
  <c r="B188" i="14"/>
  <c r="F188" i="14"/>
  <c r="B189" i="14"/>
  <c r="F189" i="14" s="1"/>
  <c r="B190" i="14"/>
  <c r="F190" i="14"/>
  <c r="B191" i="14"/>
  <c r="F191" i="14" s="1"/>
  <c r="B192" i="14"/>
  <c r="F192" i="14"/>
  <c r="B193" i="14"/>
  <c r="F193" i="14" s="1"/>
  <c r="B194" i="14"/>
  <c r="F194" i="14"/>
  <c r="B195" i="14"/>
  <c r="F195" i="14" s="1"/>
  <c r="B196" i="14"/>
  <c r="F196" i="14"/>
  <c r="B197" i="14"/>
  <c r="F197" i="14" s="1"/>
  <c r="B198" i="14"/>
  <c r="F198" i="14"/>
  <c r="B199" i="14"/>
  <c r="F199" i="14" s="1"/>
  <c r="B200" i="14"/>
  <c r="F200" i="14"/>
  <c r="B201" i="14"/>
  <c r="F201" i="14" s="1"/>
  <c r="B202" i="14"/>
  <c r="F202" i="14"/>
  <c r="B203" i="14"/>
  <c r="F203" i="14" s="1"/>
  <c r="B204" i="14"/>
  <c r="F204" i="14"/>
  <c r="B205" i="14"/>
  <c r="F205" i="14" s="1"/>
  <c r="B206" i="14"/>
  <c r="F206" i="14"/>
  <c r="B207" i="14"/>
  <c r="F207" i="14" s="1"/>
  <c r="B208" i="14"/>
  <c r="F208" i="14"/>
  <c r="B209" i="14"/>
  <c r="F209" i="14" s="1"/>
  <c r="B121" i="193"/>
  <c r="B122" i="193"/>
  <c r="B123" i="193"/>
  <c r="B124" i="193"/>
  <c r="B125" i="193"/>
  <c r="B126" i="193"/>
  <c r="B127" i="193"/>
  <c r="B128" i="193"/>
  <c r="B129" i="193"/>
  <c r="B130" i="193"/>
  <c r="B131" i="193"/>
  <c r="B132" i="193"/>
  <c r="B133" i="193"/>
  <c r="B134" i="193"/>
  <c r="B135" i="193"/>
  <c r="B136" i="193"/>
  <c r="B137" i="193"/>
  <c r="B138" i="193"/>
  <c r="B139" i="193"/>
  <c r="B140" i="193"/>
  <c r="B141" i="193"/>
  <c r="B142" i="193"/>
  <c r="B143" i="193"/>
  <c r="B144" i="193"/>
  <c r="B145" i="193"/>
  <c r="B146" i="193"/>
  <c r="B147" i="193"/>
  <c r="B148" i="193"/>
  <c r="B149" i="193"/>
  <c r="B150" i="193"/>
  <c r="B151" i="193"/>
  <c r="B152" i="193"/>
  <c r="B153" i="193"/>
  <c r="B154" i="193"/>
  <c r="B155" i="193"/>
  <c r="B156" i="193"/>
  <c r="B157" i="193"/>
  <c r="B158" i="193"/>
  <c r="B159" i="193"/>
  <c r="B160" i="193"/>
  <c r="B161" i="193"/>
  <c r="B162" i="193"/>
  <c r="B163" i="193"/>
  <c r="B164" i="193"/>
  <c r="B165" i="193"/>
  <c r="B166" i="193"/>
  <c r="B167" i="193"/>
  <c r="B168" i="193"/>
  <c r="B169" i="193"/>
  <c r="B170" i="193"/>
  <c r="B171" i="193"/>
  <c r="B172" i="193"/>
  <c r="B173" i="193"/>
  <c r="B174" i="193"/>
  <c r="B175" i="193"/>
  <c r="B176" i="193"/>
  <c r="B177" i="193"/>
  <c r="B178" i="193"/>
  <c r="B179" i="193"/>
  <c r="B180" i="193"/>
  <c r="B181" i="193"/>
  <c r="B182" i="193"/>
  <c r="B183" i="193"/>
  <c r="B184" i="193"/>
  <c r="B185" i="193"/>
  <c r="B186" i="193"/>
  <c r="B187" i="193"/>
  <c r="B188" i="193"/>
  <c r="B189" i="193"/>
  <c r="B190" i="193"/>
  <c r="B191" i="193"/>
  <c r="B192" i="193"/>
  <c r="B193" i="193"/>
  <c r="B194" i="193"/>
  <c r="B195" i="193"/>
  <c r="B196" i="193"/>
  <c r="B197" i="193"/>
  <c r="B198" i="193"/>
  <c r="B199" i="193"/>
  <c r="B200" i="193"/>
  <c r="B201" i="193"/>
  <c r="B202" i="193"/>
  <c r="B203" i="193"/>
  <c r="B204" i="193"/>
  <c r="B205" i="193"/>
  <c r="B206" i="193"/>
  <c r="B207" i="193"/>
  <c r="B208" i="193"/>
  <c r="B209" i="193"/>
  <c r="B210" i="193"/>
  <c r="B211" i="193"/>
  <c r="B212" i="193"/>
  <c r="B213" i="193"/>
  <c r="B214" i="193"/>
  <c r="B215" i="193"/>
  <c r="B216" i="193"/>
  <c r="B217" i="193"/>
  <c r="B218" i="193"/>
  <c r="B219" i="193"/>
  <c r="B220" i="193"/>
  <c r="H7" i="193"/>
  <c r="A5" i="14"/>
  <c r="B109" i="14"/>
  <c r="F109" i="14" s="1"/>
  <c r="B108" i="14"/>
  <c r="F108" i="14"/>
  <c r="B107" i="14"/>
  <c r="F107" i="14" s="1"/>
  <c r="B106" i="14"/>
  <c r="F106" i="14"/>
  <c r="B105" i="14"/>
  <c r="F105" i="14" s="1"/>
  <c r="B104" i="14"/>
  <c r="F104" i="14"/>
  <c r="B103" i="14"/>
  <c r="F103" i="14" s="1"/>
  <c r="B102" i="14"/>
  <c r="F102" i="14"/>
  <c r="B101" i="14"/>
  <c r="F101" i="14" s="1"/>
  <c r="B100" i="14"/>
  <c r="F100" i="14"/>
  <c r="B99" i="14"/>
  <c r="F99" i="14" s="1"/>
  <c r="B98" i="14"/>
  <c r="F98" i="14"/>
  <c r="B97" i="14"/>
  <c r="F97" i="14" s="1"/>
  <c r="B96" i="14"/>
  <c r="F96" i="14"/>
  <c r="B95" i="14"/>
  <c r="F95" i="14" s="1"/>
  <c r="B94" i="14"/>
  <c r="F94" i="14"/>
  <c r="B93" i="14"/>
  <c r="F93" i="14" s="1"/>
  <c r="B92" i="14"/>
  <c r="F92" i="14"/>
  <c r="B91" i="14"/>
  <c r="F91" i="14" s="1"/>
  <c r="B90" i="14"/>
  <c r="F90" i="14"/>
  <c r="B89" i="14"/>
  <c r="F89" i="14" s="1"/>
  <c r="B88" i="14"/>
  <c r="F88" i="14"/>
  <c r="B87" i="14"/>
  <c r="F87" i="14" s="1"/>
  <c r="B86" i="14"/>
  <c r="F86" i="14"/>
  <c r="B85" i="14"/>
  <c r="F85" i="14" s="1"/>
  <c r="B84" i="14"/>
  <c r="F84" i="14"/>
  <c r="B83" i="14"/>
  <c r="F83" i="14" s="1"/>
  <c r="B82" i="14"/>
  <c r="F82" i="14"/>
  <c r="B81" i="14"/>
  <c r="F81" i="14" s="1"/>
  <c r="B80" i="14"/>
  <c r="F80" i="14"/>
  <c r="B79" i="14"/>
  <c r="F79" i="14" s="1"/>
  <c r="B78" i="14"/>
  <c r="F78" i="14"/>
  <c r="B77" i="14"/>
  <c r="F77" i="14" s="1"/>
  <c r="B76" i="14"/>
  <c r="F76" i="14"/>
  <c r="B75" i="14"/>
  <c r="F75" i="14" s="1"/>
  <c r="B74" i="14"/>
  <c r="F74" i="14"/>
  <c r="B73" i="14"/>
  <c r="F73" i="14" s="1"/>
  <c r="B72" i="14"/>
  <c r="F72" i="14"/>
  <c r="B71" i="14"/>
  <c r="F71" i="14" s="1"/>
  <c r="B70" i="14"/>
  <c r="F70" i="14"/>
  <c r="B69" i="14"/>
  <c r="F69" i="14" s="1"/>
  <c r="B68" i="14"/>
  <c r="F68" i="14"/>
  <c r="B67" i="14"/>
  <c r="F67" i="14" s="1"/>
  <c r="B66" i="14"/>
  <c r="F66" i="14"/>
  <c r="B65" i="14"/>
  <c r="F65" i="14" s="1"/>
  <c r="B64" i="14"/>
  <c r="F64" i="14"/>
  <c r="B63" i="14"/>
  <c r="F63" i="14" s="1"/>
  <c r="B62" i="14"/>
  <c r="F62" i="14"/>
  <c r="B61" i="14"/>
  <c r="F61" i="14" s="1"/>
  <c r="B60" i="14"/>
  <c r="F60" i="14"/>
  <c r="B59" i="14"/>
  <c r="F59" i="14" s="1"/>
  <c r="B58" i="14"/>
  <c r="F58" i="14"/>
  <c r="B57" i="14"/>
  <c r="F57" i="14" s="1"/>
  <c r="B56" i="14"/>
  <c r="F56" i="14"/>
  <c r="B55" i="14"/>
  <c r="F55" i="14" s="1"/>
  <c r="B54" i="14"/>
  <c r="F54" i="14"/>
  <c r="B53" i="14"/>
  <c r="F53" i="14" s="1"/>
  <c r="B52" i="14"/>
  <c r="F52" i="14"/>
  <c r="B51" i="14"/>
  <c r="F51" i="14" s="1"/>
  <c r="B120" i="193"/>
  <c r="B119" i="193"/>
  <c r="B118" i="193"/>
  <c r="B117" i="193"/>
  <c r="B116" i="193"/>
  <c r="B115" i="193"/>
  <c r="B114" i="193"/>
  <c r="B113" i="193"/>
  <c r="B112" i="193"/>
  <c r="B111" i="193"/>
  <c r="B110" i="193"/>
  <c r="B109" i="193"/>
  <c r="B108" i="193"/>
  <c r="B107" i="193"/>
  <c r="B106" i="193"/>
  <c r="B105" i="193"/>
  <c r="B104" i="193"/>
  <c r="B103" i="193"/>
  <c r="B102" i="193"/>
  <c r="B101" i="193"/>
  <c r="B100" i="193"/>
  <c r="B99" i="193"/>
  <c r="B98" i="193"/>
  <c r="B97" i="193"/>
  <c r="B96" i="193"/>
  <c r="B95" i="193"/>
  <c r="B94" i="193"/>
  <c r="B93" i="193"/>
  <c r="B92" i="193"/>
  <c r="B91" i="193"/>
  <c r="B90" i="193"/>
  <c r="B89" i="193"/>
  <c r="B88" i="193"/>
  <c r="B87" i="193"/>
  <c r="B86" i="193"/>
  <c r="B85" i="193"/>
  <c r="B84" i="193"/>
  <c r="B83" i="193"/>
  <c r="B82" i="193"/>
  <c r="B81" i="193"/>
  <c r="B80" i="193"/>
  <c r="B79" i="193"/>
  <c r="B78" i="193"/>
  <c r="B77" i="193"/>
  <c r="B76" i="193"/>
  <c r="B75" i="193"/>
  <c r="B74" i="193"/>
  <c r="B73" i="193"/>
  <c r="B72" i="193"/>
  <c r="B71" i="193"/>
  <c r="B70" i="193"/>
  <c r="B69" i="193"/>
  <c r="B68" i="193"/>
  <c r="B67" i="193"/>
  <c r="B66" i="193"/>
  <c r="B65" i="193"/>
  <c r="B64" i="193"/>
  <c r="B63" i="193"/>
  <c r="B62" i="193"/>
  <c r="B61" i="193"/>
  <c r="B59" i="193"/>
  <c r="B57" i="193"/>
  <c r="B55" i="193"/>
  <c r="B53" i="193"/>
  <c r="B51" i="193"/>
  <c r="B49" i="193"/>
  <c r="B47" i="193"/>
  <c r="B45" i="193"/>
  <c r="B43" i="193"/>
  <c r="B60" i="193"/>
  <c r="B58" i="193"/>
  <c r="B56" i="193"/>
  <c r="B54" i="193"/>
  <c r="B52" i="193"/>
  <c r="B50" i="193"/>
  <c r="B48" i="193"/>
  <c r="B46" i="193"/>
  <c r="B44" i="193"/>
  <c r="B42" i="193"/>
  <c r="B40" i="193"/>
  <c r="B38" i="193"/>
  <c r="B36" i="193"/>
  <c r="B34" i="193"/>
  <c r="B32" i="193"/>
  <c r="B30" i="193"/>
  <c r="B29" i="193"/>
  <c r="B26" i="193"/>
  <c r="B22" i="193"/>
  <c r="B37" i="193"/>
  <c r="B21" i="193"/>
  <c r="B35" i="193"/>
  <c r="B28" i="193"/>
  <c r="B24" i="193"/>
  <c r="B41" i="193"/>
  <c r="B31" i="193"/>
  <c r="B27" i="193"/>
  <c r="B25" i="193"/>
  <c r="B23" i="193"/>
  <c r="B39" i="193"/>
  <c r="B33" i="193"/>
  <c r="F60" i="191"/>
  <c r="F59" i="191"/>
  <c r="F58" i="191"/>
  <c r="F57" i="191"/>
  <c r="F56" i="191"/>
  <c r="F55" i="191"/>
  <c r="B11" i="14"/>
  <c r="F11" i="14"/>
  <c r="B12" i="14"/>
  <c r="F12" i="14"/>
  <c r="B13" i="14"/>
  <c r="F13" i="14"/>
  <c r="B14" i="14"/>
  <c r="F14" i="14"/>
  <c r="B15" i="14"/>
  <c r="F15" i="14"/>
  <c r="B16" i="14"/>
  <c r="F16" i="14"/>
  <c r="B17" i="14"/>
  <c r="F17" i="14"/>
  <c r="B18" i="14"/>
  <c r="F18" i="14"/>
  <c r="B19" i="14"/>
  <c r="B20" i="14"/>
  <c r="F20" i="14" s="1"/>
  <c r="B21" i="14"/>
  <c r="F21" i="14"/>
  <c r="B22" i="14"/>
  <c r="F22" i="14" s="1"/>
  <c r="B23" i="14"/>
  <c r="F23" i="14"/>
  <c r="B24" i="14"/>
  <c r="F24" i="14" s="1"/>
  <c r="B25" i="14"/>
  <c r="F25" i="14"/>
  <c r="B26" i="14"/>
  <c r="F26" i="14" s="1"/>
  <c r="B27" i="14"/>
  <c r="F27" i="14"/>
  <c r="B28" i="14"/>
  <c r="F28" i="14" s="1"/>
  <c r="B29" i="14"/>
  <c r="F29" i="14"/>
  <c r="B30" i="14"/>
  <c r="F30" i="14" s="1"/>
  <c r="B31" i="14"/>
  <c r="F31" i="14"/>
  <c r="B32" i="14"/>
  <c r="F32" i="14" s="1"/>
  <c r="B33" i="14"/>
  <c r="F33" i="14"/>
  <c r="B34" i="14"/>
  <c r="F34" i="14"/>
  <c r="B35" i="14"/>
  <c r="B36" i="14"/>
  <c r="F36" i="14"/>
  <c r="B37" i="14"/>
  <c r="F37" i="14" s="1"/>
  <c r="B38" i="14"/>
  <c r="F38" i="14"/>
  <c r="B39" i="14"/>
  <c r="F39" i="14" s="1"/>
  <c r="B40" i="14"/>
  <c r="F40" i="14"/>
  <c r="B41" i="14"/>
  <c r="F41" i="14" s="1"/>
  <c r="B42" i="14"/>
  <c r="F42" i="14"/>
  <c r="B43" i="14"/>
  <c r="F43" i="14" s="1"/>
  <c r="B44" i="14"/>
  <c r="F44" i="14"/>
  <c r="B45" i="14"/>
  <c r="F45" i="14" s="1"/>
  <c r="B46" i="14"/>
  <c r="F46" i="14"/>
  <c r="B47" i="14"/>
  <c r="F47" i="14" s="1"/>
  <c r="B48" i="14"/>
  <c r="F48" i="14"/>
  <c r="B49" i="14"/>
  <c r="F49" i="14" s="1"/>
  <c r="B50" i="14"/>
  <c r="F50" i="14"/>
  <c r="B10" i="14"/>
  <c r="F10" i="14" s="1"/>
  <c r="F35" i="14"/>
  <c r="F19" i="14"/>
  <c r="E97" i="193"/>
  <c r="E98" i="193"/>
  <c r="E99" i="193"/>
  <c r="E100" i="193"/>
  <c r="E101" i="193"/>
  <c r="E102" i="193"/>
  <c r="E103" i="193"/>
  <c r="E104" i="193"/>
  <c r="E105" i="193"/>
  <c r="E106" i="193"/>
  <c r="E107" i="193"/>
  <c r="E108" i="193"/>
  <c r="E109" i="193"/>
  <c r="E110" i="193"/>
  <c r="E111" i="193"/>
  <c r="E112" i="193"/>
  <c r="E113" i="193"/>
  <c r="E114" i="193"/>
  <c r="E115" i="193"/>
  <c r="E116" i="193"/>
  <c r="E117" i="193"/>
  <c r="E118" i="193"/>
  <c r="E119" i="193"/>
  <c r="E120" i="193"/>
  <c r="E121" i="193"/>
  <c r="E122" i="193"/>
  <c r="E123" i="193"/>
  <c r="E124" i="193"/>
  <c r="S73" i="192"/>
  <c r="S103" i="192"/>
  <c r="S99" i="192"/>
  <c r="S95" i="192"/>
  <c r="S91" i="192"/>
  <c r="S88" i="192"/>
  <c r="S81" i="192"/>
  <c r="S86" i="192"/>
  <c r="D99" i="193"/>
  <c r="D100" i="193"/>
  <c r="D101" i="193"/>
  <c r="D102" i="193"/>
  <c r="D103" i="193"/>
  <c r="D104" i="193"/>
  <c r="D105" i="193"/>
  <c r="D106" i="193"/>
  <c r="D107" i="193"/>
  <c r="D108" i="193"/>
  <c r="D109" i="193"/>
  <c r="D110" i="193"/>
  <c r="D111" i="193"/>
  <c r="D112" i="193"/>
  <c r="D113" i="193"/>
  <c r="D114" i="193"/>
  <c r="D115" i="193"/>
  <c r="D116" i="193"/>
  <c r="D117" i="193"/>
  <c r="D118" i="193"/>
  <c r="D119" i="193"/>
  <c r="D120" i="193"/>
  <c r="D121" i="193"/>
  <c r="D122" i="193"/>
  <c r="D123" i="193"/>
  <c r="D124" i="193"/>
  <c r="S105" i="192"/>
  <c r="S98" i="192"/>
  <c r="S101" i="192"/>
  <c r="S97" i="192"/>
  <c r="S77" i="192"/>
  <c r="S93" i="192"/>
  <c r="S69" i="192"/>
  <c r="S106" i="192"/>
  <c r="S90" i="192"/>
  <c r="S76" i="192"/>
  <c r="S48" i="192"/>
  <c r="T91" i="192"/>
  <c r="T102" i="192"/>
  <c r="T107" i="192"/>
  <c r="T104" i="192"/>
  <c r="T89" i="192"/>
  <c r="T84" i="192"/>
  <c r="T100" i="192"/>
  <c r="T99" i="192"/>
  <c r="T101" i="192"/>
  <c r="T106" i="192"/>
  <c r="T96" i="192"/>
  <c r="T87" i="192"/>
  <c r="T92" i="192"/>
  <c r="T94" i="192"/>
  <c r="T97" i="192"/>
  <c r="T81" i="192"/>
  <c r="T82" i="192"/>
  <c r="T83" i="192"/>
  <c r="T105" i="192"/>
  <c r="T103" i="192"/>
  <c r="T95" i="192"/>
  <c r="T85" i="192"/>
  <c r="T98" i="192"/>
  <c r="T90" i="192"/>
  <c r="T108" i="192"/>
  <c r="T86" i="192"/>
  <c r="T88" i="192"/>
  <c r="T93" i="192"/>
  <c r="C97" i="193"/>
  <c r="C98" i="193"/>
  <c r="C99" i="193"/>
  <c r="C100" i="193"/>
  <c r="C101" i="193"/>
  <c r="C102" i="193"/>
  <c r="C103" i="193"/>
  <c r="C104" i="193"/>
  <c r="C105" i="193"/>
  <c r="C106" i="193"/>
  <c r="C107" i="193"/>
  <c r="C108" i="193"/>
  <c r="C109" i="193"/>
  <c r="C110" i="193"/>
  <c r="C111" i="193"/>
  <c r="C112" i="193"/>
  <c r="C113" i="193"/>
  <c r="C114" i="193"/>
  <c r="C115" i="193"/>
  <c r="C116" i="193"/>
  <c r="C117" i="193"/>
  <c r="C118" i="193"/>
  <c r="C119" i="193"/>
  <c r="C120" i="193"/>
  <c r="C121" i="193"/>
  <c r="C122" i="193"/>
  <c r="C123" i="193"/>
  <c r="C124" i="193"/>
  <c r="X130" i="14"/>
  <c r="S136" i="14"/>
  <c r="K180" i="14"/>
  <c r="G144" i="14"/>
  <c r="AE146" i="14"/>
  <c r="O157" i="193" s="1"/>
  <c r="H157" i="193" s="1"/>
  <c r="K157" i="193" s="1"/>
  <c r="AD146" i="14"/>
  <c r="S161" i="14"/>
  <c r="L130" i="14"/>
  <c r="AC100" i="14"/>
  <c r="H198" i="14"/>
  <c r="AA128" i="14"/>
  <c r="G162" i="14"/>
  <c r="Y152" i="14"/>
  <c r="N150" i="14"/>
  <c r="O206" i="14"/>
  <c r="J197" i="14"/>
  <c r="X108" i="14"/>
  <c r="AE203" i="14"/>
  <c r="O214" i="193" s="1"/>
  <c r="J190" i="14"/>
  <c r="L180" i="14"/>
  <c r="K170" i="14"/>
  <c r="Q152" i="14"/>
  <c r="J139" i="14"/>
  <c r="Y202" i="14"/>
  <c r="AB136" i="14"/>
  <c r="AA162" i="14"/>
  <c r="I162" i="14"/>
  <c r="AD124" i="14"/>
  <c r="G124" i="14"/>
  <c r="G208" i="14"/>
  <c r="W162" i="14"/>
  <c r="AC198" i="14"/>
  <c r="I198" i="14"/>
  <c r="AD206" i="14"/>
  <c r="T151" i="14"/>
  <c r="S31" i="192"/>
  <c r="L139" i="14"/>
  <c r="P139" i="14"/>
  <c r="T202" i="14"/>
  <c r="H146" i="14"/>
  <c r="P146" i="14"/>
  <c r="W130" i="14"/>
  <c r="AA130" i="14"/>
  <c r="J130" i="14"/>
  <c r="O197" i="14"/>
  <c r="AD197" i="14"/>
  <c r="T157" i="14"/>
  <c r="G197" i="14"/>
  <c r="X197" i="14"/>
  <c r="L146" i="14"/>
  <c r="S37" i="192"/>
  <c r="S41" i="192"/>
  <c r="O162" i="14"/>
  <c r="U162" i="14"/>
  <c r="P162" i="14"/>
  <c r="V150" i="14"/>
  <c r="AE150" i="14"/>
  <c r="O161" i="193" s="1"/>
  <c r="H161" i="193" s="1"/>
  <c r="K161" i="193" s="1"/>
  <c r="L150" i="14"/>
  <c r="S150" i="14"/>
  <c r="P150" i="14"/>
  <c r="R150" i="14"/>
  <c r="O139" i="14"/>
  <c r="X162" i="14"/>
  <c r="G139" i="14"/>
  <c r="W139" i="14"/>
  <c r="K150" i="14"/>
  <c r="N197" i="14"/>
  <c r="I197" i="14"/>
  <c r="T185" i="14"/>
  <c r="Q91" i="14"/>
  <c r="N139" i="14"/>
  <c r="K139" i="14"/>
  <c r="X139" i="14"/>
  <c r="AE139" i="14"/>
  <c r="O150" i="193" s="1"/>
  <c r="F150" i="193" s="1"/>
  <c r="V139" i="14"/>
  <c r="J162" i="14"/>
  <c r="AC139" i="14"/>
  <c r="R139" i="14"/>
  <c r="H150" i="14"/>
  <c r="Q162" i="14"/>
  <c r="P202" i="14"/>
  <c r="W202" i="14"/>
  <c r="V202" i="14"/>
  <c r="J202" i="14"/>
  <c r="T198" i="14"/>
  <c r="U198" i="14"/>
  <c r="N136" i="14"/>
  <c r="AB128" i="14"/>
  <c r="Q128" i="14"/>
  <c r="X124" i="14"/>
  <c r="G104" i="14"/>
  <c r="G100" i="14"/>
  <c r="N100" i="14"/>
  <c r="X89" i="14"/>
  <c r="W114" i="14"/>
  <c r="T106" i="14"/>
  <c r="AD106" i="14"/>
  <c r="J106" i="14"/>
  <c r="L106" i="14"/>
  <c r="AB106" i="14"/>
  <c r="H106" i="14"/>
  <c r="G106" i="14"/>
  <c r="U102" i="14"/>
  <c r="J102" i="14"/>
  <c r="P102" i="14"/>
  <c r="Q102" i="14"/>
  <c r="N102" i="14"/>
  <c r="N94" i="14"/>
  <c r="T102" i="14"/>
  <c r="G102" i="14"/>
  <c r="AC94" i="14"/>
  <c r="R160" i="14"/>
  <c r="L160" i="14"/>
  <c r="AC152" i="14"/>
  <c r="L152" i="14"/>
  <c r="W152" i="14"/>
  <c r="K152" i="14"/>
  <c r="V152" i="14"/>
  <c r="O148" i="14"/>
  <c r="Q148" i="14"/>
  <c r="AA148" i="14"/>
  <c r="G121" i="14"/>
  <c r="I78" i="14"/>
  <c r="AA46" i="14"/>
  <c r="T46" i="14"/>
  <c r="L42" i="14"/>
  <c r="Y42" i="14"/>
  <c r="S25" i="192"/>
  <c r="P86" i="14"/>
  <c r="U148" i="14"/>
  <c r="Y102" i="14"/>
  <c r="K113" i="14"/>
  <c r="AB114" i="14"/>
  <c r="R148" i="14"/>
  <c r="Z102" i="14"/>
  <c r="X148" i="14"/>
  <c r="T152" i="14"/>
  <c r="S70" i="14"/>
  <c r="AD102" i="14"/>
  <c r="X106" i="14"/>
  <c r="L197" i="14"/>
  <c r="R197" i="14"/>
  <c r="S170" i="14"/>
  <c r="T162" i="14"/>
  <c r="K162" i="14"/>
  <c r="V162" i="14"/>
  <c r="H202" i="14"/>
  <c r="AB202" i="14"/>
  <c r="U202" i="14"/>
  <c r="I202" i="14"/>
  <c r="X198" i="14"/>
  <c r="AB198" i="14"/>
  <c r="Q151" i="14"/>
  <c r="T147" i="14"/>
  <c r="K144" i="14"/>
  <c r="AB144" i="14"/>
  <c r="N144" i="14"/>
  <c r="V136" i="14"/>
  <c r="W136" i="14"/>
  <c r="H136" i="14"/>
  <c r="U128" i="14"/>
  <c r="Y128" i="14"/>
  <c r="Y172" i="14"/>
  <c r="R172" i="14"/>
  <c r="AB149" i="14"/>
  <c r="I126" i="14"/>
  <c r="AB126" i="14"/>
  <c r="G172" i="14"/>
  <c r="H91" i="14"/>
  <c r="K106" i="14"/>
  <c r="W106" i="14"/>
  <c r="Y106" i="14"/>
  <c r="P106" i="14"/>
  <c r="G126" i="14"/>
  <c r="H126" i="14"/>
  <c r="P126" i="14"/>
  <c r="R91" i="14"/>
  <c r="Y205" i="14"/>
  <c r="T205" i="14"/>
  <c r="S205" i="14"/>
  <c r="V205" i="14"/>
  <c r="AC205" i="14"/>
  <c r="L185" i="14"/>
  <c r="AD147" i="14"/>
  <c r="Y144" i="14"/>
  <c r="O136" i="14"/>
  <c r="Z136" i="14"/>
  <c r="K136" i="14"/>
  <c r="AC128" i="14"/>
  <c r="W128" i="14"/>
  <c r="AE128" i="14"/>
  <c r="O139" i="193" s="1"/>
  <c r="F139" i="193" s="1"/>
  <c r="R139" i="193" s="1"/>
  <c r="Q126" i="14"/>
  <c r="T126" i="14"/>
  <c r="V126" i="14"/>
  <c r="S172" i="14"/>
  <c r="G91" i="14"/>
  <c r="W149" i="14"/>
  <c r="J150" i="14"/>
  <c r="I150" i="14"/>
  <c r="N104" i="14"/>
  <c r="S30" i="192"/>
  <c r="Z46" i="14"/>
  <c r="G42" i="14"/>
  <c r="S33" i="192"/>
  <c r="S45" i="192"/>
  <c r="Q39" i="14"/>
  <c r="T42" i="14"/>
  <c r="S34" i="192"/>
  <c r="Z80" i="14"/>
  <c r="R39" i="14"/>
  <c r="O80" i="14"/>
  <c r="V80" i="14"/>
  <c r="S52" i="192"/>
  <c r="S67" i="192"/>
  <c r="S40" i="192"/>
  <c r="S56" i="192"/>
  <c r="P65" i="14"/>
  <c r="X65" i="14"/>
  <c r="H80" i="14"/>
  <c r="S36" i="192"/>
  <c r="S51" i="192"/>
  <c r="S71" i="192"/>
  <c r="S79" i="192"/>
  <c r="S55" i="192"/>
  <c r="L80" i="14"/>
  <c r="T84" i="14"/>
  <c r="S63" i="192"/>
  <c r="S78" i="192"/>
  <c r="S44" i="192"/>
  <c r="S75" i="192"/>
  <c r="S62" i="192"/>
  <c r="S47" i="192"/>
  <c r="S60" i="192"/>
  <c r="K83" i="14"/>
  <c r="Y83" i="14"/>
  <c r="G83" i="14"/>
  <c r="H65" i="14"/>
  <c r="Q65" i="14"/>
  <c r="Y65" i="14"/>
  <c r="R65" i="14"/>
  <c r="Z65" i="14"/>
  <c r="T65" i="14"/>
  <c r="G65" i="14"/>
  <c r="O65" i="14"/>
  <c r="T49" i="14"/>
  <c r="V65" i="14"/>
  <c r="S65" i="14"/>
  <c r="AA65" i="14"/>
  <c r="O67" i="14"/>
  <c r="W67" i="14"/>
  <c r="Z67" i="14"/>
  <c r="AB64" i="14"/>
  <c r="L65" i="14"/>
  <c r="U65" i="14"/>
  <c r="H67" i="14"/>
  <c r="Q67" i="14"/>
  <c r="X76" i="14"/>
  <c r="O70" i="14"/>
  <c r="P70" i="14"/>
  <c r="AB70" i="14"/>
  <c r="R70" i="14"/>
  <c r="R64" i="14"/>
  <c r="H70" i="14"/>
  <c r="Q70" i="14"/>
  <c r="L49" i="14"/>
  <c r="N65" i="14"/>
  <c r="W65" i="14"/>
  <c r="AB67" i="14"/>
  <c r="I61" i="14"/>
  <c r="AD73" i="14"/>
  <c r="V76" i="14"/>
  <c r="C37" i="14"/>
  <c r="S32" i="192"/>
  <c r="C40" i="14"/>
  <c r="S35" i="192"/>
  <c r="C33" i="14"/>
  <c r="S28" i="192"/>
  <c r="C69" i="14"/>
  <c r="Q69" i="14" s="1"/>
  <c r="S64" i="192"/>
  <c r="C66" i="14"/>
  <c r="S61" i="192"/>
  <c r="S58" i="192"/>
  <c r="S54" i="192"/>
  <c r="C55" i="14"/>
  <c r="S50" i="192"/>
  <c r="C51" i="14"/>
  <c r="S46" i="192"/>
  <c r="C47" i="14"/>
  <c r="AE47" i="14" s="1"/>
  <c r="O58" i="193" s="1"/>
  <c r="S42" i="192"/>
  <c r="C43" i="14"/>
  <c r="S38" i="192"/>
  <c r="S43" i="192"/>
  <c r="C44" i="14"/>
  <c r="J44" i="14" s="1"/>
  <c r="S39" i="192"/>
  <c r="S29" i="192"/>
  <c r="C15" i="14"/>
  <c r="L15" i="14" s="1"/>
  <c r="U15" i="14" s="1"/>
  <c r="AC15" i="14" s="1"/>
  <c r="S21" i="192"/>
  <c r="R83" i="14"/>
  <c r="S74" i="192"/>
  <c r="S70" i="192"/>
  <c r="S66" i="192"/>
  <c r="S57" i="192"/>
  <c r="S53" i="192"/>
  <c r="S49" i="192"/>
  <c r="O78" i="14"/>
  <c r="W78" i="14"/>
  <c r="U78" i="14"/>
  <c r="AC78" i="14"/>
  <c r="S18" i="192"/>
  <c r="Z209" i="14"/>
  <c r="H206" i="14"/>
  <c r="N206" i="14"/>
  <c r="S206" i="14"/>
  <c r="G206" i="14"/>
  <c r="Z206" i="14"/>
  <c r="L206" i="14"/>
  <c r="R206" i="14"/>
  <c r="L191" i="14"/>
  <c r="T187" i="14"/>
  <c r="W187" i="14"/>
  <c r="I187" i="14"/>
  <c r="AE183" i="14"/>
  <c r="O194" i="193" s="1"/>
  <c r="G170" i="14"/>
  <c r="N170" i="14"/>
  <c r="Y170" i="14"/>
  <c r="O170" i="14"/>
  <c r="N134" i="14"/>
  <c r="K134" i="14"/>
  <c r="U124" i="14"/>
  <c r="T124" i="14"/>
  <c r="J124" i="14"/>
  <c r="P124" i="14"/>
  <c r="AB124" i="14"/>
  <c r="W124" i="14"/>
  <c r="K124" i="14"/>
  <c r="G114" i="14"/>
  <c r="O114" i="14"/>
  <c r="AC114" i="14"/>
  <c r="J114" i="14"/>
  <c r="R114" i="14"/>
  <c r="AD114" i="14"/>
  <c r="L114" i="14"/>
  <c r="AD108" i="14"/>
  <c r="AE108" i="14"/>
  <c r="O119" i="193" s="1"/>
  <c r="F119" i="193" s="1"/>
  <c r="P119" i="193" s="1"/>
  <c r="G108" i="14"/>
  <c r="O104" i="14"/>
  <c r="I104" i="14"/>
  <c r="AC104" i="14"/>
  <c r="X104" i="14"/>
  <c r="P104" i="14"/>
  <c r="H104" i="14"/>
  <c r="R104" i="14"/>
  <c r="AB104" i="14"/>
  <c r="Y104" i="14"/>
  <c r="S104" i="14"/>
  <c r="AE104" i="14"/>
  <c r="O115" i="193" s="1"/>
  <c r="T104" i="14"/>
  <c r="K104" i="14"/>
  <c r="AD86" i="14"/>
  <c r="G86" i="14"/>
  <c r="AA86" i="14"/>
  <c r="V86" i="14"/>
  <c r="N86" i="14"/>
  <c r="Q86" i="14"/>
  <c r="U82" i="14"/>
  <c r="AB82" i="14"/>
  <c r="O74" i="14"/>
  <c r="T74" i="14"/>
  <c r="AA68" i="14"/>
  <c r="P68" i="14"/>
  <c r="Y68" i="14"/>
  <c r="AA78" i="14"/>
  <c r="Z78" i="14"/>
  <c r="Y78" i="14"/>
  <c r="V78" i="14"/>
  <c r="L208" i="14"/>
  <c r="Q202" i="14"/>
  <c r="G202" i="14"/>
  <c r="Z202" i="14"/>
  <c r="L202" i="14"/>
  <c r="X202" i="14"/>
  <c r="AE202" i="14"/>
  <c r="O213" i="193" s="1"/>
  <c r="AD202" i="14"/>
  <c r="K198" i="14"/>
  <c r="AD198" i="14"/>
  <c r="Z198" i="14"/>
  <c r="AE198" i="14"/>
  <c r="O209" i="193" s="1"/>
  <c r="H209" i="193" s="1"/>
  <c r="K209" i="193" s="1"/>
  <c r="N198" i="14"/>
  <c r="Q198" i="14"/>
  <c r="O198" i="14"/>
  <c r="J198" i="14"/>
  <c r="AD190" i="14"/>
  <c r="Z120" i="14"/>
  <c r="R120" i="14"/>
  <c r="AB120" i="14"/>
  <c r="J100" i="14"/>
  <c r="K100" i="14"/>
  <c r="J89" i="14"/>
  <c r="U89" i="14"/>
  <c r="AE89" i="14"/>
  <c r="O100" i="193" s="1"/>
  <c r="G100" i="193" s="1"/>
  <c r="J100" i="193" s="1"/>
  <c r="AD89" i="14"/>
  <c r="W77" i="14"/>
  <c r="Q94" i="14"/>
  <c r="Z205" i="14"/>
  <c r="AB205" i="14"/>
  <c r="R205" i="14"/>
  <c r="W205" i="14"/>
  <c r="H205" i="14"/>
  <c r="G205" i="14"/>
  <c r="AA205" i="14"/>
  <c r="K205" i="14"/>
  <c r="N205" i="14"/>
  <c r="Q205" i="14"/>
  <c r="P205" i="14"/>
  <c r="AD205" i="14"/>
  <c r="AE205" i="14"/>
  <c r="O216" i="193" s="1"/>
  <c r="T150" i="14"/>
  <c r="W150" i="14"/>
  <c r="J144" i="14"/>
  <c r="T144" i="14"/>
  <c r="O46" i="14"/>
  <c r="AC200" i="14"/>
  <c r="J200" i="14"/>
  <c r="S200" i="14"/>
  <c r="U200" i="14"/>
  <c r="N200" i="14"/>
  <c r="O200" i="14"/>
  <c r="P88" i="14"/>
  <c r="AC88" i="14"/>
  <c r="Z158" i="14"/>
  <c r="K158" i="14"/>
  <c r="G158" i="14"/>
  <c r="N158" i="14"/>
  <c r="U158" i="14"/>
  <c r="AB158" i="14"/>
  <c r="AC158" i="14"/>
  <c r="L158" i="14"/>
  <c r="P158" i="14"/>
  <c r="AD158" i="14"/>
  <c r="Q158" i="14"/>
  <c r="I158" i="14"/>
  <c r="H158" i="14"/>
  <c r="R158" i="14"/>
  <c r="S158" i="14"/>
  <c r="T158" i="14"/>
  <c r="AE158" i="14"/>
  <c r="O169" i="193" s="1"/>
  <c r="G169" i="193" s="1"/>
  <c r="J169" i="193" s="1"/>
  <c r="AA158" i="14"/>
  <c r="W158" i="14"/>
  <c r="J158" i="14"/>
  <c r="O158" i="14"/>
  <c r="Y158" i="14"/>
  <c r="V158" i="14"/>
  <c r="AA88" i="14"/>
  <c r="G88" i="14"/>
  <c r="W88" i="14"/>
  <c r="AB88" i="14"/>
  <c r="K88" i="14"/>
  <c r="T88" i="14"/>
  <c r="X88" i="14"/>
  <c r="V88" i="14"/>
  <c r="Q88" i="14"/>
  <c r="H88" i="14"/>
  <c r="L88" i="14"/>
  <c r="Y88" i="14"/>
  <c r="S88" i="14"/>
  <c r="O88" i="14"/>
  <c r="Z88" i="14"/>
  <c r="AD88" i="14"/>
  <c r="I88" i="14"/>
  <c r="AE88" i="14"/>
  <c r="O99" i="193" s="1"/>
  <c r="G99" i="193" s="1"/>
  <c r="J99" i="193" s="1"/>
  <c r="N88" i="14"/>
  <c r="R88" i="14"/>
  <c r="AB96" i="14"/>
  <c r="Y96" i="14"/>
  <c r="Z96" i="14"/>
  <c r="G96" i="14"/>
  <c r="T96" i="14"/>
  <c r="H96" i="14"/>
  <c r="K96" i="14"/>
  <c r="AE96" i="14"/>
  <c r="O107" i="193" s="1"/>
  <c r="G107" i="193" s="1"/>
  <c r="J107" i="193" s="1"/>
  <c r="J96" i="14"/>
  <c r="S96" i="14"/>
  <c r="P96" i="14"/>
  <c r="Q96" i="14"/>
  <c r="N96" i="14"/>
  <c r="AD96" i="14"/>
  <c r="AA96" i="14"/>
  <c r="W96" i="14"/>
  <c r="U96" i="14"/>
  <c r="L96" i="14"/>
  <c r="N57" i="14"/>
  <c r="H50" i="14"/>
  <c r="Q50" i="14"/>
  <c r="Y50" i="14"/>
  <c r="L50" i="14"/>
  <c r="U50" i="14"/>
  <c r="AC50" i="14"/>
  <c r="J50" i="14"/>
  <c r="S50" i="14"/>
  <c r="AA50" i="14"/>
  <c r="G50" i="14"/>
  <c r="P50" i="14"/>
  <c r="I50" i="14"/>
  <c r="R50" i="14"/>
  <c r="Z50" i="14"/>
  <c r="O50" i="14"/>
  <c r="X50" i="14"/>
  <c r="N50" i="14"/>
  <c r="R96" i="14"/>
  <c r="K92" i="14"/>
  <c r="J92" i="14"/>
  <c r="P92" i="14"/>
  <c r="Z92" i="14"/>
  <c r="AE92" i="14"/>
  <c r="O103" i="193" s="1"/>
  <c r="G103" i="193" s="1"/>
  <c r="J103" i="193" s="1"/>
  <c r="W92" i="14"/>
  <c r="L92" i="14"/>
  <c r="Y92" i="14"/>
  <c r="U92" i="14"/>
  <c r="I92" i="14"/>
  <c r="O92" i="14"/>
  <c r="H92" i="14"/>
  <c r="S92" i="14"/>
  <c r="X92" i="14"/>
  <c r="AD92" i="14"/>
  <c r="V92" i="14"/>
  <c r="G92" i="14"/>
  <c r="T92" i="14"/>
  <c r="AA92" i="14"/>
  <c r="K50" i="14"/>
  <c r="T50" i="14"/>
  <c r="AB50" i="14"/>
  <c r="O96" i="14"/>
  <c r="AB92" i="14"/>
  <c r="AA120" i="14"/>
  <c r="P120" i="14"/>
  <c r="S120" i="14"/>
  <c r="W120" i="14"/>
  <c r="X120" i="14"/>
  <c r="Y120" i="14"/>
  <c r="U120" i="14"/>
  <c r="AE120" i="14"/>
  <c r="O131" i="193" s="1"/>
  <c r="H131" i="193" s="1"/>
  <c r="K131" i="193" s="1"/>
  <c r="V120" i="14"/>
  <c r="L120" i="14"/>
  <c r="AD120" i="14"/>
  <c r="G120" i="14"/>
  <c r="O120" i="14"/>
  <c r="K120" i="14"/>
  <c r="Q120" i="14"/>
  <c r="Y117" i="14"/>
  <c r="K114" i="14"/>
  <c r="U114" i="14"/>
  <c r="AA114" i="14"/>
  <c r="I114" i="14"/>
  <c r="N114" i="14"/>
  <c r="V114" i="14"/>
  <c r="T114" i="14"/>
  <c r="Q114" i="14"/>
  <c r="S114" i="14"/>
  <c r="P114" i="14"/>
  <c r="X114" i="14"/>
  <c r="Y114" i="14"/>
  <c r="G190" i="14"/>
  <c r="V190" i="14"/>
  <c r="N128" i="14"/>
  <c r="I128" i="14"/>
  <c r="R128" i="14"/>
  <c r="AB122" i="14"/>
  <c r="U122" i="14"/>
  <c r="AA122" i="14"/>
  <c r="K122" i="14"/>
  <c r="O122" i="14"/>
  <c r="Q122" i="14"/>
  <c r="X122" i="14"/>
  <c r="AC122" i="14"/>
  <c r="G122" i="14"/>
  <c r="Y122" i="14"/>
  <c r="R122" i="14"/>
  <c r="Z148" i="14"/>
  <c r="Y148" i="14"/>
  <c r="R142" i="14"/>
  <c r="P142" i="14"/>
  <c r="L136" i="14"/>
  <c r="X136" i="14"/>
  <c r="R147" i="14"/>
  <c r="Z147" i="14"/>
  <c r="W82" i="14"/>
  <c r="D45" i="193"/>
  <c r="D46" i="193"/>
  <c r="D47" i="193"/>
  <c r="D48" i="193"/>
  <c r="D49" i="193"/>
  <c r="D50" i="193"/>
  <c r="D51" i="193"/>
  <c r="D52" i="193"/>
  <c r="D53" i="193"/>
  <c r="D54" i="193"/>
  <c r="D55" i="193"/>
  <c r="D56" i="193"/>
  <c r="D57" i="193"/>
  <c r="D58" i="193"/>
  <c r="D59" i="193"/>
  <c r="D60" i="193"/>
  <c r="D61" i="193"/>
  <c r="D62" i="193"/>
  <c r="D63" i="193"/>
  <c r="D64" i="193"/>
  <c r="D65" i="193"/>
  <c r="D66" i="193"/>
  <c r="D67" i="193"/>
  <c r="D68" i="193"/>
  <c r="D69" i="193"/>
  <c r="D70" i="193"/>
  <c r="D71" i="193"/>
  <c r="D72" i="193"/>
  <c r="D73" i="193"/>
  <c r="D74" i="193"/>
  <c r="D75" i="193"/>
  <c r="D76" i="193"/>
  <c r="D77" i="193"/>
  <c r="D78" i="193"/>
  <c r="D79" i="193"/>
  <c r="D80" i="193"/>
  <c r="D81" i="193"/>
  <c r="D82" i="193"/>
  <c r="D83" i="193"/>
  <c r="D84" i="193"/>
  <c r="D85" i="193"/>
  <c r="D86" i="193"/>
  <c r="D87" i="193"/>
  <c r="D88" i="193"/>
  <c r="D89" i="193"/>
  <c r="D90" i="193"/>
  <c r="D91" i="193"/>
  <c r="D92" i="193"/>
  <c r="D93" i="193"/>
  <c r="D94" i="193"/>
  <c r="D95" i="193"/>
  <c r="D96" i="193"/>
  <c r="E32" i="193"/>
  <c r="E33" i="193" s="1"/>
  <c r="E34" i="193" s="1"/>
  <c r="E35" i="193" s="1"/>
  <c r="E36" i="193" s="1"/>
  <c r="E37" i="193" s="1"/>
  <c r="E38" i="193" s="1"/>
  <c r="E39" i="193" s="1"/>
  <c r="E40" i="193" s="1"/>
  <c r="E41" i="193" s="1"/>
  <c r="E42" i="193" s="1"/>
  <c r="E43" i="193" s="1"/>
  <c r="E44" i="193"/>
  <c r="E45" i="193"/>
  <c r="E46" i="193"/>
  <c r="E47" i="193"/>
  <c r="E48" i="193"/>
  <c r="E49" i="193"/>
  <c r="E50" i="193"/>
  <c r="E51" i="193"/>
  <c r="E52" i="193"/>
  <c r="E53" i="193"/>
  <c r="E54" i="193"/>
  <c r="E55" i="193"/>
  <c r="E56" i="193"/>
  <c r="E57" i="193"/>
  <c r="E58" i="193"/>
  <c r="E59" i="193"/>
  <c r="E60" i="193"/>
  <c r="E61" i="193"/>
  <c r="E62" i="193"/>
  <c r="E63" i="193"/>
  <c r="E64" i="193"/>
  <c r="E65" i="193"/>
  <c r="E66" i="193"/>
  <c r="E67" i="193"/>
  <c r="E68" i="193"/>
  <c r="E69" i="193"/>
  <c r="E70" i="193"/>
  <c r="E71" i="193"/>
  <c r="E72" i="193"/>
  <c r="E73" i="193"/>
  <c r="E74" i="193"/>
  <c r="E75" i="193"/>
  <c r="E76" i="193"/>
  <c r="E77" i="193"/>
  <c r="E78" i="193"/>
  <c r="E79" i="193"/>
  <c r="E80" i="193"/>
  <c r="E81" i="193"/>
  <c r="E82" i="193"/>
  <c r="E83" i="193"/>
  <c r="E84" i="193"/>
  <c r="E85" i="193"/>
  <c r="E86" i="193"/>
  <c r="E87" i="193"/>
  <c r="E88" i="193"/>
  <c r="E89" i="193"/>
  <c r="E90" i="193"/>
  <c r="E91" i="193"/>
  <c r="E92" i="193"/>
  <c r="E93" i="193"/>
  <c r="E94" i="193"/>
  <c r="E95" i="193"/>
  <c r="E96" i="193"/>
  <c r="S26" i="192"/>
  <c r="C29" i="14"/>
  <c r="S24" i="192"/>
  <c r="C22" i="14"/>
  <c r="G22" i="14" s="1"/>
  <c r="S17" i="192"/>
  <c r="C45" i="193"/>
  <c r="C46" i="193"/>
  <c r="C47" i="193"/>
  <c r="C48" i="193"/>
  <c r="C49" i="193"/>
  <c r="C50" i="193"/>
  <c r="C51" i="193"/>
  <c r="C52" i="193"/>
  <c r="C53" i="193"/>
  <c r="C54" i="193"/>
  <c r="C55" i="193"/>
  <c r="C56" i="193"/>
  <c r="C57" i="193"/>
  <c r="C58" i="193"/>
  <c r="C59" i="193"/>
  <c r="C60" i="193"/>
  <c r="C61" i="193"/>
  <c r="C62" i="193"/>
  <c r="C63" i="193"/>
  <c r="C64" i="193"/>
  <c r="C65" i="193"/>
  <c r="C66" i="193"/>
  <c r="C67" i="193"/>
  <c r="S14" i="192"/>
  <c r="N199" i="14"/>
  <c r="I199" i="14"/>
  <c r="L199" i="14"/>
  <c r="AB199" i="14"/>
  <c r="R199" i="14"/>
  <c r="X199" i="14"/>
  <c r="AA199" i="14"/>
  <c r="S199" i="14"/>
  <c r="U199" i="14"/>
  <c r="Q199" i="14"/>
  <c r="O199" i="14"/>
  <c r="AD199" i="14"/>
  <c r="G199" i="14"/>
  <c r="AC199" i="14"/>
  <c r="J199" i="14"/>
  <c r="AE199" i="14"/>
  <c r="O210" i="193" s="1"/>
  <c r="G210" i="193" s="1"/>
  <c r="J210" i="193" s="1"/>
  <c r="W199" i="14"/>
  <c r="H199" i="14"/>
  <c r="T199" i="14"/>
  <c r="V199" i="14"/>
  <c r="P199" i="14"/>
  <c r="L187" i="14"/>
  <c r="O187" i="14"/>
  <c r="V187" i="14"/>
  <c r="AD187" i="14"/>
  <c r="AB187" i="14"/>
  <c r="G187" i="14"/>
  <c r="Q187" i="14"/>
  <c r="AC187" i="14"/>
  <c r="AE187" i="14"/>
  <c r="O198" i="193" s="1"/>
  <c r="F198" i="193" s="1"/>
  <c r="T198" i="193" s="1"/>
  <c r="Z187" i="14"/>
  <c r="AA160" i="14"/>
  <c r="G160" i="14"/>
  <c r="AD160" i="14"/>
  <c r="Q160" i="14"/>
  <c r="Y160" i="14"/>
  <c r="AE160" i="14"/>
  <c r="O171" i="193" s="1"/>
  <c r="H171" i="193" s="1"/>
  <c r="K171" i="193" s="1"/>
  <c r="V160" i="14"/>
  <c r="T160" i="14"/>
  <c r="U160" i="14"/>
  <c r="O160" i="14"/>
  <c r="H160" i="14"/>
  <c r="W160" i="14"/>
  <c r="X160" i="14"/>
  <c r="J160" i="14"/>
  <c r="AB160" i="14"/>
  <c r="AC160" i="14"/>
  <c r="Z160" i="14"/>
  <c r="S160" i="14"/>
  <c r="N160" i="14"/>
  <c r="K160" i="14"/>
  <c r="S139" i="14"/>
  <c r="AA139" i="14"/>
  <c r="Y139" i="14"/>
  <c r="T139" i="14"/>
  <c r="I139" i="14"/>
  <c r="Z139" i="14"/>
  <c r="AB139" i="14"/>
  <c r="I81" i="14"/>
  <c r="R81" i="14"/>
  <c r="Z81" i="14"/>
  <c r="K81" i="14"/>
  <c r="T81" i="14"/>
  <c r="AB81" i="14"/>
  <c r="J81" i="14"/>
  <c r="S81" i="14"/>
  <c r="AA81" i="14"/>
  <c r="V81" i="14"/>
  <c r="H81" i="14"/>
  <c r="Q81" i="14"/>
  <c r="Y81" i="14"/>
  <c r="G81" i="14"/>
  <c r="P81" i="14"/>
  <c r="X81" i="14"/>
  <c r="N81" i="14"/>
  <c r="W81" i="14"/>
  <c r="L81" i="14"/>
  <c r="U81" i="14"/>
  <c r="AC81" i="14"/>
  <c r="J74" i="14"/>
  <c r="S74" i="14"/>
  <c r="V74" i="14"/>
  <c r="W74" i="14"/>
  <c r="G74" i="14"/>
  <c r="P74" i="14"/>
  <c r="X74" i="14"/>
  <c r="AA74" i="14"/>
  <c r="R74" i="14"/>
  <c r="Z74" i="14"/>
  <c r="AC74" i="14"/>
  <c r="S187" i="14"/>
  <c r="I160" i="14"/>
  <c r="AD139" i="14"/>
  <c r="Z199" i="14"/>
  <c r="H74" i="14"/>
  <c r="Q74" i="14"/>
  <c r="Y74" i="14"/>
  <c r="H187" i="14"/>
  <c r="K199" i="14"/>
  <c r="AC41" i="14"/>
  <c r="P160" i="14"/>
  <c r="AC180" i="14"/>
  <c r="J180" i="14"/>
  <c r="R180" i="14"/>
  <c r="L127" i="14"/>
  <c r="P125" i="14"/>
  <c r="V121" i="14"/>
  <c r="J121" i="14"/>
  <c r="K121" i="14"/>
  <c r="N121" i="14"/>
  <c r="R121" i="14"/>
  <c r="Q119" i="14"/>
  <c r="W119" i="14"/>
  <c r="K112" i="14"/>
  <c r="S112" i="14"/>
  <c r="AC112" i="14"/>
  <c r="G112" i="14"/>
  <c r="R112" i="14"/>
  <c r="L112" i="14"/>
  <c r="Y112" i="14"/>
  <c r="P112" i="14"/>
  <c r="U112" i="14"/>
  <c r="Q112" i="14"/>
  <c r="AA112" i="14"/>
  <c r="H112" i="14"/>
  <c r="I112" i="14"/>
  <c r="J112" i="14"/>
  <c r="O112" i="14"/>
  <c r="V112" i="14"/>
  <c r="W112" i="14"/>
  <c r="Z112" i="14"/>
  <c r="J67" i="14"/>
  <c r="S67" i="14"/>
  <c r="AA67" i="14"/>
  <c r="P67" i="14"/>
  <c r="X67" i="14"/>
  <c r="H61" i="14"/>
  <c r="V161" i="14"/>
  <c r="G161" i="14"/>
  <c r="Z161" i="14"/>
  <c r="I94" i="14"/>
  <c r="K94" i="14"/>
  <c r="Q87" i="14"/>
  <c r="N87" i="14"/>
  <c r="W111" i="14"/>
  <c r="AE94" i="14"/>
  <c r="O105" i="193" s="1"/>
  <c r="N163" i="14"/>
  <c r="R94" i="14"/>
  <c r="V148" i="14"/>
  <c r="AB148" i="14"/>
  <c r="H148" i="14"/>
  <c r="J148" i="14"/>
  <c r="AD148" i="14"/>
  <c r="AD94" i="14"/>
  <c r="G94" i="14"/>
  <c r="S142" i="14"/>
  <c r="Q142" i="14"/>
  <c r="P136" i="14"/>
  <c r="I136" i="14"/>
  <c r="G136" i="14"/>
  <c r="W39" i="14"/>
  <c r="AE39" i="14"/>
  <c r="O50" i="193" s="1"/>
  <c r="AD42" i="14"/>
  <c r="L44" i="14"/>
  <c r="U44" i="14"/>
  <c r="AC44" i="14"/>
  <c r="G44" i="14"/>
  <c r="P44" i="14"/>
  <c r="X44" i="14"/>
  <c r="K44" i="14"/>
  <c r="T44" i="14"/>
  <c r="AB44" i="14"/>
  <c r="AD70" i="14"/>
  <c r="AE70" i="14"/>
  <c r="O81" i="193" s="1"/>
  <c r="F81" i="193" s="1"/>
  <c r="AD65" i="14"/>
  <c r="AE65" i="14"/>
  <c r="O76" i="193" s="1"/>
  <c r="F76" i="193" s="1"/>
  <c r="R76" i="193" s="1"/>
  <c r="AE80" i="14"/>
  <c r="O91" i="193" s="1"/>
  <c r="G91" i="193" s="1"/>
  <c r="J91" i="193" s="1"/>
  <c r="W83" i="14"/>
  <c r="AD74" i="14"/>
  <c r="AE74" i="14"/>
  <c r="O85" i="193" s="1"/>
  <c r="F85" i="193" s="1"/>
  <c r="AB85" i="193" s="1"/>
  <c r="T72" i="192"/>
  <c r="S44" i="14"/>
  <c r="AA44" i="14"/>
  <c r="H44" i="14"/>
  <c r="Q44" i="14"/>
  <c r="Y44" i="14"/>
  <c r="AD68" i="14"/>
  <c r="AE76" i="14"/>
  <c r="O87" i="193" s="1"/>
  <c r="F87" i="193" s="1"/>
  <c r="AB87" i="193" s="1"/>
  <c r="N44" i="14"/>
  <c r="AD67" i="14"/>
  <c r="AE67" i="14"/>
  <c r="O78" i="193" s="1"/>
  <c r="F78" i="193" s="1"/>
  <c r="V78" i="193" s="1"/>
  <c r="V44" i="14"/>
  <c r="I44" i="14"/>
  <c r="R44" i="14"/>
  <c r="Z44" i="14"/>
  <c r="AD82" i="14"/>
  <c r="C68" i="193"/>
  <c r="C69" i="193"/>
  <c r="C70" i="193"/>
  <c r="C71" i="193"/>
  <c r="C72" i="193"/>
  <c r="C73" i="193"/>
  <c r="C74" i="193"/>
  <c r="C75" i="193"/>
  <c r="AD81" i="14"/>
  <c r="AE81" i="14"/>
  <c r="O92" i="193" s="1"/>
  <c r="T75" i="192"/>
  <c r="T51" i="192"/>
  <c r="T44" i="192"/>
  <c r="T65" i="192"/>
  <c r="T45" i="192"/>
  <c r="T53" i="192"/>
  <c r="T55" i="192"/>
  <c r="AD78" i="14"/>
  <c r="AE78" i="14"/>
  <c r="O89" i="193" s="1"/>
  <c r="G89" i="193" s="1"/>
  <c r="J89" i="193" s="1"/>
  <c r="Z34" i="14"/>
  <c r="T76" i="192"/>
  <c r="T52" i="192"/>
  <c r="T80" i="192"/>
  <c r="T78" i="192"/>
  <c r="T60" i="192"/>
  <c r="T50" i="192"/>
  <c r="T73" i="192"/>
  <c r="T66" i="192"/>
  <c r="T67" i="192"/>
  <c r="T74" i="192"/>
  <c r="T56" i="192"/>
  <c r="T40" i="192"/>
  <c r="T61" i="192"/>
  <c r="T77" i="192"/>
  <c r="T62" i="192"/>
  <c r="T79" i="192"/>
  <c r="T39" i="192"/>
  <c r="T64" i="192"/>
  <c r="O44" i="14"/>
  <c r="W44" i="14"/>
  <c r="W50" i="14"/>
  <c r="AD50" i="14"/>
  <c r="AE50" i="14"/>
  <c r="O61" i="193" s="1"/>
  <c r="F61" i="193" s="1"/>
  <c r="P61" i="193" s="1"/>
  <c r="Y34" i="14"/>
  <c r="T68" i="192"/>
  <c r="T70" i="192"/>
  <c r="T49" i="192"/>
  <c r="T63" i="192"/>
  <c r="T54" i="192"/>
  <c r="T42" i="192"/>
  <c r="T69" i="192"/>
  <c r="T43" i="192"/>
  <c r="T59" i="192"/>
  <c r="T46" i="192"/>
  <c r="T71" i="192"/>
  <c r="T30" i="192"/>
  <c r="T29" i="192"/>
  <c r="T31" i="192"/>
  <c r="T47" i="192"/>
  <c r="T41" i="192"/>
  <c r="T34" i="192"/>
  <c r="T35" i="192"/>
  <c r="T48" i="192"/>
  <c r="T57" i="192"/>
  <c r="T37" i="192"/>
  <c r="T32" i="192"/>
  <c r="T58" i="192"/>
  <c r="T38" i="192"/>
  <c r="T33" i="192"/>
  <c r="T36" i="192"/>
  <c r="N29" i="14"/>
  <c r="H29" i="14"/>
  <c r="O29" i="14"/>
  <c r="L29" i="14"/>
  <c r="U29" i="14" s="1"/>
  <c r="AC29" i="14" s="1"/>
  <c r="J29" i="14"/>
  <c r="W34" i="14"/>
  <c r="AD44" i="14"/>
  <c r="AE44" i="14"/>
  <c r="O55" i="193" s="1"/>
  <c r="C76" i="193"/>
  <c r="C77" i="193"/>
  <c r="C78" i="193"/>
  <c r="C79" i="193"/>
  <c r="C80" i="193"/>
  <c r="C81" i="193"/>
  <c r="C82" i="193"/>
  <c r="C83" i="193"/>
  <c r="C84" i="193"/>
  <c r="C85" i="193"/>
  <c r="C86" i="193"/>
  <c r="C87" i="193"/>
  <c r="C88" i="193"/>
  <c r="C89" i="193"/>
  <c r="C90" i="193"/>
  <c r="C91" i="193"/>
  <c r="C92" i="193"/>
  <c r="C93" i="193"/>
  <c r="C94" i="193"/>
  <c r="C95" i="193"/>
  <c r="C96" i="193"/>
  <c r="Y195" i="14"/>
  <c r="X180" i="14"/>
  <c r="W180" i="14"/>
  <c r="AD180" i="14"/>
  <c r="AB180" i="14"/>
  <c r="I180" i="14"/>
  <c r="T180" i="14"/>
  <c r="P180" i="14"/>
  <c r="AA180" i="14"/>
  <c r="AE180" i="14"/>
  <c r="O191" i="193" s="1"/>
  <c r="G191" i="193" s="1"/>
  <c r="J191" i="193" s="1"/>
  <c r="Y180" i="14"/>
  <c r="N180" i="14"/>
  <c r="V180" i="14"/>
  <c r="U180" i="14"/>
  <c r="S180" i="14"/>
  <c r="G180" i="14"/>
  <c r="AB172" i="14"/>
  <c r="N172" i="14"/>
  <c r="K172" i="14"/>
  <c r="Q172" i="14"/>
  <c r="P172" i="14"/>
  <c r="H172" i="14"/>
  <c r="AD172" i="14"/>
  <c r="X172" i="14"/>
  <c r="W172" i="14"/>
  <c r="AA172" i="14"/>
  <c r="L172" i="14"/>
  <c r="I172" i="14"/>
  <c r="U121" i="14"/>
  <c r="L121" i="14"/>
  <c r="X121" i="14"/>
  <c r="AC97" i="14"/>
  <c r="V97" i="14"/>
  <c r="S97" i="14"/>
  <c r="AD97" i="14"/>
  <c r="I93" i="14"/>
  <c r="U93" i="14"/>
  <c r="N93" i="14"/>
  <c r="AC93" i="14"/>
  <c r="N39" i="14"/>
  <c r="L39" i="14"/>
  <c r="AA39" i="14"/>
  <c r="X39" i="14"/>
  <c r="H39" i="14"/>
  <c r="Z39" i="14"/>
  <c r="K39" i="14"/>
  <c r="U39" i="14"/>
  <c r="J39" i="14"/>
  <c r="G39" i="14"/>
  <c r="Y39" i="14"/>
  <c r="I39" i="14"/>
  <c r="O39" i="14"/>
  <c r="AB39" i="14"/>
  <c r="AD39" i="14"/>
  <c r="AE172" i="14"/>
  <c r="O183" i="193" s="1"/>
  <c r="G183" i="193" s="1"/>
  <c r="J183" i="193" s="1"/>
  <c r="AB119" i="14"/>
  <c r="AD121" i="14"/>
  <c r="Q121" i="14"/>
  <c r="T121" i="14"/>
  <c r="H121" i="14"/>
  <c r="I121" i="14"/>
  <c r="T125" i="14"/>
  <c r="O180" i="14"/>
  <c r="H101" i="14"/>
  <c r="N125" i="14"/>
  <c r="K190" i="14"/>
  <c r="W190" i="14"/>
  <c r="X117" i="14"/>
  <c r="U105" i="14"/>
  <c r="AE166" i="14"/>
  <c r="O177" i="193" s="1"/>
  <c r="AB170" i="14"/>
  <c r="AD176" i="14"/>
  <c r="V39" i="14"/>
  <c r="O172" i="14"/>
  <c r="U172" i="14"/>
  <c r="AA109" i="14"/>
  <c r="T93" i="14"/>
  <c r="H180" i="14"/>
  <c r="T172" i="14"/>
  <c r="I151" i="14"/>
  <c r="J151" i="14"/>
  <c r="AC151" i="14"/>
  <c r="H151" i="14"/>
  <c r="L151" i="14"/>
  <c r="K151" i="14"/>
  <c r="H147" i="14"/>
  <c r="N147" i="14"/>
  <c r="G147" i="14"/>
  <c r="AC147" i="14"/>
  <c r="W144" i="14"/>
  <c r="U144" i="14"/>
  <c r="Q144" i="14"/>
  <c r="V144" i="14"/>
  <c r="H144" i="14"/>
  <c r="O144" i="14"/>
  <c r="AC144" i="14"/>
  <c r="L144" i="14"/>
  <c r="X144" i="14"/>
  <c r="S144" i="14"/>
  <c r="I144" i="14"/>
  <c r="P144" i="14"/>
  <c r="J136" i="14"/>
  <c r="T136" i="14"/>
  <c r="U136" i="14"/>
  <c r="R136" i="14"/>
  <c r="Y136" i="14"/>
  <c r="AE136" i="14"/>
  <c r="O147" i="193" s="1"/>
  <c r="F147" i="193" s="1"/>
  <c r="P147" i="193" s="1"/>
  <c r="AC136" i="14"/>
  <c r="AD136" i="14"/>
  <c r="AA136" i="14"/>
  <c r="Q136" i="14"/>
  <c r="X190" i="14"/>
  <c r="T190" i="14"/>
  <c r="AA190" i="14"/>
  <c r="Q190" i="14"/>
  <c r="T170" i="14"/>
  <c r="H170" i="14"/>
  <c r="J170" i="14"/>
  <c r="Z170" i="14"/>
  <c r="V170" i="14"/>
  <c r="R170" i="14"/>
  <c r="Q170" i="14"/>
  <c r="AD170" i="14"/>
  <c r="P170" i="14"/>
  <c r="I170" i="14"/>
  <c r="AE170" i="14"/>
  <c r="O181" i="193" s="1"/>
  <c r="G181" i="193" s="1"/>
  <c r="J181" i="193" s="1"/>
  <c r="AA170" i="14"/>
  <c r="X166" i="14"/>
  <c r="N166" i="14"/>
  <c r="G166" i="14"/>
  <c r="I166" i="14"/>
  <c r="O166" i="14"/>
  <c r="T166" i="14"/>
  <c r="H166" i="14"/>
  <c r="T115" i="14"/>
  <c r="I111" i="14"/>
  <c r="T111" i="14"/>
  <c r="AA111" i="14"/>
  <c r="C12" i="14"/>
  <c r="I12" i="14" s="1"/>
  <c r="R12" i="14" s="1"/>
  <c r="Z12" i="14" s="1"/>
  <c r="S7" i="192"/>
  <c r="AD34" i="14"/>
  <c r="L111" i="14"/>
  <c r="AE119" i="14"/>
  <c r="O130" i="193" s="1"/>
  <c r="F130" i="193" s="1"/>
  <c r="AE121" i="14"/>
  <c r="O132" i="193" s="1"/>
  <c r="F132" i="193" s="1"/>
  <c r="U132" i="193" s="1"/>
  <c r="S121" i="14"/>
  <c r="Z121" i="14"/>
  <c r="AC121" i="14"/>
  <c r="W121" i="14"/>
  <c r="J123" i="14"/>
  <c r="V125" i="14"/>
  <c r="Z182" i="14"/>
  <c r="Q180" i="14"/>
  <c r="P182" i="14"/>
  <c r="AB190" i="14"/>
  <c r="Z111" i="14"/>
  <c r="I117" i="14"/>
  <c r="I105" i="14"/>
  <c r="AE117" i="14"/>
  <c r="O128" i="193" s="1"/>
  <c r="F128" i="193" s="1"/>
  <c r="P128" i="193" s="1"/>
  <c r="Y186" i="14"/>
  <c r="I190" i="14"/>
  <c r="H111" i="14"/>
  <c r="L170" i="14"/>
  <c r="T39" i="14"/>
  <c r="AC39" i="14"/>
  <c r="J172" i="14"/>
  <c r="V172" i="14"/>
  <c r="Z172" i="14"/>
  <c r="AC109" i="14"/>
  <c r="AB166" i="14"/>
  <c r="Z180" i="14"/>
  <c r="T206" i="14"/>
  <c r="P206" i="14"/>
  <c r="K206" i="14"/>
  <c r="W206" i="14"/>
  <c r="AA206" i="14"/>
  <c r="AE206" i="14"/>
  <c r="O217" i="193" s="1"/>
  <c r="AB206" i="14"/>
  <c r="U206" i="14"/>
  <c r="X206" i="14"/>
  <c r="V206" i="14"/>
  <c r="Y206" i="14"/>
  <c r="L161" i="14"/>
  <c r="AA161" i="14"/>
  <c r="Y161" i="14"/>
  <c r="O161" i="14"/>
  <c r="J161" i="14"/>
  <c r="R161" i="14"/>
  <c r="W161" i="14"/>
  <c r="K161" i="14"/>
  <c r="AD161" i="14"/>
  <c r="AB161" i="14"/>
  <c r="P161" i="14"/>
  <c r="Q161" i="14"/>
  <c r="AC161" i="14"/>
  <c r="U161" i="14"/>
  <c r="I161" i="14"/>
  <c r="H161" i="14"/>
  <c r="T161" i="14"/>
  <c r="AE161" i="14"/>
  <c r="O172" i="193" s="1"/>
  <c r="F172" i="193" s="1"/>
  <c r="AC149" i="14"/>
  <c r="K149" i="14"/>
  <c r="S146" i="14"/>
  <c r="R146" i="14"/>
  <c r="V146" i="14"/>
  <c r="I146" i="14"/>
  <c r="O146" i="14"/>
  <c r="X146" i="14"/>
  <c r="J146" i="14"/>
  <c r="Y146" i="14"/>
  <c r="N146" i="14"/>
  <c r="W146" i="14"/>
  <c r="Q146" i="14"/>
  <c r="T146" i="14"/>
  <c r="AC146" i="14"/>
  <c r="U146" i="14"/>
  <c r="G146" i="14"/>
  <c r="Y134" i="14"/>
  <c r="R89" i="14"/>
  <c r="S89" i="14"/>
  <c r="G89" i="14"/>
  <c r="Z89" i="14"/>
  <c r="T89" i="14"/>
  <c r="AA89" i="14"/>
  <c r="I203" i="14"/>
  <c r="AE197" i="14"/>
  <c r="O208" i="193" s="1"/>
  <c r="G208" i="193" s="1"/>
  <c r="J208" i="193" s="1"/>
  <c r="K197" i="14"/>
  <c r="AA197" i="14"/>
  <c r="V197" i="14"/>
  <c r="T197" i="14"/>
  <c r="Y197" i="14"/>
  <c r="S197" i="14"/>
  <c r="W197" i="14"/>
  <c r="P109" i="14"/>
  <c r="T113" i="14"/>
  <c r="I113" i="14"/>
  <c r="AD109" i="14"/>
  <c r="I188" i="14"/>
  <c r="N127" i="14"/>
  <c r="AC127" i="14"/>
  <c r="Y73" i="14"/>
  <c r="U73" i="14"/>
  <c r="K73" i="14"/>
  <c r="R73" i="14"/>
  <c r="O73" i="14"/>
  <c r="S73" i="14"/>
  <c r="H73" i="14"/>
  <c r="W73" i="14"/>
  <c r="AB73" i="14"/>
  <c r="AE73" i="14"/>
  <c r="O84" i="193" s="1"/>
  <c r="H84" i="193" s="1"/>
  <c r="K84" i="193" s="1"/>
  <c r="V142" i="14"/>
  <c r="H125" i="14"/>
  <c r="X125" i="14"/>
  <c r="AB142" i="14"/>
  <c r="W117" i="14"/>
  <c r="O117" i="14"/>
  <c r="R105" i="14"/>
  <c r="Z113" i="14"/>
  <c r="X83" i="14"/>
  <c r="H113" i="14"/>
  <c r="N97" i="14"/>
  <c r="Z97" i="14"/>
  <c r="AC73" i="14"/>
  <c r="W182" i="14"/>
  <c r="Q182" i="14"/>
  <c r="AD182" i="14"/>
  <c r="I182" i="14"/>
  <c r="AC182" i="14"/>
  <c r="G182" i="14"/>
  <c r="Z142" i="14"/>
  <c r="L142" i="14"/>
  <c r="N142" i="14"/>
  <c r="AC142" i="14"/>
  <c r="O142" i="14"/>
  <c r="W142" i="14"/>
  <c r="J142" i="14"/>
  <c r="X142" i="14"/>
  <c r="AA142" i="14"/>
  <c r="AD142" i="14"/>
  <c r="H142" i="14"/>
  <c r="G142" i="14"/>
  <c r="I142" i="14"/>
  <c r="AE142" i="14"/>
  <c r="O153" i="193" s="1"/>
  <c r="H153" i="193" s="1"/>
  <c r="K153" i="193" s="1"/>
  <c r="Y142" i="14"/>
  <c r="AA125" i="14"/>
  <c r="I125" i="14"/>
  <c r="Q125" i="14"/>
  <c r="R125" i="14"/>
  <c r="O125" i="14"/>
  <c r="L125" i="14"/>
  <c r="W125" i="14"/>
  <c r="AE125" i="14"/>
  <c r="O136" i="193" s="1"/>
  <c r="H136" i="193" s="1"/>
  <c r="K136" i="193" s="1"/>
  <c r="AC125" i="14"/>
  <c r="J125" i="14"/>
  <c r="S125" i="14"/>
  <c r="K125" i="14"/>
  <c r="Y125" i="14"/>
  <c r="U117" i="14"/>
  <c r="H117" i="14"/>
  <c r="S117" i="14"/>
  <c r="Q117" i="14"/>
  <c r="T117" i="14"/>
  <c r="J117" i="14"/>
  <c r="L117" i="14"/>
  <c r="AD117" i="14"/>
  <c r="K117" i="14"/>
  <c r="R117" i="14"/>
  <c r="N117" i="14"/>
  <c r="Z117" i="14"/>
  <c r="Y113" i="14"/>
  <c r="AB113" i="14"/>
  <c r="AD113" i="14"/>
  <c r="J113" i="14"/>
  <c r="U113" i="14"/>
  <c r="W113" i="14"/>
  <c r="X113" i="14"/>
  <c r="L113" i="14"/>
  <c r="O113" i="14"/>
  <c r="AC113" i="14"/>
  <c r="S113" i="14"/>
  <c r="P113" i="14"/>
  <c r="AA113" i="14"/>
  <c r="N113" i="14"/>
  <c r="V113" i="14"/>
  <c r="Q113" i="14"/>
  <c r="G109" i="14"/>
  <c r="Q109" i="14"/>
  <c r="K109" i="14"/>
  <c r="H109" i="14"/>
  <c r="O109" i="14"/>
  <c r="S109" i="14"/>
  <c r="I109" i="14"/>
  <c r="T109" i="14"/>
  <c r="L109" i="14"/>
  <c r="Z109" i="14"/>
  <c r="R109" i="14"/>
  <c r="Y109" i="14"/>
  <c r="V109" i="14"/>
  <c r="AB109" i="14"/>
  <c r="N109" i="14"/>
  <c r="X109" i="14"/>
  <c r="J109" i="14"/>
  <c r="N105" i="14"/>
  <c r="AC105" i="14"/>
  <c r="O105" i="14"/>
  <c r="AD105" i="14"/>
  <c r="P105" i="14"/>
  <c r="AA105" i="14"/>
  <c r="Y105" i="14"/>
  <c r="L105" i="14"/>
  <c r="G105" i="14"/>
  <c r="AE105" i="14"/>
  <c r="O116" i="193" s="1"/>
  <c r="H116" i="193" s="1"/>
  <c r="K116" i="193" s="1"/>
  <c r="H105" i="14"/>
  <c r="AB105" i="14"/>
  <c r="AD101" i="14"/>
  <c r="P101" i="14"/>
  <c r="J97" i="14"/>
  <c r="AA97" i="14"/>
  <c r="AE97" i="14"/>
  <c r="O108" i="193" s="1"/>
  <c r="G97" i="14"/>
  <c r="P97" i="14"/>
  <c r="Q97" i="14"/>
  <c r="T97" i="14"/>
  <c r="H97" i="14"/>
  <c r="R97" i="14"/>
  <c r="L97" i="14"/>
  <c r="X97" i="14"/>
  <c r="U97" i="14"/>
  <c r="W97" i="14"/>
  <c r="G93" i="14"/>
  <c r="AA93" i="14"/>
  <c r="O93" i="14"/>
  <c r="V93" i="14"/>
  <c r="R93" i="14"/>
  <c r="AE93" i="14"/>
  <c r="O104" i="193" s="1"/>
  <c r="F104" i="193" s="1"/>
  <c r="I104" i="193" s="1"/>
  <c r="N104" i="193" s="1"/>
  <c r="S93" i="14"/>
  <c r="Y93" i="14"/>
  <c r="Z93" i="14"/>
  <c r="H93" i="14"/>
  <c r="X93" i="14"/>
  <c r="Q93" i="14"/>
  <c r="AD93" i="14"/>
  <c r="L93" i="14"/>
  <c r="AB93" i="14"/>
  <c r="J93" i="14"/>
  <c r="P93" i="14"/>
  <c r="U87" i="14"/>
  <c r="Y87" i="14"/>
  <c r="W87" i="14"/>
  <c r="I87" i="14"/>
  <c r="O87" i="14"/>
  <c r="AC83" i="14"/>
  <c r="S83" i="14"/>
  <c r="L83" i="14"/>
  <c r="O83" i="14"/>
  <c r="Z83" i="14"/>
  <c r="N83" i="14"/>
  <c r="Q83" i="14"/>
  <c r="V83" i="14"/>
  <c r="I83" i="14"/>
  <c r="J83" i="14"/>
  <c r="T83" i="14"/>
  <c r="P83" i="14"/>
  <c r="AE83" i="14"/>
  <c r="O94" i="193" s="1"/>
  <c r="G94" i="193" s="1"/>
  <c r="J94" i="193" s="1"/>
  <c r="O75" i="14"/>
  <c r="AE79" i="14"/>
  <c r="O90" i="193" s="1"/>
  <c r="AD83" i="14"/>
  <c r="U142" i="14"/>
  <c r="Z87" i="14"/>
  <c r="Z125" i="14"/>
  <c r="AB125" i="14"/>
  <c r="AD125" i="14"/>
  <c r="AE182" i="14"/>
  <c r="O193" i="193" s="1"/>
  <c r="T142" i="14"/>
  <c r="V117" i="14"/>
  <c r="AC117" i="14"/>
  <c r="V105" i="14"/>
  <c r="J105" i="14"/>
  <c r="S105" i="14"/>
  <c r="Q105" i="14"/>
  <c r="AA117" i="14"/>
  <c r="AA83" i="14"/>
  <c r="AA73" i="14"/>
  <c r="AB83" i="14"/>
  <c r="U83" i="14"/>
  <c r="K97" i="14"/>
  <c r="AE109" i="14"/>
  <c r="O120" i="193" s="1"/>
  <c r="K93" i="14"/>
  <c r="I97" i="14"/>
  <c r="W109" i="14"/>
  <c r="G113" i="14"/>
  <c r="G127" i="14"/>
  <c r="AE113" i="14"/>
  <c r="O124" i="193" s="1"/>
  <c r="W93" i="14"/>
  <c r="Y97" i="14"/>
  <c r="W135" i="14"/>
  <c r="W118" i="14"/>
  <c r="I68" i="14"/>
  <c r="N64" i="14"/>
  <c r="O64" i="14"/>
  <c r="T64" i="14"/>
  <c r="H64" i="14"/>
  <c r="Z64" i="14"/>
  <c r="N152" i="14"/>
  <c r="AA152" i="14"/>
  <c r="R152" i="14"/>
  <c r="X152" i="14"/>
  <c r="G152" i="14"/>
  <c r="U152" i="14"/>
  <c r="Z152" i="14"/>
  <c r="J152" i="14"/>
  <c r="W148" i="14"/>
  <c r="I148" i="14"/>
  <c r="S148" i="14"/>
  <c r="T148" i="14"/>
  <c r="K148" i="14"/>
  <c r="P148" i="14"/>
  <c r="AC148" i="14"/>
  <c r="N148" i="14"/>
  <c r="O124" i="14"/>
  <c r="R124" i="14"/>
  <c r="H124" i="14"/>
  <c r="AC124" i="14"/>
  <c r="Z124" i="14"/>
  <c r="N120" i="14"/>
  <c r="H120" i="14"/>
  <c r="J204" i="14"/>
  <c r="V204" i="14"/>
  <c r="H164" i="14"/>
  <c r="P164" i="14"/>
  <c r="S164" i="14"/>
  <c r="Z164" i="14"/>
  <c r="AD164" i="14"/>
  <c r="AC164" i="14"/>
  <c r="K164" i="14"/>
  <c r="V164" i="14"/>
  <c r="U164" i="14"/>
  <c r="N164" i="14"/>
  <c r="W164" i="14"/>
  <c r="L164" i="14"/>
  <c r="X164" i="14"/>
  <c r="Y164" i="14"/>
  <c r="T164" i="14"/>
  <c r="R164" i="14"/>
  <c r="Q164" i="14"/>
  <c r="AB164" i="14"/>
  <c r="AE164" i="14"/>
  <c r="O175" i="193" s="1"/>
  <c r="AA164" i="14"/>
  <c r="O164" i="14"/>
  <c r="J164" i="14"/>
  <c r="G164" i="14"/>
  <c r="I164" i="14"/>
  <c r="L45" i="14"/>
  <c r="S45" i="14"/>
  <c r="L22" i="14"/>
  <c r="J22" i="14"/>
  <c r="S22" i="14" s="1"/>
  <c r="I22" i="14"/>
  <c r="R22" i="14" s="1"/>
  <c r="S8" i="192"/>
  <c r="Y207" i="14"/>
  <c r="AE207" i="14"/>
  <c r="O218" i="193" s="1"/>
  <c r="G218" i="193" s="1"/>
  <c r="J218" i="193" s="1"/>
  <c r="T207" i="14"/>
  <c r="Z207" i="14"/>
  <c r="R207" i="14"/>
  <c r="G207" i="14"/>
  <c r="AA207" i="14"/>
  <c r="J207" i="14"/>
  <c r="S207" i="14"/>
  <c r="H207" i="14"/>
  <c r="AC207" i="14"/>
  <c r="V207" i="14"/>
  <c r="AD207" i="14"/>
  <c r="AB207" i="14"/>
  <c r="O207" i="14"/>
  <c r="X207" i="14"/>
  <c r="U207" i="14"/>
  <c r="K207" i="14"/>
  <c r="N207" i="14"/>
  <c r="I207" i="14"/>
  <c r="P207" i="14"/>
  <c r="Q207" i="14"/>
  <c r="W207" i="14"/>
  <c r="N174" i="14"/>
  <c r="L174" i="14"/>
  <c r="G174" i="14"/>
  <c r="X174" i="14"/>
  <c r="Y174" i="14"/>
  <c r="AE174" i="14"/>
  <c r="O185" i="193" s="1"/>
  <c r="H185" i="193" s="1"/>
  <c r="K185" i="193" s="1"/>
  <c r="J174" i="14"/>
  <c r="T174" i="14"/>
  <c r="R174" i="14"/>
  <c r="AA174" i="14"/>
  <c r="V174" i="14"/>
  <c r="K174" i="14"/>
  <c r="S174" i="14"/>
  <c r="Q174" i="14"/>
  <c r="P174" i="14"/>
  <c r="W174" i="14"/>
  <c r="AB174" i="14"/>
  <c r="AC174" i="14"/>
  <c r="I174" i="14"/>
  <c r="AD174" i="14"/>
  <c r="O174" i="14"/>
  <c r="H174" i="14"/>
  <c r="I48" i="14"/>
  <c r="J48" i="14"/>
  <c r="J13" i="14"/>
  <c r="S13" i="14" s="1"/>
  <c r="AA13" i="14" s="1"/>
  <c r="L13" i="14"/>
  <c r="U13" i="14" s="1"/>
  <c r="AC13" i="14" s="1"/>
  <c r="K13" i="14"/>
  <c r="T13" i="14" s="1"/>
  <c r="AB13" i="14" s="1"/>
  <c r="N13" i="14"/>
  <c r="S55" i="14"/>
  <c r="Z174" i="14"/>
  <c r="U79" i="14"/>
  <c r="AC190" i="14"/>
  <c r="H190" i="14"/>
  <c r="S190" i="14"/>
  <c r="AE190" i="14"/>
  <c r="O201" i="193" s="1"/>
  <c r="F201" i="193" s="1"/>
  <c r="Y201" i="193" s="1"/>
  <c r="Z201" i="193" s="1"/>
  <c r="Y190" i="14"/>
  <c r="L190" i="14"/>
  <c r="P190" i="14"/>
  <c r="U190" i="14"/>
  <c r="O190" i="14"/>
  <c r="N190" i="14"/>
  <c r="R190" i="14"/>
  <c r="P187" i="14"/>
  <c r="X187" i="14"/>
  <c r="U187" i="14"/>
  <c r="AA187" i="14"/>
  <c r="J187" i="14"/>
  <c r="Y187" i="14"/>
  <c r="R151" i="14"/>
  <c r="S151" i="14"/>
  <c r="Z151" i="14"/>
  <c r="AB151" i="14"/>
  <c r="G151" i="14"/>
  <c r="X151" i="14"/>
  <c r="V151" i="14"/>
  <c r="Y151" i="14"/>
  <c r="N151" i="14"/>
  <c r="W151" i="14"/>
  <c r="P151" i="14"/>
  <c r="AA151" i="14"/>
  <c r="AD151" i="14"/>
  <c r="O151" i="14"/>
  <c r="U147" i="14"/>
  <c r="Y147" i="14"/>
  <c r="K147" i="14"/>
  <c r="S147" i="14"/>
  <c r="X147" i="14"/>
  <c r="W147" i="14"/>
  <c r="L147" i="14"/>
  <c r="P137" i="14"/>
  <c r="P134" i="14"/>
  <c r="G134" i="14"/>
  <c r="W134" i="14"/>
  <c r="S134" i="14"/>
  <c r="U134" i="14"/>
  <c r="K126" i="14"/>
  <c r="X126" i="14"/>
  <c r="L126" i="14"/>
  <c r="N126" i="14"/>
  <c r="AE126" i="14"/>
  <c r="O137" i="193" s="1"/>
  <c r="AD126" i="14"/>
  <c r="AA126" i="14"/>
  <c r="J126" i="14"/>
  <c r="Y126" i="14"/>
  <c r="Z126" i="14"/>
  <c r="W126" i="14"/>
  <c r="S126" i="14"/>
  <c r="O126" i="14"/>
  <c r="AC126" i="14"/>
  <c r="G119" i="14"/>
  <c r="V119" i="14"/>
  <c r="G116" i="14"/>
  <c r="I116" i="14"/>
  <c r="Q116" i="14"/>
  <c r="AB112" i="14"/>
  <c r="AE112" i="14"/>
  <c r="O123" i="193" s="1"/>
  <c r="F123" i="193" s="1"/>
  <c r="AD123" i="193" s="1"/>
  <c r="N112" i="14"/>
  <c r="P108" i="14"/>
  <c r="Z108" i="14"/>
  <c r="AA108" i="14"/>
  <c r="L108" i="14"/>
  <c r="O108" i="14"/>
  <c r="T108" i="14"/>
  <c r="U108" i="14"/>
  <c r="J108" i="14"/>
  <c r="AA104" i="14"/>
  <c r="AD104" i="14"/>
  <c r="L104" i="14"/>
  <c r="X100" i="14"/>
  <c r="U100" i="14"/>
  <c r="I100" i="14"/>
  <c r="AB100" i="14"/>
  <c r="AE100" i="14"/>
  <c r="O111" i="193" s="1"/>
  <c r="G111" i="193" s="1"/>
  <c r="J111" i="193" s="1"/>
  <c r="Y100" i="14"/>
  <c r="AD100" i="14"/>
  <c r="P100" i="14"/>
  <c r="O100" i="14"/>
  <c r="L100" i="14"/>
  <c r="W100" i="14"/>
  <c r="R100" i="14"/>
  <c r="Q100" i="14"/>
  <c r="I96" i="14"/>
  <c r="V96" i="14"/>
  <c r="J192" i="14"/>
  <c r="J166" i="14"/>
  <c r="AC166" i="14"/>
  <c r="W166" i="14"/>
  <c r="V73" i="14"/>
  <c r="Q73" i="14"/>
  <c r="I73" i="14"/>
  <c r="L73" i="14"/>
  <c r="N73" i="14"/>
  <c r="G73" i="14"/>
  <c r="P73" i="14"/>
  <c r="T73" i="14"/>
  <c r="J73" i="14"/>
  <c r="Z73" i="14"/>
  <c r="L70" i="14"/>
  <c r="U70" i="14"/>
  <c r="AC70" i="14"/>
  <c r="U139" i="14"/>
  <c r="Q139" i="14"/>
  <c r="K128" i="14"/>
  <c r="P128" i="14"/>
  <c r="T128" i="14"/>
  <c r="J88" i="14"/>
  <c r="U88" i="14"/>
  <c r="L67" i="14"/>
  <c r="AC67" i="14"/>
  <c r="AB97" i="14"/>
  <c r="V29" i="14"/>
  <c r="S20" i="192"/>
  <c r="J23" i="14"/>
  <c r="L155" i="14"/>
  <c r="K155" i="14"/>
  <c r="P155" i="14"/>
  <c r="I155" i="14"/>
  <c r="U155" i="14"/>
  <c r="AB155" i="14"/>
  <c r="AE155" i="14"/>
  <c r="O166" i="193" s="1"/>
  <c r="Z155" i="14"/>
  <c r="W155" i="14"/>
  <c r="O155" i="14"/>
  <c r="S155" i="14"/>
  <c r="AD155" i="14"/>
  <c r="Q72" i="14"/>
  <c r="AB72" i="14"/>
  <c r="AA72" i="14"/>
  <c r="W72" i="14"/>
  <c r="L72" i="14"/>
  <c r="P72" i="14"/>
  <c r="J72" i="14"/>
  <c r="U72" i="14"/>
  <c r="I72" i="14"/>
  <c r="N72" i="14"/>
  <c r="X72" i="14"/>
  <c r="V72" i="14"/>
  <c r="N60" i="14"/>
  <c r="H60" i="14"/>
  <c r="P60" i="14"/>
  <c r="W60" i="14"/>
  <c r="AA60" i="14"/>
  <c r="L60" i="14"/>
  <c r="Q60" i="14"/>
  <c r="X60" i="14"/>
  <c r="K60" i="14"/>
  <c r="U60" i="14"/>
  <c r="Y60" i="14"/>
  <c r="AB60" i="14"/>
  <c r="S60" i="14"/>
  <c r="AE60" i="14"/>
  <c r="O71" i="193" s="1"/>
  <c r="R60" i="14"/>
  <c r="AC60" i="14"/>
  <c r="O60" i="14"/>
  <c r="J60" i="14"/>
  <c r="AD60" i="14"/>
  <c r="V60" i="14"/>
  <c r="G60" i="14"/>
  <c r="T60" i="14"/>
  <c r="J53" i="14"/>
  <c r="N53" i="14"/>
  <c r="T53" i="14"/>
  <c r="Q53" i="14"/>
  <c r="U53" i="14"/>
  <c r="Z53" i="14"/>
  <c r="O53" i="14"/>
  <c r="AA53" i="14"/>
  <c r="P53" i="14"/>
  <c r="AB53" i="14"/>
  <c r="Y53" i="14"/>
  <c r="AC53" i="14"/>
  <c r="W53" i="14"/>
  <c r="AD53" i="14"/>
  <c r="V53" i="14"/>
  <c r="R53" i="14"/>
  <c r="H53" i="14"/>
  <c r="AE53" i="14"/>
  <c r="O64" i="193" s="1"/>
  <c r="X53" i="14"/>
  <c r="G53" i="14"/>
  <c r="K53" i="14"/>
  <c r="S53" i="14"/>
  <c r="L53" i="14"/>
  <c r="I53" i="14"/>
  <c r="J35" i="14"/>
  <c r="S35" i="14"/>
  <c r="O35" i="14"/>
  <c r="H35" i="14"/>
  <c r="AC35" i="14"/>
  <c r="N35" i="14"/>
  <c r="X35" i="14"/>
  <c r="U35" i="14"/>
  <c r="G35" i="14"/>
  <c r="AA35" i="14"/>
  <c r="Y35" i="14"/>
  <c r="T35" i="14"/>
  <c r="G31" i="14"/>
  <c r="K31" i="14"/>
  <c r="J31" i="14"/>
  <c r="I27" i="14"/>
  <c r="H27" i="14"/>
  <c r="K27" i="14"/>
  <c r="O12" i="14"/>
  <c r="L12" i="14"/>
  <c r="U12" i="14" s="1"/>
  <c r="AC12" i="14" s="1"/>
  <c r="N31" i="14"/>
  <c r="Z60" i="14"/>
  <c r="Y157" i="14"/>
  <c r="N157" i="14"/>
  <c r="V157" i="14"/>
  <c r="P157" i="14"/>
  <c r="W157" i="14"/>
  <c r="AC157" i="14"/>
  <c r="AB157" i="14"/>
  <c r="Q157" i="14"/>
  <c r="S157" i="14"/>
  <c r="I157" i="14"/>
  <c r="AE157" i="14"/>
  <c r="O168" i="193" s="1"/>
  <c r="H168" i="193" s="1"/>
  <c r="K168" i="193" s="1"/>
  <c r="X157" i="14"/>
  <c r="O157" i="14"/>
  <c r="G157" i="14"/>
  <c r="Z157" i="14"/>
  <c r="L157" i="14"/>
  <c r="U157" i="14"/>
  <c r="R157" i="14"/>
  <c r="K157" i="14"/>
  <c r="H157" i="14"/>
  <c r="AA157" i="14"/>
  <c r="J157" i="14"/>
  <c r="AD157" i="14"/>
  <c r="J138" i="14"/>
  <c r="V138" i="14"/>
  <c r="L138" i="14"/>
  <c r="P138" i="14"/>
  <c r="AD138" i="14"/>
  <c r="Z138" i="14"/>
  <c r="AC138" i="14"/>
  <c r="W138" i="14"/>
  <c r="K138" i="14"/>
  <c r="U138" i="14"/>
  <c r="R138" i="14"/>
  <c r="R84" i="14"/>
  <c r="L84" i="14"/>
  <c r="H84" i="14"/>
  <c r="O84" i="14"/>
  <c r="G84" i="14"/>
  <c r="AA84" i="14"/>
  <c r="Z84" i="14"/>
  <c r="Q84" i="14"/>
  <c r="W84" i="14"/>
  <c r="P84" i="14"/>
  <c r="K84" i="14"/>
  <c r="N84" i="14"/>
  <c r="I84" i="14"/>
  <c r="X84" i="14"/>
  <c r="AB84" i="14"/>
  <c r="U84" i="14"/>
  <c r="AD84" i="14"/>
  <c r="V84" i="14"/>
  <c r="AC84" i="14"/>
  <c r="AE84" i="14"/>
  <c r="O95" i="193" s="1"/>
  <c r="H95" i="193" s="1"/>
  <c r="K95" i="193" s="1"/>
  <c r="J84" i="14"/>
  <c r="Y84" i="14"/>
  <c r="S84" i="14"/>
  <c r="L77" i="14"/>
  <c r="J77" i="14"/>
  <c r="U77" i="14"/>
  <c r="N77" i="14"/>
  <c r="I77" i="14"/>
  <c r="H77" i="14"/>
  <c r="G77" i="14"/>
  <c r="P77" i="14"/>
  <c r="R77" i="14"/>
  <c r="AA77" i="14"/>
  <c r="V77" i="14"/>
  <c r="X77" i="14"/>
  <c r="S77" i="14"/>
  <c r="AB77" i="14"/>
  <c r="AE77" i="14"/>
  <c r="O88" i="193" s="1"/>
  <c r="G88" i="193" s="1"/>
  <c r="J88" i="193" s="1"/>
  <c r="K77" i="14"/>
  <c r="O77" i="14"/>
  <c r="Q77" i="14"/>
  <c r="T77" i="14"/>
  <c r="AC77" i="14"/>
  <c r="O38" i="14"/>
  <c r="H38" i="14"/>
  <c r="K24" i="14"/>
  <c r="L24" i="14"/>
  <c r="O24" i="14"/>
  <c r="H24" i="14"/>
  <c r="H20" i="14"/>
  <c r="K20" i="14"/>
  <c r="T20" i="14"/>
  <c r="I20" i="14"/>
  <c r="AD77" i="14"/>
  <c r="Z77" i="14"/>
  <c r="G15" i="14"/>
  <c r="P15" i="14" s="1"/>
  <c r="X15" i="14" s="1"/>
  <c r="N15" i="14"/>
  <c r="H15" i="14"/>
  <c r="Q15" i="14" s="1"/>
  <c r="Y15" i="14" s="1"/>
  <c r="J15" i="14"/>
  <c r="S15" i="14" s="1"/>
  <c r="AA15" i="14" s="1"/>
  <c r="K15" i="14"/>
  <c r="T15" i="14" s="1"/>
  <c r="AB15" i="14" s="1"/>
  <c r="N47" i="14"/>
  <c r="Q40" i="14"/>
  <c r="Y77" i="14"/>
  <c r="H138" i="14"/>
  <c r="S54" i="14"/>
  <c r="I54" i="14"/>
  <c r="J185" i="14"/>
  <c r="O185" i="14"/>
  <c r="K185" i="14"/>
  <c r="AC185" i="14"/>
  <c r="AD185" i="14"/>
  <c r="AB185" i="14"/>
  <c r="Y185" i="14"/>
  <c r="I185" i="14"/>
  <c r="H185" i="14"/>
  <c r="W185" i="14"/>
  <c r="X185" i="14"/>
  <c r="AE185" i="14"/>
  <c r="O196" i="193" s="1"/>
  <c r="H196" i="193" s="1"/>
  <c r="K196" i="193" s="1"/>
  <c r="G185" i="14"/>
  <c r="S185" i="14"/>
  <c r="Q185" i="14"/>
  <c r="N185" i="14"/>
  <c r="Z185" i="14"/>
  <c r="AA185" i="14"/>
  <c r="P185" i="14"/>
  <c r="R185" i="14"/>
  <c r="V185" i="14"/>
  <c r="O178" i="14"/>
  <c r="Z178" i="14"/>
  <c r="AA175" i="14"/>
  <c r="R175" i="14"/>
  <c r="AE171" i="14"/>
  <c r="O182" i="193" s="1"/>
  <c r="P171" i="14"/>
  <c r="T168" i="14"/>
  <c r="R163" i="14"/>
  <c r="J163" i="14"/>
  <c r="AC163" i="14"/>
  <c r="W163" i="14"/>
  <c r="AB163" i="14"/>
  <c r="Z163" i="14"/>
  <c r="Q163" i="14"/>
  <c r="K163" i="14"/>
  <c r="P163" i="14"/>
  <c r="S163" i="14"/>
  <c r="T79" i="14"/>
  <c r="J79" i="14"/>
  <c r="H48" i="14"/>
  <c r="AE122" i="14"/>
  <c r="O133" i="193" s="1"/>
  <c r="V122" i="14"/>
  <c r="Z122" i="14"/>
  <c r="AD122" i="14"/>
  <c r="T122" i="14"/>
  <c r="N122" i="14"/>
  <c r="S122" i="14"/>
  <c r="J122" i="14"/>
  <c r="P122" i="14"/>
  <c r="I103" i="14"/>
  <c r="S95" i="14"/>
  <c r="Q92" i="14"/>
  <c r="AC92" i="14"/>
  <c r="N92" i="14"/>
  <c r="R92" i="14"/>
  <c r="AE90" i="14"/>
  <c r="O101" i="193" s="1"/>
  <c r="F101" i="193" s="1"/>
  <c r="T101" i="193" s="1"/>
  <c r="S87" i="14"/>
  <c r="H87" i="14"/>
  <c r="AC87" i="14"/>
  <c r="K87" i="14"/>
  <c r="AD87" i="14"/>
  <c r="J87" i="14"/>
  <c r="V87" i="14"/>
  <c r="AA87" i="14"/>
  <c r="X87" i="14"/>
  <c r="AE87" i="14"/>
  <c r="O98" i="193" s="1"/>
  <c r="F98" i="193" s="1"/>
  <c r="R87" i="14"/>
  <c r="T87" i="14"/>
  <c r="L87" i="14"/>
  <c r="AB87" i="14"/>
  <c r="G87" i="14"/>
  <c r="S204" i="14"/>
  <c r="U204" i="14"/>
  <c r="Q204" i="14"/>
  <c r="N204" i="14"/>
  <c r="H204" i="14"/>
  <c r="L204" i="14"/>
  <c r="Z204" i="14"/>
  <c r="AA204" i="14"/>
  <c r="T204" i="14"/>
  <c r="AB204" i="14"/>
  <c r="AB159" i="14"/>
  <c r="K153" i="14"/>
  <c r="R127" i="14"/>
  <c r="H127" i="14"/>
  <c r="U127" i="14"/>
  <c r="AB127" i="14"/>
  <c r="AD127" i="14"/>
  <c r="O127" i="14"/>
  <c r="J127" i="14"/>
  <c r="O115" i="14"/>
  <c r="Z115" i="14"/>
  <c r="AB115" i="14"/>
  <c r="AA115" i="14"/>
  <c r="G115" i="14"/>
  <c r="Y115" i="14"/>
  <c r="X115" i="14"/>
  <c r="K115" i="14"/>
  <c r="W115" i="14"/>
  <c r="K105" i="14"/>
  <c r="W105" i="14"/>
  <c r="O94" i="14"/>
  <c r="J94" i="14"/>
  <c r="AA94" i="14"/>
  <c r="AB94" i="14"/>
  <c r="V94" i="14"/>
  <c r="Z94" i="14"/>
  <c r="T94" i="14"/>
  <c r="L94" i="14"/>
  <c r="X94" i="14"/>
  <c r="P94" i="14"/>
  <c r="S94" i="14"/>
  <c r="H94" i="14"/>
  <c r="Y94" i="14"/>
  <c r="R187" i="14"/>
  <c r="K187" i="14"/>
  <c r="N187" i="14"/>
  <c r="AA147" i="14"/>
  <c r="I147" i="14"/>
  <c r="AE147" i="14"/>
  <c r="O158" i="193" s="1"/>
  <c r="H158" i="193" s="1"/>
  <c r="K158" i="193" s="1"/>
  <c r="V147" i="14"/>
  <c r="P147" i="14"/>
  <c r="AB147" i="14"/>
  <c r="O147" i="14"/>
  <c r="J147" i="14"/>
  <c r="V143" i="14"/>
  <c r="T140" i="14"/>
  <c r="AB140" i="14"/>
  <c r="T120" i="14"/>
  <c r="J120" i="14"/>
  <c r="I120" i="14"/>
  <c r="T112" i="14"/>
  <c r="X112" i="14"/>
  <c r="T110" i="14"/>
  <c r="AB110" i="14"/>
  <c r="J110" i="14"/>
  <c r="I205" i="14"/>
  <c r="U205" i="14"/>
  <c r="O205" i="14"/>
  <c r="L205" i="14"/>
  <c r="J194" i="14"/>
  <c r="Q194" i="14"/>
  <c r="I194" i="14"/>
  <c r="N192" i="14"/>
  <c r="S192" i="14"/>
  <c r="U192" i="14"/>
  <c r="T192" i="14"/>
  <c r="H192" i="14"/>
  <c r="O192" i="14"/>
  <c r="L149" i="14"/>
  <c r="Q149" i="14"/>
  <c r="J149" i="14"/>
  <c r="V149" i="14"/>
  <c r="G130" i="14"/>
  <c r="P130" i="14"/>
  <c r="I130" i="14"/>
  <c r="K130" i="14"/>
  <c r="H130" i="14"/>
  <c r="AE130" i="14"/>
  <c r="O141" i="193" s="1"/>
  <c r="Q130" i="14"/>
  <c r="R130" i="14"/>
  <c r="S130" i="14"/>
  <c r="V130" i="14"/>
  <c r="AC130" i="14"/>
  <c r="Y130" i="14"/>
  <c r="AB130" i="14"/>
  <c r="Z130" i="14"/>
  <c r="N130" i="14"/>
  <c r="O130" i="14"/>
  <c r="AC206" i="14"/>
  <c r="J206" i="14"/>
  <c r="Q206" i="14"/>
  <c r="AB203" i="14"/>
  <c r="Z144" i="14"/>
  <c r="AE144" i="14"/>
  <c r="O155" i="193" s="1"/>
  <c r="W86" i="14"/>
  <c r="R86" i="14"/>
  <c r="K80" i="14"/>
  <c r="S208" i="14"/>
  <c r="V208" i="14"/>
  <c r="H208" i="14"/>
  <c r="Z197" i="14"/>
  <c r="P197" i="14"/>
  <c r="AC197" i="14"/>
  <c r="U197" i="14"/>
  <c r="Q197" i="14"/>
  <c r="AC170" i="14"/>
  <c r="U170" i="14"/>
  <c r="W170" i="14"/>
  <c r="S124" i="14"/>
  <c r="Y124" i="14"/>
  <c r="L124" i="14"/>
  <c r="W108" i="14"/>
  <c r="Q108" i="14"/>
  <c r="K108" i="14"/>
  <c r="V108" i="14"/>
  <c r="N108" i="14"/>
  <c r="Y108" i="14"/>
  <c r="X96" i="14"/>
  <c r="AC96" i="14"/>
  <c r="P176" i="14"/>
  <c r="N89" i="14"/>
  <c r="U67" i="14"/>
  <c r="K146" i="14"/>
  <c r="AB146" i="14"/>
  <c r="AA146" i="14"/>
  <c r="Z146" i="14"/>
  <c r="T28" i="192"/>
  <c r="N25" i="14"/>
  <c r="L25" i="14"/>
  <c r="U25" i="14" s="1"/>
  <c r="G12" i="14" l="1"/>
  <c r="P12" i="14" s="1"/>
  <c r="X12" i="14" s="1"/>
  <c r="Z86" i="14"/>
  <c r="G78" i="14"/>
  <c r="K78" i="14"/>
  <c r="N78" i="14"/>
  <c r="O121" i="14"/>
  <c r="AA121" i="14"/>
  <c r="G125" i="14"/>
  <c r="P117" i="14"/>
  <c r="Z105" i="14"/>
  <c r="V41" i="14"/>
  <c r="Q78" i="14"/>
  <c r="AB78" i="14"/>
  <c r="U74" i="14"/>
  <c r="X82" i="14"/>
  <c r="Y86" i="14"/>
  <c r="L86" i="14"/>
  <c r="AE86" i="14"/>
  <c r="O97" i="193" s="1"/>
  <c r="G97" i="193" s="1"/>
  <c r="J97" i="193" s="1"/>
  <c r="R78" i="14"/>
  <c r="L78" i="14"/>
  <c r="X78" i="14"/>
  <c r="T67" i="14"/>
  <c r="V70" i="14"/>
  <c r="T70" i="14"/>
  <c r="Q82" i="14"/>
  <c r="R67" i="14"/>
  <c r="N67" i="14"/>
  <c r="K70" i="14"/>
  <c r="O86" i="14"/>
  <c r="I15" i="14"/>
  <c r="R15" i="14" s="1"/>
  <c r="Z15" i="14" s="1"/>
  <c r="N12" i="14"/>
  <c r="Y121" i="14"/>
  <c r="AB121" i="14"/>
  <c r="X105" i="14"/>
  <c r="G117" i="14"/>
  <c r="H78" i="14"/>
  <c r="T78" i="14"/>
  <c r="AB74" i="14"/>
  <c r="L74" i="14"/>
  <c r="AB86" i="14"/>
  <c r="U86" i="14"/>
  <c r="K86" i="14"/>
  <c r="J78" i="14"/>
  <c r="S78" i="14"/>
  <c r="K67" i="14"/>
  <c r="Y70" i="14"/>
  <c r="X70" i="14"/>
  <c r="W70" i="14"/>
  <c r="AA70" i="14"/>
  <c r="AC86" i="14"/>
  <c r="J86" i="14"/>
  <c r="U24" i="14"/>
  <c r="AC24" i="14" s="1"/>
  <c r="R208" i="14"/>
  <c r="Y208" i="14"/>
  <c r="P208" i="14"/>
  <c r="Z208" i="14"/>
  <c r="X208" i="14"/>
  <c r="AA200" i="14"/>
  <c r="Q200" i="14"/>
  <c r="W200" i="14"/>
  <c r="R200" i="14"/>
  <c r="AE200" i="14"/>
  <c r="O211" i="193" s="1"/>
  <c r="F211" i="193" s="1"/>
  <c r="V211" i="193" s="1"/>
  <c r="Y200" i="14"/>
  <c r="Z200" i="14"/>
  <c r="X200" i="14"/>
  <c r="T200" i="14"/>
  <c r="AB200" i="14"/>
  <c r="V200" i="14"/>
  <c r="K200" i="14"/>
  <c r="AD200" i="14"/>
  <c r="T182" i="14"/>
  <c r="L182" i="14"/>
  <c r="AA182" i="14"/>
  <c r="X182" i="14"/>
  <c r="X163" i="14"/>
  <c r="AA163" i="14"/>
  <c r="Y163" i="14"/>
  <c r="L82" i="14"/>
  <c r="N82" i="14"/>
  <c r="H82" i="14"/>
  <c r="P82" i="14"/>
  <c r="AA82" i="14"/>
  <c r="T82" i="14"/>
  <c r="Z82" i="14"/>
  <c r="O82" i="14"/>
  <c r="Y82" i="14"/>
  <c r="J82" i="14"/>
  <c r="AC82" i="14"/>
  <c r="I82" i="14"/>
  <c r="AE82" i="14"/>
  <c r="O93" i="193" s="1"/>
  <c r="F93" i="193" s="1"/>
  <c r="AA64" i="14"/>
  <c r="V64" i="14"/>
  <c r="AC64" i="14"/>
  <c r="G64" i="14"/>
  <c r="U64" i="14"/>
  <c r="L64" i="14"/>
  <c r="S64" i="14"/>
  <c r="Q64" i="14"/>
  <c r="S49" i="14"/>
  <c r="Q49" i="14"/>
  <c r="V49" i="14"/>
  <c r="P49" i="14"/>
  <c r="N49" i="14"/>
  <c r="AC49" i="14"/>
  <c r="AA49" i="14"/>
  <c r="AB49" i="14"/>
  <c r="W49" i="14"/>
  <c r="AD49" i="14"/>
  <c r="Y49" i="14"/>
  <c r="Z49" i="14"/>
  <c r="X49" i="14"/>
  <c r="U49" i="14"/>
  <c r="V46" i="14"/>
  <c r="H46" i="14"/>
  <c r="K46" i="14"/>
  <c r="P46" i="14"/>
  <c r="R46" i="14"/>
  <c r="S46" i="14"/>
  <c r="N46" i="14"/>
  <c r="X46" i="14"/>
  <c r="I46" i="14"/>
  <c r="U46" i="14"/>
  <c r="W46" i="14"/>
  <c r="Q46" i="14"/>
  <c r="AB46" i="14"/>
  <c r="AE46" i="14"/>
  <c r="O57" i="193" s="1"/>
  <c r="H57" i="193" s="1"/>
  <c r="K57" i="193" s="1"/>
  <c r="AC42" i="14"/>
  <c r="J42" i="14"/>
  <c r="Z42" i="14"/>
  <c r="X42" i="14"/>
  <c r="K42" i="14"/>
  <c r="W42" i="14"/>
  <c r="Q42" i="14"/>
  <c r="V42" i="14"/>
  <c r="AE42" i="14"/>
  <c r="O53" i="193" s="1"/>
  <c r="H53" i="193" s="1"/>
  <c r="K53" i="193" s="1"/>
  <c r="U42" i="14"/>
  <c r="S42" i="14"/>
  <c r="I42" i="14"/>
  <c r="P42" i="14"/>
  <c r="AB42" i="14"/>
  <c r="C16" i="14"/>
  <c r="J16" i="14" s="1"/>
  <c r="S16" i="14" s="1"/>
  <c r="AA16" i="14" s="1"/>
  <c r="S11" i="192"/>
  <c r="K208" i="14"/>
  <c r="T80" i="14"/>
  <c r="H149" i="14"/>
  <c r="Z149" i="14"/>
  <c r="I115" i="14"/>
  <c r="V115" i="14"/>
  <c r="S115" i="14"/>
  <c r="N115" i="14"/>
  <c r="P127" i="14"/>
  <c r="AA127" i="14"/>
  <c r="I127" i="14"/>
  <c r="Z127" i="14"/>
  <c r="AD204" i="14"/>
  <c r="X204" i="14"/>
  <c r="W204" i="14"/>
  <c r="K204" i="14"/>
  <c r="I204" i="14"/>
  <c r="O204" i="14"/>
  <c r="G163" i="14"/>
  <c r="L163" i="14"/>
  <c r="T163" i="14"/>
  <c r="I163" i="14"/>
  <c r="AE163" i="14"/>
  <c r="O174" i="193" s="1"/>
  <c r="F174" i="193" s="1"/>
  <c r="AA174" i="193" s="1"/>
  <c r="O22" i="14"/>
  <c r="Q138" i="14"/>
  <c r="AB20" i="14"/>
  <c r="Q20" i="14"/>
  <c r="Y20" i="14" s="1"/>
  <c r="G24" i="14"/>
  <c r="P24" i="14" s="1"/>
  <c r="X24" i="14" s="1"/>
  <c r="T24" i="14"/>
  <c r="AB24" i="14" s="1"/>
  <c r="AA138" i="14"/>
  <c r="Y138" i="14"/>
  <c r="G138" i="14"/>
  <c r="S138" i="14"/>
  <c r="X138" i="14"/>
  <c r="AE138" i="14"/>
  <c r="O149" i="193" s="1"/>
  <c r="H149" i="193" s="1"/>
  <c r="K149" i="193" s="1"/>
  <c r="W12" i="14"/>
  <c r="L27" i="14"/>
  <c r="U27" i="14" s="1"/>
  <c r="R27" i="14"/>
  <c r="L31" i="14"/>
  <c r="U31" i="14" s="1"/>
  <c r="P31" i="14"/>
  <c r="X31" i="14" s="1"/>
  <c r="AE35" i="14"/>
  <c r="O46" i="193" s="1"/>
  <c r="F46" i="193" s="1"/>
  <c r="X46" i="193" s="1"/>
  <c r="AD35" i="14"/>
  <c r="V35" i="14"/>
  <c r="R35" i="14"/>
  <c r="AB35" i="14"/>
  <c r="Z35" i="14"/>
  <c r="T72" i="14"/>
  <c r="Y72" i="14"/>
  <c r="K72" i="14"/>
  <c r="Z72" i="14"/>
  <c r="R72" i="14"/>
  <c r="G72" i="14"/>
  <c r="X155" i="14"/>
  <c r="H155" i="14"/>
  <c r="Q155" i="14"/>
  <c r="AA155" i="14"/>
  <c r="AC155" i="14"/>
  <c r="T155" i="14"/>
  <c r="X119" i="14"/>
  <c r="AE134" i="14"/>
  <c r="O145" i="193" s="1"/>
  <c r="H145" i="193" s="1"/>
  <c r="K145" i="193" s="1"/>
  <c r="O134" i="14"/>
  <c r="V134" i="14"/>
  <c r="AE64" i="14"/>
  <c r="O75" i="193" s="1"/>
  <c r="F75" i="193" s="1"/>
  <c r="I75" i="193" s="1"/>
  <c r="N75" i="193" s="1"/>
  <c r="J64" i="14"/>
  <c r="K68" i="14"/>
  <c r="K182" i="14"/>
  <c r="R182" i="14"/>
  <c r="AB182" i="14"/>
  <c r="Z119" i="14"/>
  <c r="K111" i="14"/>
  <c r="AD119" i="14"/>
  <c r="N182" i="14"/>
  <c r="V123" i="14"/>
  <c r="AD46" i="14"/>
  <c r="U182" i="14"/>
  <c r="Q29" i="14"/>
  <c r="Y29" i="14" s="1"/>
  <c r="I29" i="14"/>
  <c r="R29" i="14" s="1"/>
  <c r="Z29" i="14" s="1"/>
  <c r="K29" i="14"/>
  <c r="T29" i="14" s="1"/>
  <c r="AB29" i="14" s="1"/>
  <c r="W29" i="14"/>
  <c r="G29" i="14"/>
  <c r="P29" i="14" s="1"/>
  <c r="X29" i="14" s="1"/>
  <c r="S29" i="14"/>
  <c r="AA29" i="14" s="1"/>
  <c r="G200" i="14"/>
  <c r="L200" i="14"/>
  <c r="AC46" i="14"/>
  <c r="W68" i="14"/>
  <c r="R82" i="14"/>
  <c r="S82" i="14"/>
  <c r="AB76" i="14"/>
  <c r="P64" i="14"/>
  <c r="R49" i="14"/>
  <c r="O49" i="14"/>
  <c r="L46" i="14"/>
  <c r="O42" i="14"/>
  <c r="J208" i="14"/>
  <c r="I91" i="14"/>
  <c r="S91" i="14"/>
  <c r="H42" i="14"/>
  <c r="Y46" i="14"/>
  <c r="P166" i="14"/>
  <c r="AD166" i="14"/>
  <c r="K166" i="14"/>
  <c r="AA166" i="14"/>
  <c r="Q166" i="14"/>
  <c r="Z166" i="14"/>
  <c r="U166" i="14"/>
  <c r="Y166" i="14"/>
  <c r="S166" i="14"/>
  <c r="R166" i="14"/>
  <c r="L166" i="14"/>
  <c r="V166" i="14"/>
  <c r="H89" i="14"/>
  <c r="O89" i="14"/>
  <c r="L89" i="14"/>
  <c r="K89" i="14"/>
  <c r="Y89" i="14"/>
  <c r="AC89" i="14"/>
  <c r="Y149" i="14"/>
  <c r="O149" i="14"/>
  <c r="AA149" i="14"/>
  <c r="U149" i="14"/>
  <c r="N149" i="14"/>
  <c r="T149" i="14"/>
  <c r="AE149" i="14"/>
  <c r="O160" i="193" s="1"/>
  <c r="F160" i="193" s="1"/>
  <c r="L160" i="193" s="1"/>
  <c r="T134" i="14"/>
  <c r="H134" i="14"/>
  <c r="R134" i="14"/>
  <c r="L134" i="14"/>
  <c r="AD134" i="14"/>
  <c r="I134" i="14"/>
  <c r="Z134" i="14"/>
  <c r="V127" i="14"/>
  <c r="W127" i="14"/>
  <c r="T127" i="14"/>
  <c r="I119" i="14"/>
  <c r="AA119" i="14"/>
  <c r="T119" i="14"/>
  <c r="K119" i="14"/>
  <c r="P119" i="14"/>
  <c r="S119" i="14"/>
  <c r="R119" i="14"/>
  <c r="H119" i="14"/>
  <c r="Y119" i="14"/>
  <c r="L119" i="14"/>
  <c r="AC119" i="14"/>
  <c r="P115" i="14"/>
  <c r="Q115" i="14"/>
  <c r="L115" i="14"/>
  <c r="AC111" i="14"/>
  <c r="J111" i="14"/>
  <c r="P111" i="14"/>
  <c r="R111" i="14"/>
  <c r="O111" i="14"/>
  <c r="U111" i="14"/>
  <c r="V111" i="14"/>
  <c r="G111" i="14"/>
  <c r="Y111" i="14"/>
  <c r="S111" i="14"/>
  <c r="Q111" i="14"/>
  <c r="AB99" i="14"/>
  <c r="AC99" i="14"/>
  <c r="G99" i="14"/>
  <c r="V91" i="14"/>
  <c r="X91" i="14"/>
  <c r="AD91" i="14"/>
  <c r="Z91" i="14"/>
  <c r="P91" i="14"/>
  <c r="AC91" i="14"/>
  <c r="AA91" i="14"/>
  <c r="W91" i="14"/>
  <c r="T91" i="14"/>
  <c r="N91" i="14"/>
  <c r="O91" i="14"/>
  <c r="Y91" i="14"/>
  <c r="K91" i="14"/>
  <c r="U91" i="14"/>
  <c r="AE91" i="14"/>
  <c r="O102" i="193" s="1"/>
  <c r="G102" i="193" s="1"/>
  <c r="J102" i="193" s="1"/>
  <c r="I80" i="14"/>
  <c r="AB80" i="14"/>
  <c r="U80" i="14"/>
  <c r="Q80" i="14"/>
  <c r="AA80" i="14"/>
  <c r="X80" i="14"/>
  <c r="N80" i="14"/>
  <c r="G80" i="14"/>
  <c r="AD80" i="14"/>
  <c r="U76" i="14"/>
  <c r="G76" i="14"/>
  <c r="Q76" i="14"/>
  <c r="S76" i="14"/>
  <c r="Y76" i="14"/>
  <c r="N76" i="14"/>
  <c r="AD76" i="14"/>
  <c r="I76" i="14"/>
  <c r="O76" i="14"/>
  <c r="T76" i="14"/>
  <c r="AC68" i="14"/>
  <c r="U68" i="14"/>
  <c r="V68" i="14"/>
  <c r="S68" i="14"/>
  <c r="G68" i="14"/>
  <c r="Q68" i="14"/>
  <c r="T68" i="14"/>
  <c r="O68" i="14"/>
  <c r="R68" i="14"/>
  <c r="X68" i="14"/>
  <c r="N68" i="14"/>
  <c r="AE68" i="14"/>
  <c r="O79" i="193" s="1"/>
  <c r="G79" i="193" s="1"/>
  <c r="J79" i="193" s="1"/>
  <c r="N208" i="14"/>
  <c r="U208" i="14"/>
  <c r="P149" i="14"/>
  <c r="H115" i="14"/>
  <c r="AC115" i="14"/>
  <c r="R115" i="14"/>
  <c r="AD115" i="14"/>
  <c r="U115" i="14"/>
  <c r="Q127" i="14"/>
  <c r="S127" i="14"/>
  <c r="K127" i="14"/>
  <c r="G204" i="14"/>
  <c r="P204" i="14"/>
  <c r="AE204" i="14"/>
  <c r="O215" i="193" s="1"/>
  <c r="F215" i="193" s="1"/>
  <c r="AA215" i="193" s="1"/>
  <c r="AC204" i="14"/>
  <c r="Y204" i="14"/>
  <c r="G95" i="14"/>
  <c r="AD163" i="14"/>
  <c r="O163" i="14"/>
  <c r="U163" i="14"/>
  <c r="V163" i="14"/>
  <c r="H163" i="14"/>
  <c r="G20" i="14"/>
  <c r="P20" i="14" s="1"/>
  <c r="X20" i="14" s="1"/>
  <c r="Q24" i="14"/>
  <c r="Y24" i="14" s="1"/>
  <c r="N138" i="14"/>
  <c r="O138" i="14"/>
  <c r="I138" i="14"/>
  <c r="AB138" i="14"/>
  <c r="V27" i="14"/>
  <c r="Q27" i="14"/>
  <c r="Y27" i="14" s="1"/>
  <c r="T31" i="14"/>
  <c r="AB31" i="14" s="1"/>
  <c r="L35" i="14"/>
  <c r="K35" i="14"/>
  <c r="W35" i="14"/>
  <c r="Q35" i="14"/>
  <c r="P35" i="14"/>
  <c r="AD72" i="14"/>
  <c r="S72" i="14"/>
  <c r="AE72" i="14"/>
  <c r="O83" i="193" s="1"/>
  <c r="G83" i="193" s="1"/>
  <c r="J83" i="193" s="1"/>
  <c r="AC72" i="14"/>
  <c r="O72" i="14"/>
  <c r="Y155" i="14"/>
  <c r="V155" i="14"/>
  <c r="N155" i="14"/>
  <c r="G155" i="14"/>
  <c r="J155" i="14"/>
  <c r="U119" i="14"/>
  <c r="X134" i="14"/>
  <c r="Q134" i="14"/>
  <c r="AA134" i="14"/>
  <c r="X64" i="14"/>
  <c r="W64" i="14"/>
  <c r="S182" i="14"/>
  <c r="O182" i="14"/>
  <c r="V182" i="14"/>
  <c r="Y182" i="14"/>
  <c r="J182" i="14"/>
  <c r="H182" i="14"/>
  <c r="AE127" i="14"/>
  <c r="O138" i="193" s="1"/>
  <c r="F138" i="193" s="1"/>
  <c r="J134" i="14"/>
  <c r="R149" i="14"/>
  <c r="G149" i="14"/>
  <c r="AE111" i="14"/>
  <c r="O122" i="193" s="1"/>
  <c r="H122" i="193" s="1"/>
  <c r="K122" i="193" s="1"/>
  <c r="J115" i="14"/>
  <c r="Y127" i="14"/>
  <c r="J119" i="14"/>
  <c r="W76" i="14"/>
  <c r="AE49" i="14"/>
  <c r="O60" i="193" s="1"/>
  <c r="G60" i="193" s="1"/>
  <c r="J60" i="193" s="1"/>
  <c r="O119" i="14"/>
  <c r="AB111" i="14"/>
  <c r="P200" i="14"/>
  <c r="H200" i="14"/>
  <c r="I200" i="14"/>
  <c r="H68" i="14"/>
  <c r="J68" i="14"/>
  <c r="K82" i="14"/>
  <c r="G82" i="14"/>
  <c r="AC134" i="14"/>
  <c r="Y64" i="14"/>
  <c r="K76" i="14"/>
  <c r="I64" i="14"/>
  <c r="H49" i="14"/>
  <c r="P80" i="14"/>
  <c r="W80" i="14"/>
  <c r="N42" i="14"/>
  <c r="R42" i="14"/>
  <c r="J91" i="14"/>
  <c r="AB91" i="14"/>
  <c r="S149" i="14"/>
  <c r="AA42" i="14"/>
  <c r="G46" i="14"/>
  <c r="J46" i="14"/>
  <c r="Q208" i="14"/>
  <c r="H152" i="14"/>
  <c r="I152" i="14"/>
  <c r="S152" i="14"/>
  <c r="O152" i="14"/>
  <c r="AE152" i="14"/>
  <c r="O163" i="193" s="1"/>
  <c r="F163" i="193" s="1"/>
  <c r="X163" i="193" s="1"/>
  <c r="AD152" i="14"/>
  <c r="AD144" i="14"/>
  <c r="R144" i="14"/>
  <c r="AA144" i="14"/>
  <c r="G128" i="14"/>
  <c r="J128" i="14"/>
  <c r="Z128" i="14"/>
  <c r="AA124" i="14"/>
  <c r="V124" i="14"/>
  <c r="AB108" i="14"/>
  <c r="I108" i="14"/>
  <c r="Z104" i="14"/>
  <c r="W104" i="14"/>
  <c r="V104" i="14"/>
  <c r="S86" i="14"/>
  <c r="X86" i="14"/>
  <c r="I65" i="14"/>
  <c r="AB65" i="14"/>
  <c r="J65" i="14"/>
  <c r="AC65" i="14"/>
  <c r="W198" i="14"/>
  <c r="AA202" i="14"/>
  <c r="N202" i="14"/>
  <c r="D27" i="14"/>
  <c r="O27" i="14"/>
  <c r="D15" i="14"/>
  <c r="O15" i="14"/>
  <c r="W15" i="14" s="1"/>
  <c r="C32" i="14"/>
  <c r="G32" i="14" s="1"/>
  <c r="S27" i="192"/>
  <c r="C28" i="14"/>
  <c r="V28" i="14" s="1"/>
  <c r="S23" i="192"/>
  <c r="I25" i="14"/>
  <c r="R25" i="14" s="1"/>
  <c r="Z25" i="14" s="1"/>
  <c r="J25" i="14"/>
  <c r="S25" i="14" s="1"/>
  <c r="AA25" i="14" s="1"/>
  <c r="AC25" i="14"/>
  <c r="H25" i="14"/>
  <c r="Q25" i="14" s="1"/>
  <c r="Y25" i="14" s="1"/>
  <c r="G25" i="14"/>
  <c r="P25" i="14" s="1"/>
  <c r="X25" i="14" s="1"/>
  <c r="O25" i="14"/>
  <c r="W25" i="14" s="1"/>
  <c r="V25" i="14"/>
  <c r="K25" i="14"/>
  <c r="T25" i="14" s="1"/>
  <c r="AB25" i="14" s="1"/>
  <c r="C21" i="14"/>
  <c r="S16" i="192"/>
  <c r="P27" i="14"/>
  <c r="X27" i="14" s="1"/>
  <c r="K22" i="14"/>
  <c r="T22" i="14" s="1"/>
  <c r="AB22" i="14" s="1"/>
  <c r="J20" i="14"/>
  <c r="S20" i="14" s="1"/>
  <c r="AA20" i="14" s="1"/>
  <c r="I24" i="14"/>
  <c r="R24" i="14" s="1"/>
  <c r="Z24" i="14" s="1"/>
  <c r="V24" i="14"/>
  <c r="N24" i="14"/>
  <c r="W24" i="14" s="1"/>
  <c r="S12" i="14"/>
  <c r="AA12" i="14" s="1"/>
  <c r="H12" i="14"/>
  <c r="Q12" i="14" s="1"/>
  <c r="Y12" i="14" s="1"/>
  <c r="J27" i="14"/>
  <c r="S27" i="14" s="1"/>
  <c r="AA27" i="14" s="1"/>
  <c r="N27" i="14"/>
  <c r="V31" i="14"/>
  <c r="I31" i="14"/>
  <c r="R31" i="14" s="1"/>
  <c r="Z31" i="14" s="1"/>
  <c r="O31" i="14"/>
  <c r="W31" i="14" s="1"/>
  <c r="G13" i="14"/>
  <c r="P13" i="14" s="1"/>
  <c r="X13" i="14" s="1"/>
  <c r="N22" i="14"/>
  <c r="V22" i="14"/>
  <c r="P22" i="14"/>
  <c r="X22" i="14" s="1"/>
  <c r="H16" i="14"/>
  <c r="Q16" i="14" s="1"/>
  <c r="Y16" i="14" s="1"/>
  <c r="G16" i="14"/>
  <c r="P16" i="14" s="1"/>
  <c r="X16" i="14" s="1"/>
  <c r="S15" i="192"/>
  <c r="V30" i="14"/>
  <c r="O26" i="14"/>
  <c r="W22" i="14"/>
  <c r="H22" i="14"/>
  <c r="Q22" i="14" s="1"/>
  <c r="Y22" i="14" s="1"/>
  <c r="L20" i="14"/>
  <c r="U20" i="14" s="1"/>
  <c r="AC20" i="14" s="1"/>
  <c r="R20" i="14"/>
  <c r="Z20" i="14" s="1"/>
  <c r="V20" i="14"/>
  <c r="O20" i="14"/>
  <c r="W20" i="14" s="1"/>
  <c r="J24" i="14"/>
  <c r="S24" i="14" s="1"/>
  <c r="AA24" i="14" s="1"/>
  <c r="K12" i="14"/>
  <c r="T12" i="14" s="1"/>
  <c r="AB12" i="14" s="1"/>
  <c r="J12" i="14"/>
  <c r="AC27" i="14"/>
  <c r="T27" i="14"/>
  <c r="AB27" i="14" s="1"/>
  <c r="Z27" i="14"/>
  <c r="AC31" i="14"/>
  <c r="S31" i="14"/>
  <c r="AA31" i="14" s="1"/>
  <c r="H31" i="14"/>
  <c r="Q31" i="14" s="1"/>
  <c r="Y31" i="14" s="1"/>
  <c r="V16" i="14"/>
  <c r="I13" i="14"/>
  <c r="R13" i="14" s="1"/>
  <c r="Z13" i="14" s="1"/>
  <c r="Z22" i="14"/>
  <c r="AA22" i="14"/>
  <c r="U22" i="14"/>
  <c r="AC22" i="14" s="1"/>
  <c r="S22" i="192"/>
  <c r="S19" i="192"/>
  <c r="V13" i="14"/>
  <c r="O58" i="14"/>
  <c r="K58" i="14"/>
  <c r="T103" i="14"/>
  <c r="W103" i="14"/>
  <c r="R103" i="14"/>
  <c r="P103" i="14"/>
  <c r="O103" i="14"/>
  <c r="U103" i="14"/>
  <c r="V103" i="14"/>
  <c r="AA103" i="14"/>
  <c r="AC103" i="14"/>
  <c r="X103" i="14"/>
  <c r="N103" i="14"/>
  <c r="Y103" i="14"/>
  <c r="AD103" i="14"/>
  <c r="K103" i="14"/>
  <c r="L103" i="14"/>
  <c r="Z103" i="14"/>
  <c r="N75" i="14"/>
  <c r="R75" i="14"/>
  <c r="J75" i="14"/>
  <c r="L75" i="14"/>
  <c r="Q75" i="14"/>
  <c r="H75" i="14"/>
  <c r="W75" i="14"/>
  <c r="T75" i="14"/>
  <c r="Z75" i="14"/>
  <c r="AA75" i="14"/>
  <c r="V75" i="14"/>
  <c r="G75" i="14"/>
  <c r="AE75" i="14"/>
  <c r="O86" i="193" s="1"/>
  <c r="G86" i="193" s="1"/>
  <c r="J86" i="193" s="1"/>
  <c r="X75" i="14"/>
  <c r="AC75" i="14"/>
  <c r="K75" i="14"/>
  <c r="I75" i="14"/>
  <c r="AA38" i="14"/>
  <c r="J38" i="14"/>
  <c r="N38" i="14"/>
  <c r="L38" i="14"/>
  <c r="U38" i="14"/>
  <c r="X38" i="14"/>
  <c r="Z38" i="14"/>
  <c r="R38" i="14"/>
  <c r="Y38" i="14"/>
  <c r="AB38" i="14"/>
  <c r="W38" i="14"/>
  <c r="Q38" i="14"/>
  <c r="L95" i="14"/>
  <c r="W95" i="14"/>
  <c r="S103" i="14"/>
  <c r="P48" i="14"/>
  <c r="S48" i="14"/>
  <c r="AC38" i="14"/>
  <c r="I38" i="14"/>
  <c r="V38" i="14"/>
  <c r="R123" i="14"/>
  <c r="AB137" i="14"/>
  <c r="O45" i="14"/>
  <c r="AB34" i="14"/>
  <c r="AD75" i="14"/>
  <c r="AE103" i="14"/>
  <c r="O114" i="193" s="1"/>
  <c r="G114" i="193" s="1"/>
  <c r="J114" i="193" s="1"/>
  <c r="AB103" i="14"/>
  <c r="U75" i="14"/>
  <c r="AE41" i="14"/>
  <c r="O52" i="193" s="1"/>
  <c r="H52" i="193" s="1"/>
  <c r="K52" i="193" s="1"/>
  <c r="H103" i="14"/>
  <c r="AE137" i="14"/>
  <c r="O148" i="193" s="1"/>
  <c r="G148" i="193" s="1"/>
  <c r="J148" i="193" s="1"/>
  <c r="Y137" i="14"/>
  <c r="W137" i="14"/>
  <c r="K137" i="14"/>
  <c r="L137" i="14"/>
  <c r="G137" i="14"/>
  <c r="AD137" i="14"/>
  <c r="Z137" i="14"/>
  <c r="AA137" i="14"/>
  <c r="J137" i="14"/>
  <c r="T137" i="14"/>
  <c r="AC137" i="14"/>
  <c r="I137" i="14"/>
  <c r="U137" i="14"/>
  <c r="R137" i="14"/>
  <c r="Q137" i="14"/>
  <c r="O123" i="14"/>
  <c r="AC123" i="14"/>
  <c r="AA123" i="14"/>
  <c r="K123" i="14"/>
  <c r="S123" i="14"/>
  <c r="H123" i="14"/>
  <c r="AB123" i="14"/>
  <c r="G123" i="14"/>
  <c r="I123" i="14"/>
  <c r="AD123" i="14"/>
  <c r="X123" i="14"/>
  <c r="N123" i="14"/>
  <c r="U123" i="14"/>
  <c r="W123" i="14"/>
  <c r="Q123" i="14"/>
  <c r="T123" i="14"/>
  <c r="Y123" i="14"/>
  <c r="L123" i="14"/>
  <c r="P123" i="14"/>
  <c r="AE99" i="14"/>
  <c r="O110" i="193" s="1"/>
  <c r="H110" i="193" s="1"/>
  <c r="K110" i="193" s="1"/>
  <c r="AA99" i="14"/>
  <c r="L99" i="14"/>
  <c r="X99" i="14"/>
  <c r="H99" i="14"/>
  <c r="Q99" i="14"/>
  <c r="O99" i="14"/>
  <c r="R99" i="14"/>
  <c r="I99" i="14"/>
  <c r="Z99" i="14"/>
  <c r="W99" i="14"/>
  <c r="AD99" i="14"/>
  <c r="K99" i="14"/>
  <c r="N99" i="14"/>
  <c r="P99" i="14"/>
  <c r="J99" i="14"/>
  <c r="Y99" i="14"/>
  <c r="S99" i="14"/>
  <c r="V99" i="14"/>
  <c r="Q48" i="14"/>
  <c r="O48" i="14"/>
  <c r="K48" i="14"/>
  <c r="AD48" i="14"/>
  <c r="L48" i="14"/>
  <c r="T48" i="14"/>
  <c r="N48" i="14"/>
  <c r="X48" i="14"/>
  <c r="AE48" i="14"/>
  <c r="O59" i="193" s="1"/>
  <c r="H59" i="193" s="1"/>
  <c r="K59" i="193" s="1"/>
  <c r="R48" i="14"/>
  <c r="Z48" i="14"/>
  <c r="U48" i="14"/>
  <c r="AB48" i="14"/>
  <c r="G41" i="14"/>
  <c r="R41" i="14"/>
  <c r="AA41" i="14"/>
  <c r="Y41" i="14"/>
  <c r="T41" i="14"/>
  <c r="U41" i="14"/>
  <c r="AD41" i="14"/>
  <c r="J41" i="14"/>
  <c r="H41" i="14"/>
  <c r="P41" i="14"/>
  <c r="N41" i="14"/>
  <c r="I41" i="14"/>
  <c r="S41" i="14"/>
  <c r="Q41" i="14"/>
  <c r="K41" i="14"/>
  <c r="X41" i="14"/>
  <c r="L41" i="14"/>
  <c r="W41" i="14"/>
  <c r="O30" i="14"/>
  <c r="I30" i="14"/>
  <c r="R30" i="14" s="1"/>
  <c r="Z30" i="14" s="1"/>
  <c r="J30" i="14"/>
  <c r="S30" i="14" s="1"/>
  <c r="AA30" i="14" s="1"/>
  <c r="H30" i="14"/>
  <c r="Q30" i="14" s="1"/>
  <c r="Y30" i="14" s="1"/>
  <c r="G30" i="14"/>
  <c r="P30" i="14" s="1"/>
  <c r="X30" i="14" s="1"/>
  <c r="N30" i="14"/>
  <c r="L23" i="14"/>
  <c r="U23" i="14" s="1"/>
  <c r="AC23" i="14" s="1"/>
  <c r="G23" i="14"/>
  <c r="P23" i="14" s="1"/>
  <c r="X23" i="14" s="1"/>
  <c r="S23" i="14"/>
  <c r="Z159" i="14"/>
  <c r="G203" i="14"/>
  <c r="N159" i="14"/>
  <c r="U95" i="14"/>
  <c r="AD95" i="14"/>
  <c r="J103" i="14"/>
  <c r="AA48" i="14"/>
  <c r="V48" i="14"/>
  <c r="AE38" i="14"/>
  <c r="O49" i="193" s="1"/>
  <c r="F49" i="193" s="1"/>
  <c r="AD49" i="193" s="1"/>
  <c r="P38" i="14"/>
  <c r="S38" i="14"/>
  <c r="H23" i="14"/>
  <c r="Q23" i="14" s="1"/>
  <c r="Y23" i="14" s="1"/>
  <c r="AE123" i="14"/>
  <c r="O134" i="193" s="1"/>
  <c r="F134" i="193" s="1"/>
  <c r="P134" i="193" s="1"/>
  <c r="O137" i="14"/>
  <c r="X137" i="14"/>
  <c r="AC48" i="14"/>
  <c r="N45" i="14"/>
  <c r="V45" i="14"/>
  <c r="AB75" i="14"/>
  <c r="H95" i="14"/>
  <c r="L30" i="14"/>
  <c r="U30" i="14" s="1"/>
  <c r="AC30" i="14" s="1"/>
  <c r="K38" i="14"/>
  <c r="W203" i="14"/>
  <c r="S203" i="14"/>
  <c r="V203" i="14"/>
  <c r="Q203" i="14"/>
  <c r="AC203" i="14"/>
  <c r="Z203" i="14"/>
  <c r="H203" i="14"/>
  <c r="O203" i="14"/>
  <c r="N203" i="14"/>
  <c r="P203" i="14"/>
  <c r="K203" i="14"/>
  <c r="J203" i="14"/>
  <c r="R203" i="14"/>
  <c r="T203" i="14"/>
  <c r="L203" i="14"/>
  <c r="AD203" i="14"/>
  <c r="X203" i="14"/>
  <c r="V95" i="14"/>
  <c r="Q95" i="14"/>
  <c r="I95" i="14"/>
  <c r="P95" i="14"/>
  <c r="N95" i="14"/>
  <c r="AA95" i="14"/>
  <c r="R95" i="14"/>
  <c r="Y95" i="14"/>
  <c r="T95" i="14"/>
  <c r="Z95" i="14"/>
  <c r="J95" i="14"/>
  <c r="K95" i="14"/>
  <c r="AE95" i="14"/>
  <c r="O106" i="193" s="1"/>
  <c r="G106" i="193" s="1"/>
  <c r="J106" i="193" s="1"/>
  <c r="X95" i="14"/>
  <c r="X45" i="14"/>
  <c r="K45" i="14"/>
  <c r="AA45" i="14"/>
  <c r="H45" i="14"/>
  <c r="U45" i="14"/>
  <c r="I45" i="14"/>
  <c r="J45" i="14"/>
  <c r="R45" i="14"/>
  <c r="AB45" i="14"/>
  <c r="AD45" i="14"/>
  <c r="T45" i="14"/>
  <c r="Q45" i="14"/>
  <c r="AE45" i="14"/>
  <c r="O56" i="193" s="1"/>
  <c r="G56" i="193" s="1"/>
  <c r="J56" i="193" s="1"/>
  <c r="AC45" i="14"/>
  <c r="W45" i="14"/>
  <c r="Y45" i="14"/>
  <c r="P45" i="14"/>
  <c r="P34" i="14"/>
  <c r="U34" i="14"/>
  <c r="H34" i="14"/>
  <c r="AA34" i="14"/>
  <c r="AC34" i="14"/>
  <c r="R34" i="14"/>
  <c r="N34" i="14"/>
  <c r="AE34" i="14"/>
  <c r="O45" i="193" s="1"/>
  <c r="H45" i="193" s="1"/>
  <c r="K45" i="193" s="1"/>
  <c r="Q34" i="14"/>
  <c r="I34" i="14"/>
  <c r="G34" i="14"/>
  <c r="X34" i="14"/>
  <c r="V34" i="14"/>
  <c r="J34" i="14"/>
  <c r="O34" i="14"/>
  <c r="T34" i="14"/>
  <c r="S34" i="14"/>
  <c r="L34" i="14"/>
  <c r="AC159" i="14"/>
  <c r="AB95" i="14"/>
  <c r="Q103" i="14"/>
  <c r="G48" i="14"/>
  <c r="AD38" i="14"/>
  <c r="G38" i="14"/>
  <c r="T38" i="14"/>
  <c r="U99" i="14"/>
  <c r="H137" i="14"/>
  <c r="S137" i="14"/>
  <c r="Y48" i="14"/>
  <c r="R159" i="14"/>
  <c r="Z45" i="14"/>
  <c r="S75" i="14"/>
  <c r="P75" i="14"/>
  <c r="AC95" i="14"/>
  <c r="T99" i="14"/>
  <c r="K30" i="14"/>
  <c r="T30" i="14" s="1"/>
  <c r="AB30" i="14" s="1"/>
  <c r="Y75" i="14"/>
  <c r="AB41" i="14"/>
  <c r="Z41" i="14"/>
  <c r="G103" i="14"/>
  <c r="V137" i="14"/>
  <c r="U203" i="14"/>
  <c r="AA203" i="14"/>
  <c r="X205" i="14"/>
  <c r="J205" i="14"/>
  <c r="Z150" i="14"/>
  <c r="AA150" i="14"/>
  <c r="Y150" i="14"/>
  <c r="Q150" i="14"/>
  <c r="G150" i="14"/>
  <c r="AD150" i="14"/>
  <c r="AB150" i="14"/>
  <c r="X150" i="14"/>
  <c r="U150" i="14"/>
  <c r="O150" i="14"/>
  <c r="AC150" i="14"/>
  <c r="S39" i="14"/>
  <c r="P39" i="14"/>
  <c r="AB208" i="14"/>
  <c r="AE208" i="14"/>
  <c r="O219" i="193" s="1"/>
  <c r="G219" i="193" s="1"/>
  <c r="J219" i="193" s="1"/>
  <c r="I208" i="14"/>
  <c r="AC208" i="14"/>
  <c r="T208" i="14"/>
  <c r="X149" i="14"/>
  <c r="AD149" i="14"/>
  <c r="S128" i="14"/>
  <c r="O128" i="14"/>
  <c r="H128" i="14"/>
  <c r="X128" i="14"/>
  <c r="V128" i="14"/>
  <c r="L128" i="14"/>
  <c r="AD128" i="14"/>
  <c r="Q124" i="14"/>
  <c r="N124" i="14"/>
  <c r="I124" i="14"/>
  <c r="AE124" i="14"/>
  <c r="O135" i="193" s="1"/>
  <c r="F135" i="193" s="1"/>
  <c r="AB135" i="193" s="1"/>
  <c r="V89" i="14"/>
  <c r="I89" i="14"/>
  <c r="AB89" i="14"/>
  <c r="W89" i="14"/>
  <c r="R80" i="14"/>
  <c r="Y80" i="14"/>
  <c r="S80" i="14"/>
  <c r="AC80" i="14"/>
  <c r="L68" i="14"/>
  <c r="AB68" i="14"/>
  <c r="J49" i="14"/>
  <c r="K49" i="14"/>
  <c r="I49" i="14"/>
  <c r="G49" i="14"/>
  <c r="Y198" i="14"/>
  <c r="S198" i="14"/>
  <c r="L198" i="14"/>
  <c r="V198" i="14"/>
  <c r="AA198" i="14"/>
  <c r="S162" i="14"/>
  <c r="H162" i="14"/>
  <c r="R162" i="14"/>
  <c r="AD162" i="14"/>
  <c r="Y162" i="14"/>
  <c r="L162" i="14"/>
  <c r="N162" i="14"/>
  <c r="Z162" i="14"/>
  <c r="AB162" i="14"/>
  <c r="AE162" i="14"/>
  <c r="O173" i="193" s="1"/>
  <c r="H173" i="193" s="1"/>
  <c r="K173" i="193" s="1"/>
  <c r="AC162" i="14"/>
  <c r="U151" i="14"/>
  <c r="AE151" i="14"/>
  <c r="O162" i="193" s="1"/>
  <c r="F162" i="193" s="1"/>
  <c r="P162" i="193" s="1"/>
  <c r="R126" i="14"/>
  <c r="U126" i="14"/>
  <c r="I122" i="14"/>
  <c r="W122" i="14"/>
  <c r="H114" i="14"/>
  <c r="Z114" i="14"/>
  <c r="AE114" i="14"/>
  <c r="O125" i="193" s="1"/>
  <c r="F125" i="193" s="1"/>
  <c r="W125" i="193" s="1"/>
  <c r="U94" i="14"/>
  <c r="W94" i="14"/>
  <c r="G70" i="14"/>
  <c r="J70" i="14"/>
  <c r="I70" i="14"/>
  <c r="Z70" i="14"/>
  <c r="G67" i="14"/>
  <c r="V67" i="14"/>
  <c r="Y67" i="14"/>
  <c r="K64" i="14"/>
  <c r="AD64" i="14"/>
  <c r="H119" i="193"/>
  <c r="K119" i="193" s="1"/>
  <c r="F100" i="193"/>
  <c r="L100" i="193" s="1"/>
  <c r="AB78" i="193"/>
  <c r="H150" i="193"/>
  <c r="K150" i="193" s="1"/>
  <c r="S87" i="193"/>
  <c r="Y87" i="193"/>
  <c r="Z87" i="193" s="1"/>
  <c r="Y78" i="193"/>
  <c r="Z78" i="193" s="1"/>
  <c r="T78" i="193"/>
  <c r="AC128" i="193"/>
  <c r="G78" i="193"/>
  <c r="J78" i="193" s="1"/>
  <c r="L78" i="193"/>
  <c r="I87" i="193"/>
  <c r="M87" i="193" s="1"/>
  <c r="AB147" i="193"/>
  <c r="G147" i="193"/>
  <c r="J147" i="193" s="1"/>
  <c r="Q87" i="193"/>
  <c r="G87" i="193"/>
  <c r="J87" i="193" s="1"/>
  <c r="I139" i="193"/>
  <c r="M139" i="193" s="1"/>
  <c r="F95" i="193"/>
  <c r="X95" i="193" s="1"/>
  <c r="F97" i="193"/>
  <c r="X97" i="193" s="1"/>
  <c r="V119" i="193"/>
  <c r="L119" i="193"/>
  <c r="X119" i="193"/>
  <c r="L139" i="193"/>
  <c r="I128" i="193"/>
  <c r="N128" i="193" s="1"/>
  <c r="H181" i="193"/>
  <c r="K181" i="193" s="1"/>
  <c r="V128" i="193"/>
  <c r="F183" i="193"/>
  <c r="AD183" i="193" s="1"/>
  <c r="AD128" i="193"/>
  <c r="H183" i="193"/>
  <c r="K183" i="193" s="1"/>
  <c r="Y81" i="193"/>
  <c r="Z81" i="193" s="1"/>
  <c r="AC81" i="193"/>
  <c r="I98" i="193"/>
  <c r="M98" i="193" s="1"/>
  <c r="U98" i="193"/>
  <c r="X128" i="193"/>
  <c r="L128" i="193"/>
  <c r="AA128" i="193"/>
  <c r="Q128" i="193"/>
  <c r="G116" i="193"/>
  <c r="J116" i="193" s="1"/>
  <c r="G136" i="193"/>
  <c r="J136" i="193" s="1"/>
  <c r="F136" i="193"/>
  <c r="AD136" i="193" s="1"/>
  <c r="G81" i="193"/>
  <c r="J81" i="193" s="1"/>
  <c r="H97" i="193"/>
  <c r="K97" i="193" s="1"/>
  <c r="H100" i="193"/>
  <c r="K100" i="193" s="1"/>
  <c r="AD119" i="193"/>
  <c r="AB119" i="193"/>
  <c r="S119" i="193"/>
  <c r="T119" i="193"/>
  <c r="AB139" i="193"/>
  <c r="R128" i="193"/>
  <c r="S128" i="193"/>
  <c r="Y128" i="193"/>
  <c r="Z128" i="193" s="1"/>
  <c r="T128" i="193"/>
  <c r="H128" i="193"/>
  <c r="K128" i="193" s="1"/>
  <c r="F116" i="193"/>
  <c r="T116" i="193" s="1"/>
  <c r="H81" i="193"/>
  <c r="K81" i="193" s="1"/>
  <c r="U119" i="193"/>
  <c r="R119" i="193"/>
  <c r="AA139" i="193"/>
  <c r="S139" i="193"/>
  <c r="G158" i="193"/>
  <c r="J158" i="193" s="1"/>
  <c r="W128" i="193"/>
  <c r="AB128" i="193"/>
  <c r="U128" i="193"/>
  <c r="G128" i="193"/>
  <c r="J128" i="193" s="1"/>
  <c r="G119" i="193"/>
  <c r="J119" i="193" s="1"/>
  <c r="AC119" i="193"/>
  <c r="W139" i="193"/>
  <c r="AD147" i="193"/>
  <c r="X123" i="193"/>
  <c r="T147" i="193"/>
  <c r="H147" i="193"/>
  <c r="K147" i="193" s="1"/>
  <c r="U147" i="193"/>
  <c r="Q132" i="193"/>
  <c r="V98" i="193"/>
  <c r="Q98" i="193"/>
  <c r="Y98" i="193"/>
  <c r="Z98" i="193" s="1"/>
  <c r="AA201" i="193"/>
  <c r="I81" i="193"/>
  <c r="N81" i="193" s="1"/>
  <c r="Q104" i="193"/>
  <c r="Y147" i="193"/>
  <c r="Z147" i="193" s="1"/>
  <c r="S147" i="193"/>
  <c r="I147" i="193"/>
  <c r="N147" i="193" s="1"/>
  <c r="X147" i="193"/>
  <c r="H130" i="193"/>
  <c r="K130" i="193" s="1"/>
  <c r="X132" i="193"/>
  <c r="R87" i="193"/>
  <c r="AD87" i="193"/>
  <c r="Q201" i="193"/>
  <c r="AA81" i="193"/>
  <c r="F158" i="193"/>
  <c r="P158" i="193" s="1"/>
  <c r="X98" i="193"/>
  <c r="G95" i="193"/>
  <c r="J95" i="193" s="1"/>
  <c r="T104" i="193"/>
  <c r="R147" i="193"/>
  <c r="L147" i="193"/>
  <c r="W147" i="193"/>
  <c r="V147" i="193"/>
  <c r="H132" i="193"/>
  <c r="K132" i="193" s="1"/>
  <c r="W132" i="193"/>
  <c r="AA132" i="193"/>
  <c r="AD98" i="193"/>
  <c r="S98" i="193"/>
  <c r="AC201" i="193"/>
  <c r="U81" i="193"/>
  <c r="S104" i="193"/>
  <c r="AC147" i="193"/>
  <c r="AA147" i="193"/>
  <c r="Q147" i="193"/>
  <c r="L132" i="193"/>
  <c r="W87" i="193"/>
  <c r="H87" i="193"/>
  <c r="K87" i="193" s="1"/>
  <c r="AD130" i="193"/>
  <c r="R130" i="193"/>
  <c r="Q130" i="193"/>
  <c r="I130" i="193"/>
  <c r="M130" i="193" s="1"/>
  <c r="G130" i="193"/>
  <c r="J130" i="193" s="1"/>
  <c r="T172" i="193"/>
  <c r="W172" i="193"/>
  <c r="AB172" i="193"/>
  <c r="Q172" i="193"/>
  <c r="AD172" i="193"/>
  <c r="L201" i="193"/>
  <c r="P201" i="193"/>
  <c r="W201" i="193"/>
  <c r="AA78" i="193"/>
  <c r="P78" i="193"/>
  <c r="AC78" i="193"/>
  <c r="Q78" i="193"/>
  <c r="H201" i="193"/>
  <c r="K201" i="193" s="1"/>
  <c r="V132" i="193"/>
  <c r="AB132" i="193"/>
  <c r="I132" i="193"/>
  <c r="N132" i="193" s="1"/>
  <c r="F131" i="193"/>
  <c r="F99" i="193"/>
  <c r="T99" i="193" s="1"/>
  <c r="R201" i="193"/>
  <c r="V201" i="193"/>
  <c r="U201" i="193"/>
  <c r="U78" i="193"/>
  <c r="AD78" i="193"/>
  <c r="R78" i="193"/>
  <c r="X78" i="193"/>
  <c r="F218" i="193"/>
  <c r="T218" i="193" s="1"/>
  <c r="Y132" i="193"/>
  <c r="Z132" i="193" s="1"/>
  <c r="AC132" i="193"/>
  <c r="T132" i="193"/>
  <c r="G131" i="193"/>
  <c r="J131" i="193" s="1"/>
  <c r="H99" i="193"/>
  <c r="K99" i="193" s="1"/>
  <c r="H78" i="193"/>
  <c r="K78" i="193" s="1"/>
  <c r="AD132" i="193"/>
  <c r="AB201" i="193"/>
  <c r="T201" i="193"/>
  <c r="S78" i="193"/>
  <c r="I78" i="193"/>
  <c r="M78" i="193" s="1"/>
  <c r="W78" i="193"/>
  <c r="F196" i="193"/>
  <c r="G168" i="193"/>
  <c r="J168" i="193" s="1"/>
  <c r="G201" i="193"/>
  <c r="J201" i="193" s="1"/>
  <c r="H218" i="193"/>
  <c r="K218" i="193" s="1"/>
  <c r="P132" i="193"/>
  <c r="R132" i="193"/>
  <c r="F181" i="193"/>
  <c r="G132" i="193"/>
  <c r="J132" i="193" s="1"/>
  <c r="S132" i="193"/>
  <c r="F120" i="193"/>
  <c r="U120" i="193" s="1"/>
  <c r="H120" i="193"/>
  <c r="K120" i="193" s="1"/>
  <c r="G120" i="193"/>
  <c r="J120" i="193" s="1"/>
  <c r="G115" i="193"/>
  <c r="J115" i="193" s="1"/>
  <c r="H115" i="193"/>
  <c r="K115" i="193" s="1"/>
  <c r="F115" i="193"/>
  <c r="AD115" i="193" s="1"/>
  <c r="V101" i="193"/>
  <c r="X101" i="193"/>
  <c r="I101" i="193"/>
  <c r="N101" i="193" s="1"/>
  <c r="Y150" i="193"/>
  <c r="Z150" i="193" s="1"/>
  <c r="L150" i="193"/>
  <c r="V150" i="193"/>
  <c r="S150" i="193"/>
  <c r="W150" i="193"/>
  <c r="T150" i="193"/>
  <c r="AB150" i="193"/>
  <c r="Q150" i="193"/>
  <c r="U150" i="193"/>
  <c r="X150" i="193"/>
  <c r="AD150" i="193"/>
  <c r="AA150" i="193"/>
  <c r="W123" i="193"/>
  <c r="V130" i="193"/>
  <c r="AC130" i="193"/>
  <c r="AB130" i="193"/>
  <c r="U130" i="193"/>
  <c r="Y172" i="193"/>
  <c r="Z172" i="193" s="1"/>
  <c r="P172" i="193"/>
  <c r="AA172" i="193"/>
  <c r="L172" i="193"/>
  <c r="T81" i="193"/>
  <c r="S81" i="193"/>
  <c r="AB81" i="193"/>
  <c r="X81" i="193"/>
  <c r="F88" i="193"/>
  <c r="W88" i="193" s="1"/>
  <c r="F168" i="193"/>
  <c r="AC168" i="193" s="1"/>
  <c r="R104" i="193"/>
  <c r="L104" i="193"/>
  <c r="AD104" i="193"/>
  <c r="F208" i="193"/>
  <c r="Q208" i="193" s="1"/>
  <c r="G153" i="193"/>
  <c r="J153" i="193" s="1"/>
  <c r="H104" i="193"/>
  <c r="K104" i="193" s="1"/>
  <c r="F103" i="193"/>
  <c r="U103" i="193" s="1"/>
  <c r="AB123" i="193"/>
  <c r="X130" i="193"/>
  <c r="AA130" i="193"/>
  <c r="S130" i="193"/>
  <c r="L130" i="193"/>
  <c r="X172" i="193"/>
  <c r="Y130" i="193"/>
  <c r="Z130" i="193" s="1"/>
  <c r="AC172" i="193"/>
  <c r="R172" i="193"/>
  <c r="R81" i="193"/>
  <c r="W81" i="193"/>
  <c r="L81" i="193"/>
  <c r="P81" i="193"/>
  <c r="H88" i="193"/>
  <c r="K88" i="193" s="1"/>
  <c r="U104" i="193"/>
  <c r="Y104" i="193"/>
  <c r="Z104" i="193" s="1"/>
  <c r="W104" i="193"/>
  <c r="G123" i="193"/>
  <c r="J123" i="193" s="1"/>
  <c r="F153" i="193"/>
  <c r="G150" i="193"/>
  <c r="J150" i="193" s="1"/>
  <c r="H103" i="193"/>
  <c r="K103" i="193" s="1"/>
  <c r="H107" i="193"/>
  <c r="K107" i="193" s="1"/>
  <c r="P130" i="193"/>
  <c r="T130" i="193"/>
  <c r="W130" i="193"/>
  <c r="S172" i="193"/>
  <c r="I172" i="193"/>
  <c r="M172" i="193" s="1"/>
  <c r="V172" i="193"/>
  <c r="U172" i="193"/>
  <c r="Q81" i="193"/>
  <c r="AD81" i="193"/>
  <c r="V81" i="193"/>
  <c r="X104" i="193"/>
  <c r="AA104" i="193"/>
  <c r="H123" i="193"/>
  <c r="K123" i="193" s="1"/>
  <c r="G104" i="193"/>
  <c r="J104" i="193" s="1"/>
  <c r="H208" i="193"/>
  <c r="K208" i="193" s="1"/>
  <c r="F107" i="193"/>
  <c r="R107" i="193" s="1"/>
  <c r="F133" i="193"/>
  <c r="H133" i="193"/>
  <c r="K133" i="193" s="1"/>
  <c r="G133" i="193"/>
  <c r="J133" i="193" s="1"/>
  <c r="H217" i="193"/>
  <c r="K217" i="193" s="1"/>
  <c r="G217" i="193"/>
  <c r="J217" i="193" s="1"/>
  <c r="H55" i="193"/>
  <c r="K55" i="193" s="1"/>
  <c r="F55" i="193"/>
  <c r="AD55" i="193" s="1"/>
  <c r="Q85" i="193"/>
  <c r="I85" i="193"/>
  <c r="U85" i="193"/>
  <c r="P85" i="193"/>
  <c r="R85" i="193"/>
  <c r="T85" i="193"/>
  <c r="W85" i="193"/>
  <c r="AC85" i="193"/>
  <c r="X85" i="193"/>
  <c r="AA85" i="193"/>
  <c r="V85" i="193"/>
  <c r="AD85" i="193"/>
  <c r="W198" i="193"/>
  <c r="AA198" i="193"/>
  <c r="AC198" i="193"/>
  <c r="V198" i="193"/>
  <c r="R198" i="193"/>
  <c r="Y198" i="193"/>
  <c r="Z198" i="193" s="1"/>
  <c r="S198" i="193"/>
  <c r="U198" i="193"/>
  <c r="Q198" i="193"/>
  <c r="X198" i="193"/>
  <c r="I198" i="193"/>
  <c r="L198" i="193"/>
  <c r="F214" i="193"/>
  <c r="G214" i="193"/>
  <c r="J214" i="193" s="1"/>
  <c r="AB198" i="193"/>
  <c r="Y85" i="193"/>
  <c r="Z85" i="193" s="1"/>
  <c r="G141" i="193"/>
  <c r="J141" i="193" s="1"/>
  <c r="F141" i="193"/>
  <c r="H141" i="193"/>
  <c r="K141" i="193" s="1"/>
  <c r="V123" i="193"/>
  <c r="R123" i="193"/>
  <c r="AC123" i="193"/>
  <c r="S123" i="193"/>
  <c r="L123" i="193"/>
  <c r="AA123" i="193"/>
  <c r="U123" i="193"/>
  <c r="Q123" i="193"/>
  <c r="T123" i="193"/>
  <c r="P123" i="193"/>
  <c r="I123" i="193"/>
  <c r="N123" i="193" s="1"/>
  <c r="Y123" i="193"/>
  <c r="Z123" i="193" s="1"/>
  <c r="H214" i="193"/>
  <c r="K214" i="193" s="1"/>
  <c r="AD198" i="193"/>
  <c r="L85" i="193"/>
  <c r="F217" i="193"/>
  <c r="F126" i="193"/>
  <c r="H126" i="193"/>
  <c r="K126" i="193" s="1"/>
  <c r="I76" i="193"/>
  <c r="M76" i="193" s="1"/>
  <c r="AC76" i="193"/>
  <c r="X76" i="193"/>
  <c r="AA76" i="193"/>
  <c r="T76" i="193"/>
  <c r="AD76" i="193"/>
  <c r="G185" i="193"/>
  <c r="J185" i="193" s="1"/>
  <c r="F185" i="193"/>
  <c r="Y185" i="193" s="1"/>
  <c r="Z185" i="193" s="1"/>
  <c r="P76" i="193"/>
  <c r="P198" i="193"/>
  <c r="S85" i="193"/>
  <c r="U101" i="193"/>
  <c r="L98" i="193"/>
  <c r="H139" i="193"/>
  <c r="K139" i="193" s="1"/>
  <c r="G139" i="193"/>
  <c r="J139" i="193" s="1"/>
  <c r="F84" i="193"/>
  <c r="G84" i="193"/>
  <c r="J84" i="193" s="1"/>
  <c r="H172" i="193"/>
  <c r="K172" i="193" s="1"/>
  <c r="G172" i="193"/>
  <c r="J172" i="193" s="1"/>
  <c r="G161" i="193"/>
  <c r="J161" i="193" s="1"/>
  <c r="F161" i="193"/>
  <c r="AD161" i="193" s="1"/>
  <c r="P139" i="193"/>
  <c r="Y139" i="193"/>
  <c r="Z139" i="193" s="1"/>
  <c r="X139" i="193"/>
  <c r="U139" i="193"/>
  <c r="AC139" i="193"/>
  <c r="AD139" i="193"/>
  <c r="V139" i="193"/>
  <c r="T139" i="193"/>
  <c r="Q139" i="193"/>
  <c r="G98" i="193"/>
  <c r="J98" i="193" s="1"/>
  <c r="H98" i="193"/>
  <c r="K98" i="193" s="1"/>
  <c r="H94" i="193"/>
  <c r="K94" i="193" s="1"/>
  <c r="F94" i="193"/>
  <c r="H194" i="193"/>
  <c r="K194" i="193" s="1"/>
  <c r="F194" i="193"/>
  <c r="G194" i="193"/>
  <c r="J194" i="193" s="1"/>
  <c r="P43" i="14"/>
  <c r="AB43" i="14"/>
  <c r="AE43" i="14"/>
  <c r="O54" i="193" s="1"/>
  <c r="V43" i="14"/>
  <c r="S43" i="14"/>
  <c r="U43" i="14"/>
  <c r="Y43" i="14"/>
  <c r="K43" i="14"/>
  <c r="L43" i="14"/>
  <c r="G43" i="14"/>
  <c r="T43" i="14"/>
  <c r="AD43" i="14"/>
  <c r="H43" i="14"/>
  <c r="O43" i="14"/>
  <c r="I43" i="14"/>
  <c r="AC43" i="14"/>
  <c r="N43" i="14"/>
  <c r="R43" i="14"/>
  <c r="X43" i="14"/>
  <c r="Z43" i="14"/>
  <c r="Q43" i="14"/>
  <c r="AA43" i="14"/>
  <c r="I51" i="14"/>
  <c r="O51" i="14"/>
  <c r="AA51" i="14"/>
  <c r="X51" i="14"/>
  <c r="AB51" i="14"/>
  <c r="T51" i="14"/>
  <c r="K51" i="14"/>
  <c r="W51" i="14"/>
  <c r="Y51" i="14"/>
  <c r="Q51" i="14"/>
  <c r="AC51" i="14"/>
  <c r="H51" i="14"/>
  <c r="L51" i="14"/>
  <c r="N51" i="14"/>
  <c r="R51" i="14"/>
  <c r="Z51" i="14"/>
  <c r="G51" i="14"/>
  <c r="S51" i="14"/>
  <c r="G66" i="14"/>
  <c r="O66" i="14"/>
  <c r="J66" i="14"/>
  <c r="S66" i="14"/>
  <c r="H66" i="14"/>
  <c r="P66" i="14"/>
  <c r="AE66" i="14"/>
  <c r="O77" i="193" s="1"/>
  <c r="AD66" i="14"/>
  <c r="W66" i="14"/>
  <c r="N66" i="14"/>
  <c r="AB66" i="14"/>
  <c r="I66" i="14"/>
  <c r="Y66" i="14"/>
  <c r="X66" i="14"/>
  <c r="U66" i="14"/>
  <c r="L66" i="14"/>
  <c r="K66" i="14"/>
  <c r="Q66" i="14"/>
  <c r="T66" i="14"/>
  <c r="V66" i="14"/>
  <c r="Z66" i="14"/>
  <c r="AC66" i="14"/>
  <c r="R66" i="14"/>
  <c r="AA66" i="14"/>
  <c r="G37" i="14"/>
  <c r="I37" i="14"/>
  <c r="J37" i="14"/>
  <c r="AA37" i="14"/>
  <c r="AD37" i="14"/>
  <c r="P37" i="14"/>
  <c r="Z37" i="14"/>
  <c r="R37" i="14"/>
  <c r="S37" i="14"/>
  <c r="K37" i="14"/>
  <c r="X37" i="14"/>
  <c r="W37" i="14"/>
  <c r="AE37" i="14"/>
  <c r="O48" i="193" s="1"/>
  <c r="H37" i="14"/>
  <c r="Q37" i="14"/>
  <c r="AB37" i="14"/>
  <c r="N37" i="14"/>
  <c r="Y37" i="14"/>
  <c r="AC37" i="14"/>
  <c r="V37" i="14"/>
  <c r="T37" i="14"/>
  <c r="AD193" i="14"/>
  <c r="K193" i="14"/>
  <c r="Q193" i="14"/>
  <c r="H193" i="14"/>
  <c r="S193" i="14"/>
  <c r="AE193" i="14"/>
  <c r="O204" i="193" s="1"/>
  <c r="L193" i="14"/>
  <c r="U193" i="14"/>
  <c r="AB193" i="14"/>
  <c r="G193" i="14"/>
  <c r="AC193" i="14"/>
  <c r="Z193" i="14"/>
  <c r="V193" i="14"/>
  <c r="X193" i="14"/>
  <c r="N193" i="14"/>
  <c r="AA193" i="14"/>
  <c r="Y193" i="14"/>
  <c r="T193" i="14"/>
  <c r="O193" i="14"/>
  <c r="W193" i="14"/>
  <c r="J193" i="14"/>
  <c r="I193" i="14"/>
  <c r="R193" i="14"/>
  <c r="P193" i="14"/>
  <c r="AB189" i="14"/>
  <c r="X189" i="14"/>
  <c r="S189" i="14"/>
  <c r="U189" i="14"/>
  <c r="AE189" i="14"/>
  <c r="O200" i="193" s="1"/>
  <c r="J189" i="14"/>
  <c r="AD189" i="14"/>
  <c r="AA189" i="14"/>
  <c r="P189" i="14"/>
  <c r="V189" i="14"/>
  <c r="N189" i="14"/>
  <c r="L189" i="14"/>
  <c r="G189" i="14"/>
  <c r="O189" i="14"/>
  <c r="R189" i="14"/>
  <c r="Y189" i="14"/>
  <c r="I189" i="14"/>
  <c r="K189" i="14"/>
  <c r="W189" i="14"/>
  <c r="AC189" i="14"/>
  <c r="H189" i="14"/>
  <c r="Z189" i="14"/>
  <c r="Q189" i="14"/>
  <c r="T189" i="14"/>
  <c r="X179" i="14"/>
  <c r="G179" i="14"/>
  <c r="K179" i="14"/>
  <c r="P179" i="14"/>
  <c r="T179" i="14"/>
  <c r="N179" i="14"/>
  <c r="H179" i="14"/>
  <c r="U179" i="14"/>
  <c r="AE179" i="14"/>
  <c r="O190" i="193" s="1"/>
  <c r="AD179" i="14"/>
  <c r="AA179" i="14"/>
  <c r="Y179" i="14"/>
  <c r="AB179" i="14"/>
  <c r="Z179" i="14"/>
  <c r="R179" i="14"/>
  <c r="Q179" i="14"/>
  <c r="J179" i="14"/>
  <c r="AC179" i="14"/>
  <c r="O179" i="14"/>
  <c r="W179" i="14"/>
  <c r="I179" i="14"/>
  <c r="S179" i="14"/>
  <c r="V179" i="14"/>
  <c r="L179" i="14"/>
  <c r="Q173" i="14"/>
  <c r="W173" i="14"/>
  <c r="AB173" i="14"/>
  <c r="O169" i="14"/>
  <c r="G169" i="14"/>
  <c r="J169" i="14"/>
  <c r="AB169" i="14"/>
  <c r="AC169" i="14"/>
  <c r="T169" i="14"/>
  <c r="S169" i="14"/>
  <c r="Q169" i="14"/>
  <c r="H169" i="14"/>
  <c r="N169" i="14"/>
  <c r="W169" i="14"/>
  <c r="K169" i="14"/>
  <c r="R169" i="14"/>
  <c r="I169" i="14"/>
  <c r="L169" i="14"/>
  <c r="AE169" i="14"/>
  <c r="O180" i="193" s="1"/>
  <c r="P169" i="14"/>
  <c r="X169" i="14"/>
  <c r="Z169" i="14"/>
  <c r="V169" i="14"/>
  <c r="AD169" i="14"/>
  <c r="Y169" i="14"/>
  <c r="AA169" i="14"/>
  <c r="L154" i="14"/>
  <c r="K154" i="14"/>
  <c r="R154" i="14"/>
  <c r="O154" i="14"/>
  <c r="G154" i="14"/>
  <c r="Q154" i="14"/>
  <c r="AB154" i="14"/>
  <c r="Z154" i="14"/>
  <c r="I154" i="14"/>
  <c r="P154" i="14"/>
  <c r="J154" i="14"/>
  <c r="T154" i="14"/>
  <c r="S154" i="14"/>
  <c r="AD154" i="14"/>
  <c r="N154" i="14"/>
  <c r="AE154" i="14"/>
  <c r="O165" i="193" s="1"/>
  <c r="W154" i="14"/>
  <c r="AA154" i="14"/>
  <c r="X154" i="14"/>
  <c r="Y154" i="14"/>
  <c r="AC154" i="14"/>
  <c r="H154" i="14"/>
  <c r="V154" i="14"/>
  <c r="N135" i="14"/>
  <c r="AA135" i="14"/>
  <c r="H135" i="14"/>
  <c r="J135" i="14"/>
  <c r="AD135" i="14"/>
  <c r="I135" i="14"/>
  <c r="Q135" i="14"/>
  <c r="G135" i="14"/>
  <c r="U135" i="14"/>
  <c r="L135" i="14"/>
  <c r="P135" i="14"/>
  <c r="O135" i="14"/>
  <c r="AB135" i="14"/>
  <c r="X135" i="14"/>
  <c r="AE135" i="14"/>
  <c r="O146" i="193" s="1"/>
  <c r="K135" i="14"/>
  <c r="Z135" i="14"/>
  <c r="T135" i="14"/>
  <c r="V135" i="14"/>
  <c r="S135" i="14"/>
  <c r="AC135" i="14"/>
  <c r="AA59" i="14"/>
  <c r="V59" i="14"/>
  <c r="J59" i="14"/>
  <c r="O59" i="14"/>
  <c r="I59" i="14"/>
  <c r="AE59" i="14"/>
  <c r="O70" i="193" s="1"/>
  <c r="H70" i="193" s="1"/>
  <c r="K70" i="193" s="1"/>
  <c r="L59" i="14"/>
  <c r="Y59" i="14"/>
  <c r="H59" i="14"/>
  <c r="N59" i="14"/>
  <c r="P59" i="14"/>
  <c r="T59" i="14"/>
  <c r="Z59" i="14"/>
  <c r="U59" i="14"/>
  <c r="W59" i="14"/>
  <c r="AB59" i="14"/>
  <c r="R59" i="14"/>
  <c r="Q59" i="14"/>
  <c r="K59" i="14"/>
  <c r="AD59" i="14"/>
  <c r="AC59" i="14"/>
  <c r="X59" i="14"/>
  <c r="Q52" i="14"/>
  <c r="AB52" i="14"/>
  <c r="W52" i="14"/>
  <c r="L52" i="14"/>
  <c r="O52" i="14"/>
  <c r="AE52" i="14"/>
  <c r="O63" i="193" s="1"/>
  <c r="AC52" i="14"/>
  <c r="I52" i="14"/>
  <c r="X52" i="14"/>
  <c r="U52" i="14"/>
  <c r="P52" i="14"/>
  <c r="AA52" i="14"/>
  <c r="Y52" i="14"/>
  <c r="R52" i="14"/>
  <c r="S52" i="14"/>
  <c r="N52" i="14"/>
  <c r="AD52" i="14"/>
  <c r="K52" i="14"/>
  <c r="V52" i="14"/>
  <c r="T52" i="14"/>
  <c r="H52" i="14"/>
  <c r="J52" i="14"/>
  <c r="G52" i="14"/>
  <c r="J36" i="14"/>
  <c r="AA36" i="14"/>
  <c r="U36" i="14"/>
  <c r="T36" i="14"/>
  <c r="P36" i="14"/>
  <c r="W36" i="14"/>
  <c r="Y36" i="14"/>
  <c r="R36" i="14"/>
  <c r="AE36" i="14"/>
  <c r="O47" i="193" s="1"/>
  <c r="F47" i="193" s="1"/>
  <c r="K36" i="14"/>
  <c r="S36" i="14"/>
  <c r="AD36" i="14"/>
  <c r="N36" i="14"/>
  <c r="Q36" i="14"/>
  <c r="V36" i="14"/>
  <c r="L36" i="14"/>
  <c r="H36" i="14"/>
  <c r="X36" i="14"/>
  <c r="Z36" i="14"/>
  <c r="G36" i="14"/>
  <c r="I36" i="14"/>
  <c r="AC36" i="14"/>
  <c r="AB36" i="14"/>
  <c r="O36" i="14"/>
  <c r="I32" i="14"/>
  <c r="R32" i="14" s="1"/>
  <c r="Z32" i="14" s="1"/>
  <c r="V32" i="14"/>
  <c r="L32" i="14"/>
  <c r="U32" i="14" s="1"/>
  <c r="AC32" i="14" s="1"/>
  <c r="J32" i="14"/>
  <c r="S32" i="14" s="1"/>
  <c r="AA32" i="14" s="1"/>
  <c r="C14" i="14"/>
  <c r="O14" i="14" s="1"/>
  <c r="S9" i="192"/>
  <c r="Q61" i="193"/>
  <c r="G182" i="193"/>
  <c r="J182" i="193" s="1"/>
  <c r="F182" i="193"/>
  <c r="H182" i="193"/>
  <c r="K182" i="193" s="1"/>
  <c r="L37" i="14"/>
  <c r="F71" i="193"/>
  <c r="H71" i="193"/>
  <c r="K71" i="193" s="1"/>
  <c r="G71" i="193"/>
  <c r="J71" i="193" s="1"/>
  <c r="W43" i="14"/>
  <c r="U154" i="14"/>
  <c r="Y135" i="14"/>
  <c r="U169" i="14"/>
  <c r="G59" i="14"/>
  <c r="J43" i="14"/>
  <c r="L61" i="193"/>
  <c r="R61" i="193"/>
  <c r="AB61" i="193"/>
  <c r="S61" i="193"/>
  <c r="I61" i="193"/>
  <c r="W61" i="193"/>
  <c r="U61" i="193"/>
  <c r="T61" i="193"/>
  <c r="AD61" i="193"/>
  <c r="X61" i="193"/>
  <c r="AA61" i="193"/>
  <c r="Y61" i="193"/>
  <c r="Z61" i="193" s="1"/>
  <c r="V61" i="193"/>
  <c r="AC61" i="193"/>
  <c r="P62" i="14"/>
  <c r="X62" i="14"/>
  <c r="AB62" i="14"/>
  <c r="W62" i="14"/>
  <c r="J62" i="14"/>
  <c r="O62" i="14"/>
  <c r="R62" i="14"/>
  <c r="AD62" i="14"/>
  <c r="Y62" i="14"/>
  <c r="L62" i="14"/>
  <c r="V62" i="14"/>
  <c r="AC62" i="14"/>
  <c r="G62" i="14"/>
  <c r="AA62" i="14"/>
  <c r="S62" i="14"/>
  <c r="Z62" i="14"/>
  <c r="K62" i="14"/>
  <c r="AE62" i="14"/>
  <c r="O73" i="193" s="1"/>
  <c r="I62" i="14"/>
  <c r="N62" i="14"/>
  <c r="U62" i="14"/>
  <c r="Q62" i="14"/>
  <c r="H62" i="14"/>
  <c r="T62" i="14"/>
  <c r="AA33" i="14"/>
  <c r="I33" i="14"/>
  <c r="Z33" i="14"/>
  <c r="J33" i="14"/>
  <c r="AC33" i="14"/>
  <c r="G33" i="14"/>
  <c r="Q33" i="14"/>
  <c r="S33" i="14"/>
  <c r="X33" i="14"/>
  <c r="V33" i="14"/>
  <c r="AD33" i="14"/>
  <c r="R33" i="14"/>
  <c r="U33" i="14"/>
  <c r="AE33" i="14"/>
  <c r="O44" i="193" s="1"/>
  <c r="F44" i="193" s="1"/>
  <c r="O33" i="14"/>
  <c r="T209" i="14"/>
  <c r="AB209" i="14"/>
  <c r="L209" i="14"/>
  <c r="U209" i="14"/>
  <c r="I209" i="14"/>
  <c r="J209" i="14"/>
  <c r="AD209" i="14"/>
  <c r="P209" i="14"/>
  <c r="R209" i="14"/>
  <c r="X209" i="14"/>
  <c r="Y209" i="14"/>
  <c r="AA209" i="14"/>
  <c r="S209" i="14"/>
  <c r="V209" i="14"/>
  <c r="W209" i="14"/>
  <c r="O209" i="14"/>
  <c r="AE209" i="14"/>
  <c r="O220" i="193" s="1"/>
  <c r="F220" i="193" s="1"/>
  <c r="Q209" i="14"/>
  <c r="G209" i="14"/>
  <c r="H209" i="14"/>
  <c r="AC209" i="14"/>
  <c r="N209" i="14"/>
  <c r="K209" i="14"/>
  <c r="AC196" i="14"/>
  <c r="Q196" i="14"/>
  <c r="R196" i="14"/>
  <c r="N196" i="14"/>
  <c r="J196" i="14"/>
  <c r="AB196" i="14"/>
  <c r="P196" i="14"/>
  <c r="G196" i="14"/>
  <c r="I196" i="14"/>
  <c r="AE196" i="14"/>
  <c r="O207" i="193" s="1"/>
  <c r="U196" i="14"/>
  <c r="W196" i="14"/>
  <c r="Y196" i="14"/>
  <c r="K196" i="14"/>
  <c r="T196" i="14"/>
  <c r="H196" i="14"/>
  <c r="L196" i="14"/>
  <c r="Z196" i="14"/>
  <c r="X196" i="14"/>
  <c r="S196" i="14"/>
  <c r="O196" i="14"/>
  <c r="AA196" i="14"/>
  <c r="V196" i="14"/>
  <c r="X183" i="14"/>
  <c r="AA183" i="14"/>
  <c r="P183" i="14"/>
  <c r="AB183" i="14"/>
  <c r="K183" i="14"/>
  <c r="Y183" i="14"/>
  <c r="U183" i="14"/>
  <c r="S183" i="14"/>
  <c r="L183" i="14"/>
  <c r="H183" i="14"/>
  <c r="I183" i="14"/>
  <c r="T183" i="14"/>
  <c r="O183" i="14"/>
  <c r="AC183" i="14"/>
  <c r="J183" i="14"/>
  <c r="AD183" i="14"/>
  <c r="R183" i="14"/>
  <c r="W183" i="14"/>
  <c r="G183" i="14"/>
  <c r="Z183" i="14"/>
  <c r="Q183" i="14"/>
  <c r="N183" i="14"/>
  <c r="V183" i="14"/>
  <c r="V177" i="14"/>
  <c r="AB177" i="14"/>
  <c r="U177" i="14"/>
  <c r="P177" i="14"/>
  <c r="AC177" i="14"/>
  <c r="AE177" i="14"/>
  <c r="O188" i="193" s="1"/>
  <c r="Y177" i="14"/>
  <c r="O177" i="14"/>
  <c r="Q177" i="14"/>
  <c r="AD177" i="14"/>
  <c r="K177" i="14"/>
  <c r="G177" i="14"/>
  <c r="T177" i="14"/>
  <c r="Z177" i="14"/>
  <c r="AA177" i="14"/>
  <c r="H177" i="14"/>
  <c r="R177" i="14"/>
  <c r="J177" i="14"/>
  <c r="X177" i="14"/>
  <c r="I177" i="14"/>
  <c r="S177" i="14"/>
  <c r="W177" i="14"/>
  <c r="N177" i="14"/>
  <c r="L177" i="14"/>
  <c r="Q167" i="14"/>
  <c r="W167" i="14"/>
  <c r="L167" i="14"/>
  <c r="AB167" i="14"/>
  <c r="P167" i="14"/>
  <c r="AE167" i="14"/>
  <c r="O178" i="193" s="1"/>
  <c r="F178" i="193" s="1"/>
  <c r="H167" i="14"/>
  <c r="AD167" i="14"/>
  <c r="J167" i="14"/>
  <c r="O167" i="14"/>
  <c r="I167" i="14"/>
  <c r="K167" i="14"/>
  <c r="Y167" i="14"/>
  <c r="R167" i="14"/>
  <c r="AA167" i="14"/>
  <c r="AC167" i="14"/>
  <c r="S167" i="14"/>
  <c r="X167" i="14"/>
  <c r="U167" i="14"/>
  <c r="V167" i="14"/>
  <c r="Z167" i="14"/>
  <c r="N167" i="14"/>
  <c r="T167" i="14"/>
  <c r="G167" i="14"/>
  <c r="AE145" i="14"/>
  <c r="O156" i="193" s="1"/>
  <c r="AD145" i="14"/>
  <c r="J145" i="14"/>
  <c r="T145" i="14"/>
  <c r="L141" i="14"/>
  <c r="S141" i="14"/>
  <c r="Q141" i="14"/>
  <c r="J141" i="14"/>
  <c r="Z141" i="14"/>
  <c r="K141" i="14"/>
  <c r="N141" i="14"/>
  <c r="O141" i="14"/>
  <c r="AA141" i="14"/>
  <c r="AB141" i="14"/>
  <c r="W141" i="14"/>
  <c r="AC141" i="14"/>
  <c r="H141" i="14"/>
  <c r="Y141" i="14"/>
  <c r="P141" i="14"/>
  <c r="T141" i="14"/>
  <c r="G141" i="14"/>
  <c r="U141" i="14"/>
  <c r="R141" i="14"/>
  <c r="X141" i="14"/>
  <c r="AD141" i="14"/>
  <c r="AE141" i="14"/>
  <c r="O152" i="193" s="1"/>
  <c r="I141" i="14"/>
  <c r="V141" i="14"/>
  <c r="P132" i="14"/>
  <c r="AC132" i="14"/>
  <c r="X132" i="14"/>
  <c r="J132" i="14"/>
  <c r="K132" i="14"/>
  <c r="W132" i="14"/>
  <c r="V132" i="14"/>
  <c r="I132" i="14"/>
  <c r="Z132" i="14"/>
  <c r="AB132" i="14"/>
  <c r="S132" i="14"/>
  <c r="Q132" i="14"/>
  <c r="N132" i="14"/>
  <c r="AA132" i="14"/>
  <c r="Y132" i="14"/>
  <c r="R132" i="14"/>
  <c r="O132" i="14"/>
  <c r="L132" i="14"/>
  <c r="AE132" i="14"/>
  <c r="O143" i="193" s="1"/>
  <c r="H132" i="14"/>
  <c r="G132" i="14"/>
  <c r="U132" i="14"/>
  <c r="AD132" i="14"/>
  <c r="P56" i="14"/>
  <c r="Q56" i="14"/>
  <c r="W56" i="14"/>
  <c r="V56" i="14"/>
  <c r="T56" i="14"/>
  <c r="AE56" i="14"/>
  <c r="O67" i="193" s="1"/>
  <c r="S56" i="14"/>
  <c r="X56" i="14"/>
  <c r="U56" i="14"/>
  <c r="R56" i="14"/>
  <c r="AB56" i="14"/>
  <c r="AC56" i="14"/>
  <c r="Z56" i="14"/>
  <c r="J56" i="14"/>
  <c r="O56" i="14"/>
  <c r="AA56" i="14"/>
  <c r="AD56" i="14"/>
  <c r="N56" i="14"/>
  <c r="G56" i="14"/>
  <c r="H56" i="14"/>
  <c r="K56" i="14"/>
  <c r="Y56" i="14"/>
  <c r="I56" i="14"/>
  <c r="C17" i="14"/>
  <c r="L17" i="14" s="1"/>
  <c r="U17" i="14" s="1"/>
  <c r="AC17" i="14" s="1"/>
  <c r="S12" i="192"/>
  <c r="R135" i="14"/>
  <c r="T132" i="14"/>
  <c r="L56" i="14"/>
  <c r="G155" i="193"/>
  <c r="J155" i="193" s="1"/>
  <c r="F155" i="193"/>
  <c r="H64" i="193"/>
  <c r="K64" i="193" s="1"/>
  <c r="G64" i="193"/>
  <c r="J64" i="193" s="1"/>
  <c r="H166" i="193"/>
  <c r="K166" i="193" s="1"/>
  <c r="F166" i="193"/>
  <c r="G92" i="193"/>
  <c r="J92" i="193" s="1"/>
  <c r="F92" i="193"/>
  <c r="H92" i="193"/>
  <c r="K92" i="193" s="1"/>
  <c r="F210" i="193"/>
  <c r="H210" i="193"/>
  <c r="K210" i="193" s="1"/>
  <c r="H28" i="14"/>
  <c r="F216" i="193"/>
  <c r="U216" i="193" s="1"/>
  <c r="H216" i="193"/>
  <c r="K216" i="193" s="1"/>
  <c r="G216" i="193"/>
  <c r="J216" i="193" s="1"/>
  <c r="X58" i="14"/>
  <c r="N58" i="14"/>
  <c r="Q58" i="14"/>
  <c r="L58" i="14"/>
  <c r="V58" i="14"/>
  <c r="U58" i="14"/>
  <c r="S58" i="14"/>
  <c r="AD58" i="14"/>
  <c r="Z58" i="14"/>
  <c r="G58" i="14"/>
  <c r="J58" i="14"/>
  <c r="I58" i="14"/>
  <c r="R58" i="14"/>
  <c r="AA58" i="14"/>
  <c r="T58" i="14"/>
  <c r="H58" i="14"/>
  <c r="Y58" i="14"/>
  <c r="W58" i="14"/>
  <c r="P58" i="14"/>
  <c r="AC58" i="14"/>
  <c r="J71" i="14"/>
  <c r="P71" i="14"/>
  <c r="AD71" i="14"/>
  <c r="Q71" i="14"/>
  <c r="AE71" i="14"/>
  <c r="O82" i="193" s="1"/>
  <c r="F82" i="193" s="1"/>
  <c r="AD82" i="193" s="1"/>
  <c r="Z71" i="14"/>
  <c r="AB71" i="14"/>
  <c r="L71" i="14"/>
  <c r="O71" i="14"/>
  <c r="I71" i="14"/>
  <c r="N71" i="14"/>
  <c r="AC71" i="14"/>
  <c r="G71" i="14"/>
  <c r="Y71" i="14"/>
  <c r="T71" i="14"/>
  <c r="K71" i="14"/>
  <c r="S71" i="14"/>
  <c r="R71" i="14"/>
  <c r="V71" i="14"/>
  <c r="X71" i="14"/>
  <c r="W71" i="14"/>
  <c r="Z47" i="14"/>
  <c r="G47" i="14"/>
  <c r="O47" i="14"/>
  <c r="P47" i="14"/>
  <c r="AB47" i="14"/>
  <c r="I47" i="14"/>
  <c r="V47" i="14"/>
  <c r="L47" i="14"/>
  <c r="R47" i="14"/>
  <c r="AA47" i="14"/>
  <c r="AC47" i="14"/>
  <c r="J47" i="14"/>
  <c r="T47" i="14"/>
  <c r="X47" i="14"/>
  <c r="Q47" i="14"/>
  <c r="Y47" i="14"/>
  <c r="H47" i="14"/>
  <c r="S47" i="14"/>
  <c r="AD47" i="14"/>
  <c r="K47" i="14"/>
  <c r="H55" i="14"/>
  <c r="AA55" i="14"/>
  <c r="V55" i="14"/>
  <c r="AD55" i="14"/>
  <c r="AE55" i="14"/>
  <c r="O66" i="193" s="1"/>
  <c r="I55" i="14"/>
  <c r="L55" i="14"/>
  <c r="AB55" i="14"/>
  <c r="K55" i="14"/>
  <c r="X55" i="14"/>
  <c r="AC55" i="14"/>
  <c r="O55" i="14"/>
  <c r="R55" i="14"/>
  <c r="U55" i="14"/>
  <c r="Y55" i="14"/>
  <c r="Q55" i="14"/>
  <c r="Z55" i="14"/>
  <c r="T55" i="14"/>
  <c r="N55" i="14"/>
  <c r="W55" i="14"/>
  <c r="P55" i="14"/>
  <c r="G55" i="14"/>
  <c r="Y63" i="14"/>
  <c r="H63" i="14"/>
  <c r="P63" i="14"/>
  <c r="X63" i="14"/>
  <c r="AE63" i="14"/>
  <c r="O74" i="193" s="1"/>
  <c r="L63" i="14"/>
  <c r="O63" i="14"/>
  <c r="U63" i="14"/>
  <c r="Q63" i="14"/>
  <c r="S63" i="14"/>
  <c r="N63" i="14"/>
  <c r="K63" i="14"/>
  <c r="R63" i="14"/>
  <c r="I63" i="14"/>
  <c r="T63" i="14"/>
  <c r="AB63" i="14"/>
  <c r="AC63" i="14"/>
  <c r="Z63" i="14"/>
  <c r="AA63" i="14"/>
  <c r="AD63" i="14"/>
  <c r="O69" i="14"/>
  <c r="I69" i="14"/>
  <c r="V69" i="14"/>
  <c r="J69" i="14"/>
  <c r="AB69" i="14"/>
  <c r="AC69" i="14"/>
  <c r="AE69" i="14"/>
  <c r="O80" i="193" s="1"/>
  <c r="P69" i="14"/>
  <c r="Z69" i="14"/>
  <c r="Y69" i="14"/>
  <c r="AA69" i="14"/>
  <c r="K69" i="14"/>
  <c r="X69" i="14"/>
  <c r="L69" i="14"/>
  <c r="U69" i="14"/>
  <c r="N69" i="14"/>
  <c r="T69" i="14"/>
  <c r="AD69" i="14"/>
  <c r="H69" i="14"/>
  <c r="R69" i="14"/>
  <c r="S69" i="14"/>
  <c r="G69" i="14"/>
  <c r="W69" i="14"/>
  <c r="U40" i="14"/>
  <c r="N40" i="14"/>
  <c r="O40" i="14"/>
  <c r="AD40" i="14"/>
  <c r="R40" i="14"/>
  <c r="H40" i="14"/>
  <c r="AB40" i="14"/>
  <c r="V40" i="14"/>
  <c r="I40" i="14"/>
  <c r="K40" i="14"/>
  <c r="S40" i="14"/>
  <c r="G40" i="14"/>
  <c r="W40" i="14"/>
  <c r="AE40" i="14"/>
  <c r="O51" i="193" s="1"/>
  <c r="Z40" i="14"/>
  <c r="J40" i="14"/>
  <c r="Y40" i="14"/>
  <c r="T40" i="14"/>
  <c r="AC40" i="14"/>
  <c r="AA40" i="14"/>
  <c r="L40" i="14"/>
  <c r="X40" i="14"/>
  <c r="AC201" i="14"/>
  <c r="N201" i="14"/>
  <c r="W201" i="14"/>
  <c r="X201" i="14"/>
  <c r="J201" i="14"/>
  <c r="H201" i="14"/>
  <c r="AD201" i="14"/>
  <c r="U201" i="14"/>
  <c r="S201" i="14"/>
  <c r="AA201" i="14"/>
  <c r="Z201" i="14"/>
  <c r="L201" i="14"/>
  <c r="Q201" i="14"/>
  <c r="R201" i="14"/>
  <c r="AE201" i="14"/>
  <c r="O212" i="193" s="1"/>
  <c r="T201" i="14"/>
  <c r="G201" i="14"/>
  <c r="V201" i="14"/>
  <c r="I201" i="14"/>
  <c r="P201" i="14"/>
  <c r="Y201" i="14"/>
  <c r="O201" i="14"/>
  <c r="AB201" i="14"/>
  <c r="H195" i="14"/>
  <c r="V195" i="14"/>
  <c r="AD195" i="14"/>
  <c r="AE195" i="14"/>
  <c r="O206" i="193" s="1"/>
  <c r="U195" i="14"/>
  <c r="R195" i="14"/>
  <c r="J195" i="14"/>
  <c r="G195" i="14"/>
  <c r="I195" i="14"/>
  <c r="N195" i="14"/>
  <c r="P195" i="14"/>
  <c r="Z195" i="14"/>
  <c r="X195" i="14"/>
  <c r="AA195" i="14"/>
  <c r="T195" i="14"/>
  <c r="Q195" i="14"/>
  <c r="AC195" i="14"/>
  <c r="AB195" i="14"/>
  <c r="S195" i="14"/>
  <c r="K195" i="14"/>
  <c r="W195" i="14"/>
  <c r="L195" i="14"/>
  <c r="S191" i="14"/>
  <c r="J191" i="14"/>
  <c r="K191" i="14"/>
  <c r="N191" i="14"/>
  <c r="U191" i="14"/>
  <c r="H191" i="14"/>
  <c r="Q191" i="14"/>
  <c r="G191" i="14"/>
  <c r="AB191" i="14"/>
  <c r="V191" i="14"/>
  <c r="P191" i="14"/>
  <c r="X191" i="14"/>
  <c r="Y191" i="14"/>
  <c r="AA191" i="14"/>
  <c r="AC191" i="14"/>
  <c r="AE191" i="14"/>
  <c r="O202" i="193" s="1"/>
  <c r="Z191" i="14"/>
  <c r="I191" i="14"/>
  <c r="R191" i="14"/>
  <c r="T191" i="14"/>
  <c r="AD191" i="14"/>
  <c r="W191" i="14"/>
  <c r="O191" i="14"/>
  <c r="AE188" i="14"/>
  <c r="O199" i="193" s="1"/>
  <c r="G188" i="14"/>
  <c r="AA188" i="14"/>
  <c r="S188" i="14"/>
  <c r="K188" i="14"/>
  <c r="J188" i="14"/>
  <c r="L188" i="14"/>
  <c r="R188" i="14"/>
  <c r="Z188" i="14"/>
  <c r="AB188" i="14"/>
  <c r="W188" i="14"/>
  <c r="V188" i="14"/>
  <c r="U188" i="14"/>
  <c r="X188" i="14"/>
  <c r="Y188" i="14"/>
  <c r="P188" i="14"/>
  <c r="AC188" i="14"/>
  <c r="H188" i="14"/>
  <c r="Q188" i="14"/>
  <c r="O188" i="14"/>
  <c r="N188" i="14"/>
  <c r="T188" i="14"/>
  <c r="L184" i="14"/>
  <c r="O184" i="14"/>
  <c r="R184" i="14"/>
  <c r="AD184" i="14"/>
  <c r="Q184" i="14"/>
  <c r="U184" i="14"/>
  <c r="G184" i="14"/>
  <c r="I184" i="14"/>
  <c r="T184" i="14"/>
  <c r="W184" i="14"/>
  <c r="AB184" i="14"/>
  <c r="S184" i="14"/>
  <c r="K184" i="14"/>
  <c r="AE184" i="14"/>
  <c r="O195" i="193" s="1"/>
  <c r="Y184" i="14"/>
  <c r="H184" i="14"/>
  <c r="X184" i="14"/>
  <c r="N184" i="14"/>
  <c r="V184" i="14"/>
  <c r="P184" i="14"/>
  <c r="J184" i="14"/>
  <c r="AC184" i="14"/>
  <c r="AA184" i="14"/>
  <c r="N181" i="14"/>
  <c r="W181" i="14"/>
  <c r="T181" i="14"/>
  <c r="I178" i="14"/>
  <c r="Q178" i="14"/>
  <c r="N178" i="14"/>
  <c r="H178" i="14"/>
  <c r="K178" i="14"/>
  <c r="G178" i="14"/>
  <c r="U178" i="14"/>
  <c r="V178" i="14"/>
  <c r="P178" i="14"/>
  <c r="T178" i="14"/>
  <c r="AE178" i="14"/>
  <c r="O189" i="193" s="1"/>
  <c r="R178" i="14"/>
  <c r="L178" i="14"/>
  <c r="AD178" i="14"/>
  <c r="X178" i="14"/>
  <c r="S178" i="14"/>
  <c r="J178" i="14"/>
  <c r="Y178" i="14"/>
  <c r="AA178" i="14"/>
  <c r="X175" i="14"/>
  <c r="I175" i="14"/>
  <c r="T175" i="14"/>
  <c r="AE175" i="14"/>
  <c r="O186" i="193" s="1"/>
  <c r="H186" i="193" s="1"/>
  <c r="K186" i="193" s="1"/>
  <c r="G175" i="14"/>
  <c r="U175" i="14"/>
  <c r="N175" i="14"/>
  <c r="J175" i="14"/>
  <c r="V175" i="14"/>
  <c r="L175" i="14"/>
  <c r="O175" i="14"/>
  <c r="AC175" i="14"/>
  <c r="Q175" i="14"/>
  <c r="Z175" i="14"/>
  <c r="K175" i="14"/>
  <c r="H175" i="14"/>
  <c r="P175" i="14"/>
  <c r="W175" i="14"/>
  <c r="AB175" i="14"/>
  <c r="S171" i="14"/>
  <c r="AA171" i="14"/>
  <c r="O171" i="14"/>
  <c r="I171" i="14"/>
  <c r="Z171" i="14"/>
  <c r="K171" i="14"/>
  <c r="G171" i="14"/>
  <c r="X171" i="14"/>
  <c r="R171" i="14"/>
  <c r="L171" i="14"/>
  <c r="AC171" i="14"/>
  <c r="V171" i="14"/>
  <c r="U171" i="14"/>
  <c r="H171" i="14"/>
  <c r="Y171" i="14"/>
  <c r="AB171" i="14"/>
  <c r="Q171" i="14"/>
  <c r="W171" i="14"/>
  <c r="J171" i="14"/>
  <c r="N171" i="14"/>
  <c r="U168" i="14"/>
  <c r="AB168" i="14"/>
  <c r="K168" i="14"/>
  <c r="H168" i="14"/>
  <c r="P168" i="14"/>
  <c r="AE168" i="14"/>
  <c r="O179" i="193" s="1"/>
  <c r="Z168" i="14"/>
  <c r="AD168" i="14"/>
  <c r="S168" i="14"/>
  <c r="Y168" i="14"/>
  <c r="N168" i="14"/>
  <c r="G168" i="14"/>
  <c r="X168" i="14"/>
  <c r="J168" i="14"/>
  <c r="AC168" i="14"/>
  <c r="AA168" i="14"/>
  <c r="L168" i="14"/>
  <c r="I168" i="14"/>
  <c r="Q168" i="14"/>
  <c r="V168" i="14"/>
  <c r="U165" i="14"/>
  <c r="O165" i="14"/>
  <c r="AA165" i="14"/>
  <c r="AB165" i="14"/>
  <c r="G165" i="14"/>
  <c r="K165" i="14"/>
  <c r="T165" i="14"/>
  <c r="R165" i="14"/>
  <c r="I165" i="14"/>
  <c r="S165" i="14"/>
  <c r="X165" i="14"/>
  <c r="AC165" i="14"/>
  <c r="Z165" i="14"/>
  <c r="Y165" i="14"/>
  <c r="Q165" i="14"/>
  <c r="W165" i="14"/>
  <c r="V165" i="14"/>
  <c r="AE165" i="14"/>
  <c r="O176" i="193" s="1"/>
  <c r="P165" i="14"/>
  <c r="L165" i="14"/>
  <c r="AD165" i="14"/>
  <c r="J165" i="14"/>
  <c r="H165" i="14"/>
  <c r="Y156" i="14"/>
  <c r="V156" i="14"/>
  <c r="AE156" i="14"/>
  <c r="O167" i="193" s="1"/>
  <c r="H167" i="193" s="1"/>
  <c r="K167" i="193" s="1"/>
  <c r="J156" i="14"/>
  <c r="Q156" i="14"/>
  <c r="AC156" i="14"/>
  <c r="AA156" i="14"/>
  <c r="X156" i="14"/>
  <c r="T156" i="14"/>
  <c r="H156" i="14"/>
  <c r="I156" i="14"/>
  <c r="P156" i="14"/>
  <c r="W156" i="14"/>
  <c r="N156" i="14"/>
  <c r="S156" i="14"/>
  <c r="R156" i="14"/>
  <c r="G156" i="14"/>
  <c r="AB156" i="14"/>
  <c r="U156" i="14"/>
  <c r="L156" i="14"/>
  <c r="O156" i="14"/>
  <c r="K156" i="14"/>
  <c r="AD156" i="14"/>
  <c r="L153" i="14"/>
  <c r="I153" i="14"/>
  <c r="U153" i="14"/>
  <c r="AE153" i="14"/>
  <c r="O164" i="193" s="1"/>
  <c r="N153" i="14"/>
  <c r="P153" i="14"/>
  <c r="Q153" i="14"/>
  <c r="X153" i="14"/>
  <c r="AD153" i="14"/>
  <c r="S153" i="14"/>
  <c r="H153" i="14"/>
  <c r="AA153" i="14"/>
  <c r="W153" i="14"/>
  <c r="O153" i="14"/>
  <c r="T153" i="14"/>
  <c r="AB153" i="14"/>
  <c r="G153" i="14"/>
  <c r="R153" i="14"/>
  <c r="Z153" i="14"/>
  <c r="AC153" i="14"/>
  <c r="L143" i="14"/>
  <c r="T143" i="14"/>
  <c r="Q143" i="14"/>
  <c r="U143" i="14"/>
  <c r="N143" i="14"/>
  <c r="S143" i="14"/>
  <c r="Z143" i="14"/>
  <c r="AA143" i="14"/>
  <c r="P143" i="14"/>
  <c r="X143" i="14"/>
  <c r="AE143" i="14"/>
  <c r="O154" i="193" s="1"/>
  <c r="K143" i="14"/>
  <c r="AC143" i="14"/>
  <c r="J143" i="14"/>
  <c r="I143" i="14"/>
  <c r="AB143" i="14"/>
  <c r="W143" i="14"/>
  <c r="H143" i="14"/>
  <c r="O143" i="14"/>
  <c r="AD143" i="14"/>
  <c r="G143" i="14"/>
  <c r="H140" i="14"/>
  <c r="Q140" i="14"/>
  <c r="R140" i="14"/>
  <c r="Z140" i="14"/>
  <c r="K140" i="14"/>
  <c r="AC140" i="14"/>
  <c r="I140" i="14"/>
  <c r="W140" i="14"/>
  <c r="U140" i="14"/>
  <c r="G140" i="14"/>
  <c r="S140" i="14"/>
  <c r="AD140" i="14"/>
  <c r="N140" i="14"/>
  <c r="O140" i="14"/>
  <c r="Y140" i="14"/>
  <c r="V140" i="14"/>
  <c r="L140" i="14"/>
  <c r="AE140" i="14"/>
  <c r="O151" i="193" s="1"/>
  <c r="H151" i="193" s="1"/>
  <c r="K151" i="193" s="1"/>
  <c r="AA140" i="14"/>
  <c r="J140" i="14"/>
  <c r="R133" i="14"/>
  <c r="V133" i="14"/>
  <c r="AB133" i="14"/>
  <c r="Q133" i="14"/>
  <c r="AE133" i="14"/>
  <c r="O144" i="193" s="1"/>
  <c r="N133" i="14"/>
  <c r="J133" i="14"/>
  <c r="K133" i="14"/>
  <c r="Z133" i="14"/>
  <c r="S133" i="14"/>
  <c r="Y133" i="14"/>
  <c r="P133" i="14"/>
  <c r="L133" i="14"/>
  <c r="T133" i="14"/>
  <c r="G133" i="14"/>
  <c r="O133" i="14"/>
  <c r="W133" i="14"/>
  <c r="AD133" i="14"/>
  <c r="AA133" i="14"/>
  <c r="AC133" i="14"/>
  <c r="H133" i="14"/>
  <c r="X133" i="14"/>
  <c r="U133" i="14"/>
  <c r="I133" i="14"/>
  <c r="S131" i="14"/>
  <c r="T131" i="14"/>
  <c r="I131" i="14"/>
  <c r="J131" i="14"/>
  <c r="AC131" i="14"/>
  <c r="AA131" i="14"/>
  <c r="P131" i="14"/>
  <c r="V131" i="14"/>
  <c r="K131" i="14"/>
  <c r="G131" i="14"/>
  <c r="Y131" i="14"/>
  <c r="N131" i="14"/>
  <c r="X131" i="14"/>
  <c r="H131" i="14"/>
  <c r="AD131" i="14"/>
  <c r="Q131" i="14"/>
  <c r="R131" i="14"/>
  <c r="AB131" i="14"/>
  <c r="Z131" i="14"/>
  <c r="W131" i="14"/>
  <c r="AE131" i="14"/>
  <c r="O142" i="193" s="1"/>
  <c r="O131" i="14"/>
  <c r="U131" i="14"/>
  <c r="L61" i="14"/>
  <c r="N61" i="14"/>
  <c r="AC61" i="14"/>
  <c r="AB61" i="14"/>
  <c r="Q61" i="14"/>
  <c r="X61" i="14"/>
  <c r="V61" i="14"/>
  <c r="AD61" i="14"/>
  <c r="R61" i="14"/>
  <c r="K61" i="14"/>
  <c r="W61" i="14"/>
  <c r="G61" i="14"/>
  <c r="S61" i="14"/>
  <c r="O61" i="14"/>
  <c r="J61" i="14"/>
  <c r="U61" i="14"/>
  <c r="Y61" i="14"/>
  <c r="AE61" i="14"/>
  <c r="O72" i="193" s="1"/>
  <c r="T61" i="14"/>
  <c r="P61" i="14"/>
  <c r="AA61" i="14"/>
  <c r="Z61" i="14"/>
  <c r="I57" i="14"/>
  <c r="AC57" i="14"/>
  <c r="AB57" i="14"/>
  <c r="X57" i="14"/>
  <c r="J57" i="14"/>
  <c r="V57" i="14"/>
  <c r="K57" i="14"/>
  <c r="G57" i="14"/>
  <c r="Q57" i="14"/>
  <c r="R57" i="14"/>
  <c r="L57" i="14"/>
  <c r="W57" i="14"/>
  <c r="AE57" i="14"/>
  <c r="O68" i="193" s="1"/>
  <c r="U57" i="14"/>
  <c r="P57" i="14"/>
  <c r="Z57" i="14"/>
  <c r="AD57" i="14"/>
  <c r="T57" i="14"/>
  <c r="Y57" i="14"/>
  <c r="S57" i="14"/>
  <c r="AA57" i="14"/>
  <c r="H57" i="14"/>
  <c r="J54" i="14"/>
  <c r="L54" i="14"/>
  <c r="W54" i="14"/>
  <c r="Q54" i="14"/>
  <c r="AD54" i="14"/>
  <c r="AB54" i="14"/>
  <c r="Z54" i="14"/>
  <c r="G54" i="14"/>
  <c r="O54" i="14"/>
  <c r="AE54" i="14"/>
  <c r="O65" i="193" s="1"/>
  <c r="K54" i="14"/>
  <c r="V54" i="14"/>
  <c r="P54" i="14"/>
  <c r="AC54" i="14"/>
  <c r="T54" i="14"/>
  <c r="X54" i="14"/>
  <c r="R54" i="14"/>
  <c r="AA54" i="14"/>
  <c r="H54" i="14"/>
  <c r="U54" i="14"/>
  <c r="H26" i="14"/>
  <c r="Q26" i="14" s="1"/>
  <c r="Y26" i="14" s="1"/>
  <c r="K26" i="14"/>
  <c r="V26" i="14"/>
  <c r="I26" i="14"/>
  <c r="R26" i="14" s="1"/>
  <c r="Z26" i="14" s="1"/>
  <c r="N26" i="14"/>
  <c r="W26" i="14" s="1"/>
  <c r="L26" i="14"/>
  <c r="U26" i="14" s="1"/>
  <c r="AC26" i="14" s="1"/>
  <c r="F64" i="193"/>
  <c r="V64" i="193" s="1"/>
  <c r="G196" i="193"/>
  <c r="J196" i="193" s="1"/>
  <c r="G166" i="193"/>
  <c r="J166" i="193" s="1"/>
  <c r="X140" i="14"/>
  <c r="Y143" i="14"/>
  <c r="Y153" i="14"/>
  <c r="V153" i="14"/>
  <c r="U71" i="14"/>
  <c r="O168" i="14"/>
  <c r="T171" i="14"/>
  <c r="S175" i="14"/>
  <c r="AB178" i="14"/>
  <c r="N54" i="14"/>
  <c r="W47" i="14"/>
  <c r="AD188" i="14"/>
  <c r="H111" i="193"/>
  <c r="K111" i="193" s="1"/>
  <c r="F111" i="193"/>
  <c r="J63" i="14"/>
  <c r="J55" i="14"/>
  <c r="H175" i="193"/>
  <c r="K175" i="193" s="1"/>
  <c r="G175" i="193"/>
  <c r="J175" i="193" s="1"/>
  <c r="F175" i="193"/>
  <c r="AB175" i="193" s="1"/>
  <c r="AB58" i="14"/>
  <c r="Y54" i="14"/>
  <c r="AD175" i="14"/>
  <c r="O57" i="14"/>
  <c r="N165" i="14"/>
  <c r="H155" i="193"/>
  <c r="K155" i="193" s="1"/>
  <c r="R98" i="193"/>
  <c r="AB98" i="193"/>
  <c r="W98" i="193"/>
  <c r="P98" i="193"/>
  <c r="T98" i="193"/>
  <c r="AA98" i="193"/>
  <c r="AC98" i="193"/>
  <c r="P140" i="14"/>
  <c r="R143" i="14"/>
  <c r="Z184" i="14"/>
  <c r="AD171" i="14"/>
  <c r="Y175" i="14"/>
  <c r="W178" i="14"/>
  <c r="AB76" i="193"/>
  <c r="L76" i="193"/>
  <c r="V76" i="193"/>
  <c r="Y76" i="193"/>
  <c r="Z76" i="193" s="1"/>
  <c r="U76" i="193"/>
  <c r="Q76" i="193"/>
  <c r="W76" i="193"/>
  <c r="S76" i="193"/>
  <c r="P40" i="14"/>
  <c r="U47" i="14"/>
  <c r="H137" i="193"/>
  <c r="K137" i="193" s="1"/>
  <c r="G137" i="193"/>
  <c r="J137" i="193" s="1"/>
  <c r="F137" i="193"/>
  <c r="Y137" i="193" s="1"/>
  <c r="Z137" i="193" s="1"/>
  <c r="H71" i="14"/>
  <c r="Z156" i="14"/>
  <c r="AE58" i="14"/>
  <c r="O69" i="193" s="1"/>
  <c r="R168" i="14"/>
  <c r="L131" i="14"/>
  <c r="T26" i="14"/>
  <c r="AB26" i="14" s="1"/>
  <c r="G26" i="14"/>
  <c r="P26" i="14" s="1"/>
  <c r="X26" i="14" s="1"/>
  <c r="AC178" i="14"/>
  <c r="O195" i="14"/>
  <c r="F177" i="193"/>
  <c r="G177" i="193"/>
  <c r="J177" i="193" s="1"/>
  <c r="H177" i="193"/>
  <c r="K177" i="193" s="1"/>
  <c r="H61" i="193"/>
  <c r="K61" i="193" s="1"/>
  <c r="G61" i="193"/>
  <c r="J61" i="193" s="1"/>
  <c r="K201" i="14"/>
  <c r="W168" i="14"/>
  <c r="AC150" i="193"/>
  <c r="I150" i="193"/>
  <c r="R150" i="193"/>
  <c r="P150" i="193"/>
  <c r="F191" i="193"/>
  <c r="H191" i="193"/>
  <c r="K191" i="193" s="1"/>
  <c r="G105" i="193"/>
  <c r="J105" i="193" s="1"/>
  <c r="H105" i="193"/>
  <c r="K105" i="193" s="1"/>
  <c r="F105" i="193"/>
  <c r="H213" i="193"/>
  <c r="K213" i="193" s="1"/>
  <c r="G213" i="193"/>
  <c r="J213" i="193" s="1"/>
  <c r="F213" i="193"/>
  <c r="P104" i="193"/>
  <c r="AC104" i="193"/>
  <c r="AB104" i="193"/>
  <c r="V104" i="193"/>
  <c r="G209" i="193"/>
  <c r="J209" i="193" s="1"/>
  <c r="F209" i="193"/>
  <c r="H85" i="193"/>
  <c r="K85" i="193" s="1"/>
  <c r="G85" i="193"/>
  <c r="J85" i="193" s="1"/>
  <c r="G50" i="193"/>
  <c r="J50" i="193" s="1"/>
  <c r="F50" i="193"/>
  <c r="G171" i="193"/>
  <c r="J171" i="193" s="1"/>
  <c r="F171" i="193"/>
  <c r="H198" i="193"/>
  <c r="K198" i="193" s="1"/>
  <c r="G198" i="193"/>
  <c r="J198" i="193" s="1"/>
  <c r="H169" i="193"/>
  <c r="K169" i="193" s="1"/>
  <c r="F169" i="193"/>
  <c r="L87" i="193"/>
  <c r="AC87" i="193"/>
  <c r="V87" i="193"/>
  <c r="T87" i="193"/>
  <c r="G76" i="193"/>
  <c r="J76" i="193" s="1"/>
  <c r="H76" i="193"/>
  <c r="K76" i="193" s="1"/>
  <c r="AD111" i="14"/>
  <c r="X111" i="14"/>
  <c r="H108" i="14"/>
  <c r="S108" i="14"/>
  <c r="R108" i="14"/>
  <c r="AC108" i="14"/>
  <c r="U104" i="14"/>
  <c r="J104" i="14"/>
  <c r="Q104" i="14"/>
  <c r="K102" i="14"/>
  <c r="L102" i="14"/>
  <c r="R102" i="14"/>
  <c r="W102" i="14"/>
  <c r="O102" i="14"/>
  <c r="AE102" i="14"/>
  <c r="O113" i="193" s="1"/>
  <c r="I102" i="14"/>
  <c r="AC102" i="14"/>
  <c r="AA102" i="14"/>
  <c r="X102" i="14"/>
  <c r="V102" i="14"/>
  <c r="H102" i="14"/>
  <c r="S102" i="14"/>
  <c r="AB102" i="14"/>
  <c r="AC76" i="14"/>
  <c r="J76" i="14"/>
  <c r="L76" i="14"/>
  <c r="R76" i="14"/>
  <c r="AA76" i="14"/>
  <c r="H76" i="14"/>
  <c r="P76" i="14"/>
  <c r="L122" i="14"/>
  <c r="H122" i="14"/>
  <c r="R106" i="14"/>
  <c r="U106" i="14"/>
  <c r="I106" i="14"/>
  <c r="V106" i="14"/>
  <c r="Q106" i="14"/>
  <c r="AE106" i="14"/>
  <c r="O117" i="193" s="1"/>
  <c r="AC106" i="14"/>
  <c r="Z106" i="14"/>
  <c r="O106" i="14"/>
  <c r="N106" i="14"/>
  <c r="AA106" i="14"/>
  <c r="S106" i="14"/>
  <c r="V100" i="14"/>
  <c r="Z100" i="14"/>
  <c r="AA100" i="14"/>
  <c r="S100" i="14"/>
  <c r="T100" i="14"/>
  <c r="I74" i="14"/>
  <c r="K74" i="14"/>
  <c r="W208" i="14"/>
  <c r="O208" i="14"/>
  <c r="AA208" i="14"/>
  <c r="AD208" i="14"/>
  <c r="S202" i="14"/>
  <c r="AC202" i="14"/>
  <c r="R202" i="14"/>
  <c r="K202" i="14"/>
  <c r="AE148" i="14"/>
  <c r="O159" i="193" s="1"/>
  <c r="L148" i="14"/>
  <c r="H197" i="14"/>
  <c r="AB197" i="14"/>
  <c r="N161" i="14"/>
  <c r="X161" i="14"/>
  <c r="AB152" i="14"/>
  <c r="P152" i="14"/>
  <c r="AD130" i="14"/>
  <c r="U130" i="14"/>
  <c r="T130" i="14"/>
  <c r="P89" i="14"/>
  <c r="Q89" i="14"/>
  <c r="T86" i="14"/>
  <c r="H86" i="14"/>
  <c r="V12" i="14"/>
  <c r="V15" i="14"/>
  <c r="E20" i="193"/>
  <c r="C10" i="14"/>
  <c r="V10" i="14" s="1"/>
  <c r="S5" i="192"/>
  <c r="C11" i="14"/>
  <c r="S6" i="192"/>
  <c r="D22" i="193"/>
  <c r="O13" i="14"/>
  <c r="W13" i="14" s="1"/>
  <c r="D13" i="14"/>
  <c r="C18" i="14"/>
  <c r="S13" i="192"/>
  <c r="C22" i="193"/>
  <c r="C23" i="193" s="1"/>
  <c r="C24" i="193" s="1"/>
  <c r="C25" i="193" s="1"/>
  <c r="C26" i="193" s="1"/>
  <c r="C27" i="193" s="1"/>
  <c r="C28" i="193" s="1"/>
  <c r="C29" i="193" s="1"/>
  <c r="C30" i="193" s="1"/>
  <c r="C31" i="193" s="1"/>
  <c r="C32" i="193" s="1"/>
  <c r="C33" i="193" s="1"/>
  <c r="C34" i="193" s="1"/>
  <c r="C35" i="193" s="1"/>
  <c r="C36" i="193" s="1"/>
  <c r="C37" i="193" s="1"/>
  <c r="C38" i="193" s="1"/>
  <c r="C39" i="193" s="1"/>
  <c r="C40" i="193" s="1"/>
  <c r="C41" i="193" s="1"/>
  <c r="C42" i="193" s="1"/>
  <c r="C43" i="193" s="1"/>
  <c r="G58" i="193"/>
  <c r="J58" i="193" s="1"/>
  <c r="F58" i="193"/>
  <c r="V17" i="14"/>
  <c r="G108" i="193"/>
  <c r="J108" i="193" s="1"/>
  <c r="F108" i="193"/>
  <c r="H108" i="193"/>
  <c r="K108" i="193" s="1"/>
  <c r="AA101" i="193"/>
  <c r="AD101" i="193"/>
  <c r="S101" i="193"/>
  <c r="P101" i="193"/>
  <c r="R101" i="193"/>
  <c r="Y101" i="193"/>
  <c r="Z101" i="193" s="1"/>
  <c r="AB101" i="193"/>
  <c r="W101" i="193"/>
  <c r="H58" i="193"/>
  <c r="K58" i="193" s="1"/>
  <c r="AD201" i="193"/>
  <c r="I201" i="193"/>
  <c r="X201" i="193"/>
  <c r="S201" i="193"/>
  <c r="H101" i="193"/>
  <c r="K101" i="193" s="1"/>
  <c r="G101" i="193"/>
  <c r="J101" i="193" s="1"/>
  <c r="L101" i="193"/>
  <c r="Q101" i="193"/>
  <c r="AC101" i="193"/>
  <c r="M104" i="193"/>
  <c r="G157" i="193"/>
  <c r="J157" i="193" s="1"/>
  <c r="F157" i="193"/>
  <c r="Z194" i="14"/>
  <c r="R194" i="14"/>
  <c r="W194" i="14"/>
  <c r="AD194" i="14"/>
  <c r="V194" i="14"/>
  <c r="L194" i="14"/>
  <c r="S194" i="14"/>
  <c r="N194" i="14"/>
  <c r="O194" i="14"/>
  <c r="T194" i="14"/>
  <c r="G194" i="14"/>
  <c r="X194" i="14"/>
  <c r="K194" i="14"/>
  <c r="Y194" i="14"/>
  <c r="P194" i="14"/>
  <c r="U194" i="14"/>
  <c r="H194" i="14"/>
  <c r="AE194" i="14"/>
  <c r="O205" i="193" s="1"/>
  <c r="AB194" i="14"/>
  <c r="AA194" i="14"/>
  <c r="AC194" i="14"/>
  <c r="R192" i="14"/>
  <c r="Y192" i="14"/>
  <c r="AA192" i="14"/>
  <c r="AC192" i="14"/>
  <c r="K192" i="14"/>
  <c r="I192" i="14"/>
  <c r="W192" i="14"/>
  <c r="G192" i="14"/>
  <c r="X192" i="14"/>
  <c r="AD192" i="14"/>
  <c r="Z192" i="14"/>
  <c r="L192" i="14"/>
  <c r="AE192" i="14"/>
  <c r="O203" i="193" s="1"/>
  <c r="AB192" i="14"/>
  <c r="P192" i="14"/>
  <c r="V192" i="14"/>
  <c r="Q192" i="14"/>
  <c r="K186" i="14"/>
  <c r="V186" i="14"/>
  <c r="W186" i="14"/>
  <c r="X186" i="14"/>
  <c r="Z186" i="14"/>
  <c r="Q186" i="14"/>
  <c r="R186" i="14"/>
  <c r="U186" i="14"/>
  <c r="T186" i="14"/>
  <c r="S186" i="14"/>
  <c r="N186" i="14"/>
  <c r="G186" i="14"/>
  <c r="P186" i="14"/>
  <c r="AC186" i="14"/>
  <c r="AD186" i="14"/>
  <c r="AB186" i="14"/>
  <c r="O186" i="14"/>
  <c r="L186" i="14"/>
  <c r="I186" i="14"/>
  <c r="H186" i="14"/>
  <c r="AE186" i="14"/>
  <c r="O197" i="193" s="1"/>
  <c r="J186" i="14"/>
  <c r="AA186" i="14"/>
  <c r="K181" i="14"/>
  <c r="Q181" i="14"/>
  <c r="AC181" i="14"/>
  <c r="AE181" i="14"/>
  <c r="O192" i="193" s="1"/>
  <c r="S181" i="14"/>
  <c r="I181" i="14"/>
  <c r="J181" i="14"/>
  <c r="X181" i="14"/>
  <c r="G181" i="14"/>
  <c r="U181" i="14"/>
  <c r="AA181" i="14"/>
  <c r="H181" i="14"/>
  <c r="O181" i="14"/>
  <c r="P181" i="14"/>
  <c r="Z181" i="14"/>
  <c r="L181" i="14"/>
  <c r="V181" i="14"/>
  <c r="AD181" i="14"/>
  <c r="AB181" i="14"/>
  <c r="R181" i="14"/>
  <c r="Y181" i="14"/>
  <c r="S176" i="14"/>
  <c r="W176" i="14"/>
  <c r="Q176" i="14"/>
  <c r="Y176" i="14"/>
  <c r="J176" i="14"/>
  <c r="N176" i="14"/>
  <c r="X176" i="14"/>
  <c r="AC176" i="14"/>
  <c r="H176" i="14"/>
  <c r="U176" i="14"/>
  <c r="Z176" i="14"/>
  <c r="AE176" i="14"/>
  <c r="O187" i="193" s="1"/>
  <c r="AB176" i="14"/>
  <c r="O176" i="14"/>
  <c r="L176" i="14"/>
  <c r="V176" i="14"/>
  <c r="R176" i="14"/>
  <c r="I176" i="14"/>
  <c r="K176" i="14"/>
  <c r="T176" i="14"/>
  <c r="G176" i="14"/>
  <c r="AA176" i="14"/>
  <c r="R173" i="14"/>
  <c r="X173" i="14"/>
  <c r="Y173" i="14"/>
  <c r="AE173" i="14"/>
  <c r="O184" i="193" s="1"/>
  <c r="G173" i="14"/>
  <c r="P173" i="14"/>
  <c r="I173" i="14"/>
  <c r="AC173" i="14"/>
  <c r="Z173" i="14"/>
  <c r="U173" i="14"/>
  <c r="AA173" i="14"/>
  <c r="O173" i="14"/>
  <c r="H173" i="14"/>
  <c r="L173" i="14"/>
  <c r="N173" i="14"/>
  <c r="T173" i="14"/>
  <c r="AD173" i="14"/>
  <c r="V173" i="14"/>
  <c r="S173" i="14"/>
  <c r="K173" i="14"/>
  <c r="J173" i="14"/>
  <c r="L159" i="14"/>
  <c r="J159" i="14"/>
  <c r="S159" i="14"/>
  <c r="H159" i="14"/>
  <c r="Q159" i="14"/>
  <c r="AD159" i="14"/>
  <c r="AE159" i="14"/>
  <c r="O170" i="193" s="1"/>
  <c r="I159" i="14"/>
  <c r="K159" i="14"/>
  <c r="X159" i="14"/>
  <c r="O159" i="14"/>
  <c r="T159" i="14"/>
  <c r="W159" i="14"/>
  <c r="V159" i="14"/>
  <c r="Y159" i="14"/>
  <c r="AA159" i="14"/>
  <c r="P159" i="14"/>
  <c r="G159" i="14"/>
  <c r="I145" i="14"/>
  <c r="AB145" i="14"/>
  <c r="K145" i="14"/>
  <c r="N145" i="14"/>
  <c r="P145" i="14"/>
  <c r="V145" i="14"/>
  <c r="Z145" i="14"/>
  <c r="R145" i="14"/>
  <c r="Q145" i="14"/>
  <c r="Y145" i="14"/>
  <c r="U145" i="14"/>
  <c r="AA145" i="14"/>
  <c r="G145" i="14"/>
  <c r="X145" i="14"/>
  <c r="O145" i="14"/>
  <c r="L145" i="14"/>
  <c r="W145" i="14"/>
  <c r="H145" i="14"/>
  <c r="S145" i="14"/>
  <c r="AC145" i="14"/>
  <c r="I129" i="14"/>
  <c r="G129" i="14"/>
  <c r="U129" i="14"/>
  <c r="N129" i="14"/>
  <c r="W129" i="14"/>
  <c r="T129" i="14"/>
  <c r="AE129" i="14"/>
  <c r="O140" i="193" s="1"/>
  <c r="K129" i="14"/>
  <c r="AD129" i="14"/>
  <c r="Z129" i="14"/>
  <c r="AB129" i="14"/>
  <c r="L129" i="14"/>
  <c r="X129" i="14"/>
  <c r="Y129" i="14"/>
  <c r="H129" i="14"/>
  <c r="O129" i="14"/>
  <c r="S129" i="14"/>
  <c r="R129" i="14"/>
  <c r="AC129" i="14"/>
  <c r="AA129" i="14"/>
  <c r="V129" i="14"/>
  <c r="J129" i="14"/>
  <c r="Q129" i="14"/>
  <c r="P129" i="14"/>
  <c r="AE118" i="14"/>
  <c r="O129" i="193" s="1"/>
  <c r="X118" i="14"/>
  <c r="Y118" i="14"/>
  <c r="R118" i="14"/>
  <c r="AC118" i="14"/>
  <c r="I118" i="14"/>
  <c r="T118" i="14"/>
  <c r="S118" i="14"/>
  <c r="L118" i="14"/>
  <c r="V118" i="14"/>
  <c r="Q118" i="14"/>
  <c r="G118" i="14"/>
  <c r="N118" i="14"/>
  <c r="AB118" i="14"/>
  <c r="H118" i="14"/>
  <c r="AD118" i="14"/>
  <c r="O118" i="14"/>
  <c r="Z118" i="14"/>
  <c r="P118" i="14"/>
  <c r="AA118" i="14"/>
  <c r="K118" i="14"/>
  <c r="U118" i="14"/>
  <c r="J118" i="14"/>
  <c r="L116" i="14"/>
  <c r="T116" i="14"/>
  <c r="X116" i="14"/>
  <c r="J116" i="14"/>
  <c r="O116" i="14"/>
  <c r="H116" i="14"/>
  <c r="AB116" i="14"/>
  <c r="V116" i="14"/>
  <c r="Y116" i="14"/>
  <c r="P116" i="14"/>
  <c r="AD116" i="14"/>
  <c r="R116" i="14"/>
  <c r="AA116" i="14"/>
  <c r="AE116" i="14"/>
  <c r="O127" i="193" s="1"/>
  <c r="K116" i="14"/>
  <c r="N116" i="14"/>
  <c r="Z116" i="14"/>
  <c r="S116" i="14"/>
  <c r="AC116" i="14"/>
  <c r="U116" i="14"/>
  <c r="W116" i="14"/>
  <c r="P110" i="14"/>
  <c r="U110" i="14"/>
  <c r="AE110" i="14"/>
  <c r="O121" i="193" s="1"/>
  <c r="X110" i="14"/>
  <c r="AD110" i="14"/>
  <c r="L110" i="14"/>
  <c r="S110" i="14"/>
  <c r="N110" i="14"/>
  <c r="AA110" i="14"/>
  <c r="Z110" i="14"/>
  <c r="V110" i="14"/>
  <c r="K110" i="14"/>
  <c r="I110" i="14"/>
  <c r="W110" i="14"/>
  <c r="Y110" i="14"/>
  <c r="AC110" i="14"/>
  <c r="R110" i="14"/>
  <c r="O110" i="14"/>
  <c r="G110" i="14"/>
  <c r="Q110" i="14"/>
  <c r="H110" i="14"/>
  <c r="O107" i="14"/>
  <c r="AB107" i="14"/>
  <c r="AA107" i="14"/>
  <c r="V107" i="14"/>
  <c r="P107" i="14"/>
  <c r="AE107" i="14"/>
  <c r="O118" i="193" s="1"/>
  <c r="AD107" i="14"/>
  <c r="I107" i="14"/>
  <c r="K107" i="14"/>
  <c r="N107" i="14"/>
  <c r="S107" i="14"/>
  <c r="H107" i="14"/>
  <c r="T107" i="14"/>
  <c r="J107" i="14"/>
  <c r="Q107" i="14"/>
  <c r="R107" i="14"/>
  <c r="AC107" i="14"/>
  <c r="Z107" i="14"/>
  <c r="L107" i="14"/>
  <c r="U107" i="14"/>
  <c r="W107" i="14"/>
  <c r="X107" i="14"/>
  <c r="G107" i="14"/>
  <c r="Y107" i="14"/>
  <c r="AB101" i="14"/>
  <c r="AA101" i="14"/>
  <c r="W101" i="14"/>
  <c r="N101" i="14"/>
  <c r="U101" i="14"/>
  <c r="R101" i="14"/>
  <c r="J101" i="14"/>
  <c r="Z101" i="14"/>
  <c r="O101" i="14"/>
  <c r="I101" i="14"/>
  <c r="T101" i="14"/>
  <c r="V101" i="14"/>
  <c r="L101" i="14"/>
  <c r="AC101" i="14"/>
  <c r="K101" i="14"/>
  <c r="X101" i="14"/>
  <c r="Q101" i="14"/>
  <c r="S101" i="14"/>
  <c r="Y101" i="14"/>
  <c r="G101" i="14"/>
  <c r="AE101" i="14"/>
  <c r="O112" i="193" s="1"/>
  <c r="K98" i="14"/>
  <c r="W98" i="14"/>
  <c r="P98" i="14"/>
  <c r="AB98" i="14"/>
  <c r="R98" i="14"/>
  <c r="X98" i="14"/>
  <c r="AE98" i="14"/>
  <c r="O109" i="193" s="1"/>
  <c r="J98" i="14"/>
  <c r="Q98" i="14"/>
  <c r="H98" i="14"/>
  <c r="AA98" i="14"/>
  <c r="V98" i="14"/>
  <c r="Z98" i="14"/>
  <c r="U98" i="14"/>
  <c r="N98" i="14"/>
  <c r="T98" i="14"/>
  <c r="I98" i="14"/>
  <c r="AC98" i="14"/>
  <c r="O98" i="14"/>
  <c r="S98" i="14"/>
  <c r="AD98" i="14"/>
  <c r="G98" i="14"/>
  <c r="Y98" i="14"/>
  <c r="L98" i="14"/>
  <c r="N90" i="14"/>
  <c r="AD90" i="14"/>
  <c r="U90" i="14"/>
  <c r="AA90" i="14"/>
  <c r="R90" i="14"/>
  <c r="T90" i="14"/>
  <c r="I90" i="14"/>
  <c r="AB90" i="14"/>
  <c r="L90" i="14"/>
  <c r="G90" i="14"/>
  <c r="O90" i="14"/>
  <c r="Q90" i="14"/>
  <c r="P90" i="14"/>
  <c r="S90" i="14"/>
  <c r="X90" i="14"/>
  <c r="K90" i="14"/>
  <c r="AC90" i="14"/>
  <c r="J90" i="14"/>
  <c r="H90" i="14"/>
  <c r="W90" i="14"/>
  <c r="Y90" i="14"/>
  <c r="V90" i="14"/>
  <c r="Z90" i="14"/>
  <c r="S85" i="14"/>
  <c r="AC85" i="14"/>
  <c r="Q85" i="14"/>
  <c r="AD85" i="14"/>
  <c r="I85" i="14"/>
  <c r="O85" i="14"/>
  <c r="V85" i="14"/>
  <c r="AA85" i="14"/>
  <c r="T85" i="14"/>
  <c r="Y85" i="14"/>
  <c r="AE85" i="14"/>
  <c r="O96" i="193" s="1"/>
  <c r="Z85" i="14"/>
  <c r="W85" i="14"/>
  <c r="L85" i="14"/>
  <c r="AB85" i="14"/>
  <c r="G85" i="14"/>
  <c r="R85" i="14"/>
  <c r="J85" i="14"/>
  <c r="P85" i="14"/>
  <c r="X85" i="14"/>
  <c r="U85" i="14"/>
  <c r="N85" i="14"/>
  <c r="H85" i="14"/>
  <c r="K85" i="14"/>
  <c r="K79" i="14"/>
  <c r="AD79" i="14"/>
  <c r="AC79" i="14"/>
  <c r="AA79" i="14"/>
  <c r="W79" i="14"/>
  <c r="O79" i="14"/>
  <c r="S79" i="14"/>
  <c r="N79" i="14"/>
  <c r="P79" i="14"/>
  <c r="H79" i="14"/>
  <c r="V79" i="14"/>
  <c r="I79" i="14"/>
  <c r="G79" i="14"/>
  <c r="R79" i="14"/>
  <c r="L79" i="14"/>
  <c r="AB79" i="14"/>
  <c r="Y79" i="14"/>
  <c r="Z79" i="14"/>
  <c r="X79" i="14"/>
  <c r="Q79" i="14"/>
  <c r="K23" i="14"/>
  <c r="T23" i="14" s="1"/>
  <c r="AB23" i="14" s="1"/>
  <c r="I23" i="14"/>
  <c r="R23" i="14" s="1"/>
  <c r="Z23" i="14" s="1"/>
  <c r="N23" i="14"/>
  <c r="V23" i="14"/>
  <c r="AA23" i="14"/>
  <c r="O23" i="14"/>
  <c r="H19" i="14"/>
  <c r="Q19" i="14" s="1"/>
  <c r="Y19" i="14" s="1"/>
  <c r="N19" i="14"/>
  <c r="G19" i="14"/>
  <c r="P19" i="14" s="1"/>
  <c r="X19" i="14" s="1"/>
  <c r="K19" i="14"/>
  <c r="T19" i="14" s="1"/>
  <c r="AB19" i="14" s="1"/>
  <c r="O19" i="14"/>
  <c r="L19" i="14"/>
  <c r="U19" i="14" s="1"/>
  <c r="AC19" i="14" s="1"/>
  <c r="J19" i="14"/>
  <c r="S19" i="14" s="1"/>
  <c r="AA19" i="14" s="1"/>
  <c r="I19" i="14"/>
  <c r="R19" i="14" s="1"/>
  <c r="Z19" i="14" s="1"/>
  <c r="V19" i="14"/>
  <c r="G193" i="193"/>
  <c r="J193" i="193" s="1"/>
  <c r="H193" i="193"/>
  <c r="K193" i="193" s="1"/>
  <c r="F193" i="193"/>
  <c r="H124" i="193"/>
  <c r="K124" i="193" s="1"/>
  <c r="F124" i="193"/>
  <c r="G124" i="193"/>
  <c r="J124" i="193" s="1"/>
  <c r="H90" i="193"/>
  <c r="K90" i="193" s="1"/>
  <c r="G90" i="193"/>
  <c r="J90" i="193" s="1"/>
  <c r="F90" i="193"/>
  <c r="H91" i="193"/>
  <c r="K91" i="193" s="1"/>
  <c r="F91" i="193"/>
  <c r="H89" i="193"/>
  <c r="K89" i="193" s="1"/>
  <c r="F89" i="193"/>
  <c r="AB33" i="14"/>
  <c r="H33" i="14"/>
  <c r="K33" i="14"/>
  <c r="N33" i="14"/>
  <c r="T33" i="14"/>
  <c r="L33" i="14"/>
  <c r="Y33" i="14"/>
  <c r="P33" i="14"/>
  <c r="W33" i="14"/>
  <c r="Q119" i="193"/>
  <c r="Y119" i="193"/>
  <c r="Z119" i="193" s="1"/>
  <c r="W119" i="193"/>
  <c r="I119" i="193"/>
  <c r="AA119" i="193"/>
  <c r="H50" i="193"/>
  <c r="K50" i="193" s="1"/>
  <c r="U87" i="193"/>
  <c r="P87" i="193"/>
  <c r="X87" i="193"/>
  <c r="AA87" i="193"/>
  <c r="G55" i="193"/>
  <c r="J55" i="193" s="1"/>
  <c r="G63" i="14"/>
  <c r="V63" i="14"/>
  <c r="V51" i="14"/>
  <c r="AE51" i="14"/>
  <c r="O62" i="193" s="1"/>
  <c r="J51" i="14"/>
  <c r="U51" i="14"/>
  <c r="AD51" i="14"/>
  <c r="P51" i="14"/>
  <c r="O37" i="14"/>
  <c r="U37" i="14"/>
  <c r="L16" i="14"/>
  <c r="U16" i="14" s="1"/>
  <c r="AC16" i="14" s="1"/>
  <c r="G198" i="14"/>
  <c r="P198" i="14"/>
  <c r="J26" i="14"/>
  <c r="S26" i="14" s="1"/>
  <c r="AA26" i="14" s="1"/>
  <c r="D23" i="193" l="1"/>
  <c r="D24" i="193" s="1"/>
  <c r="D25" i="193" s="1"/>
  <c r="D26" i="193" s="1"/>
  <c r="D27" i="193" s="1"/>
  <c r="D28" i="193" s="1"/>
  <c r="D29" i="193" s="1"/>
  <c r="D30" i="193" s="1"/>
  <c r="D31" i="193" s="1"/>
  <c r="D32" i="193" s="1"/>
  <c r="D33" i="193" s="1"/>
  <c r="D34" i="193" s="1"/>
  <c r="D35" i="193" s="1"/>
  <c r="D36" i="193" s="1"/>
  <c r="D37" i="193" s="1"/>
  <c r="D38" i="193" s="1"/>
  <c r="D39" i="193" s="1"/>
  <c r="D40" i="193" s="1"/>
  <c r="D41" i="193" s="1"/>
  <c r="D42" i="193" s="1"/>
  <c r="D43" i="193" s="1"/>
  <c r="D20" i="193"/>
  <c r="J10" i="14"/>
  <c r="S10" i="14" s="1"/>
  <c r="AA10" i="14" s="1"/>
  <c r="W23" i="14"/>
  <c r="L10" i="14"/>
  <c r="U10" i="14" s="1"/>
  <c r="AC10" i="14" s="1"/>
  <c r="D7" i="14"/>
  <c r="S160" i="193"/>
  <c r="R75" i="193"/>
  <c r="AD13" i="14"/>
  <c r="AE13" i="14" s="1"/>
  <c r="O24" i="193" s="1"/>
  <c r="F24" i="193" s="1"/>
  <c r="X160" i="193"/>
  <c r="AC75" i="193"/>
  <c r="AB75" i="193"/>
  <c r="F60" i="193"/>
  <c r="X60" i="193" s="1"/>
  <c r="T160" i="193"/>
  <c r="Y174" i="193"/>
  <c r="Z174" i="193" s="1"/>
  <c r="Y160" i="193"/>
  <c r="Z160" i="193" s="1"/>
  <c r="P75" i="193"/>
  <c r="F79" i="193"/>
  <c r="AD79" i="193" s="1"/>
  <c r="AA160" i="193"/>
  <c r="G173" i="193"/>
  <c r="J173" i="193" s="1"/>
  <c r="AD174" i="193"/>
  <c r="G149" i="193"/>
  <c r="J149" i="193" s="1"/>
  <c r="G160" i="193"/>
  <c r="J160" i="193" s="1"/>
  <c r="U160" i="193"/>
  <c r="AD160" i="193"/>
  <c r="V160" i="193"/>
  <c r="Y75" i="193"/>
  <c r="Z75" i="193" s="1"/>
  <c r="H79" i="193"/>
  <c r="K79" i="193" s="1"/>
  <c r="H60" i="193"/>
  <c r="K60" i="193" s="1"/>
  <c r="S75" i="193"/>
  <c r="T174" i="193"/>
  <c r="R160" i="193"/>
  <c r="U75" i="193"/>
  <c r="H160" i="193"/>
  <c r="K160" i="193" s="1"/>
  <c r="V75" i="193"/>
  <c r="G75" i="193"/>
  <c r="J75" i="193" s="1"/>
  <c r="I160" i="193"/>
  <c r="M160" i="193" s="1"/>
  <c r="Q160" i="193"/>
  <c r="AC160" i="193"/>
  <c r="M75" i="193"/>
  <c r="V174" i="193"/>
  <c r="U174" i="193"/>
  <c r="I174" i="193"/>
  <c r="M174" i="193" s="1"/>
  <c r="P160" i="193"/>
  <c r="AB160" i="193"/>
  <c r="F149" i="193"/>
  <c r="AD149" i="193" s="1"/>
  <c r="W160" i="193"/>
  <c r="Q135" i="193"/>
  <c r="R135" i="193"/>
  <c r="F56" i="193"/>
  <c r="T56" i="193" s="1"/>
  <c r="G110" i="193"/>
  <c r="J110" i="193" s="1"/>
  <c r="AC162" i="193"/>
  <c r="H114" i="193"/>
  <c r="K114" i="193" s="1"/>
  <c r="G162" i="193"/>
  <c r="J162" i="193" s="1"/>
  <c r="S135" i="193"/>
  <c r="W135" i="193"/>
  <c r="H219" i="193"/>
  <c r="K219" i="193" s="1"/>
  <c r="G135" i="193"/>
  <c r="J135" i="193" s="1"/>
  <c r="F110" i="193"/>
  <c r="P110" i="193" s="1"/>
  <c r="F45" i="193"/>
  <c r="AD45" i="193" s="1"/>
  <c r="F114" i="193"/>
  <c r="AB114" i="193" s="1"/>
  <c r="AB162" i="193"/>
  <c r="Y162" i="193"/>
  <c r="Z162" i="193" s="1"/>
  <c r="AD135" i="193"/>
  <c r="V135" i="193"/>
  <c r="AC135" i="193"/>
  <c r="Q162" i="193"/>
  <c r="T162" i="193"/>
  <c r="H215" i="193"/>
  <c r="K215" i="193" s="1"/>
  <c r="AC215" i="193"/>
  <c r="F86" i="193"/>
  <c r="Q86" i="193" s="1"/>
  <c r="V163" i="193"/>
  <c r="R163" i="193"/>
  <c r="T215" i="193"/>
  <c r="G53" i="193"/>
  <c r="J53" i="193" s="1"/>
  <c r="S211" i="193"/>
  <c r="I211" i="193"/>
  <c r="M211" i="193" s="1"/>
  <c r="H93" i="193"/>
  <c r="K93" i="193" s="1"/>
  <c r="F102" i="193"/>
  <c r="U102" i="193" s="1"/>
  <c r="Y215" i="193"/>
  <c r="Z215" i="193" s="1"/>
  <c r="AC46" i="193"/>
  <c r="AD162" i="193"/>
  <c r="H162" i="193"/>
  <c r="K162" i="193" s="1"/>
  <c r="AD215" i="193"/>
  <c r="F53" i="193"/>
  <c r="AA53" i="193" s="1"/>
  <c r="H86" i="193"/>
  <c r="K86" i="193" s="1"/>
  <c r="Y163" i="193"/>
  <c r="Z163" i="193" s="1"/>
  <c r="V215" i="193"/>
  <c r="W215" i="193"/>
  <c r="Y46" i="193"/>
  <c r="Z46" i="193" s="1"/>
  <c r="P163" i="193"/>
  <c r="AA162" i="193"/>
  <c r="H163" i="193"/>
  <c r="K163" i="193" s="1"/>
  <c r="X215" i="193"/>
  <c r="U215" i="193"/>
  <c r="U46" i="193"/>
  <c r="I163" i="193"/>
  <c r="N163" i="193" s="1"/>
  <c r="AA46" i="193"/>
  <c r="U163" i="193"/>
  <c r="AA134" i="193"/>
  <c r="H134" i="193"/>
  <c r="K134" i="193" s="1"/>
  <c r="G122" i="193"/>
  <c r="J122" i="193" s="1"/>
  <c r="R215" i="193"/>
  <c r="P215" i="193"/>
  <c r="L215" i="193"/>
  <c r="S215" i="193"/>
  <c r="H138" i="193"/>
  <c r="K138" i="193" s="1"/>
  <c r="Q125" i="193"/>
  <c r="V134" i="193"/>
  <c r="V46" i="193"/>
  <c r="G46" i="193"/>
  <c r="J46" i="193" s="1"/>
  <c r="I46" i="193"/>
  <c r="N46" i="193" s="1"/>
  <c r="W163" i="193"/>
  <c r="AD29" i="14"/>
  <c r="AE29" i="14" s="1"/>
  <c r="O40" i="193" s="1"/>
  <c r="F40" i="193" s="1"/>
  <c r="L40" i="193" s="1"/>
  <c r="AC125" i="193"/>
  <c r="AC134" i="193"/>
  <c r="G215" i="193"/>
  <c r="J215" i="193" s="1"/>
  <c r="Q215" i="193"/>
  <c r="AB215" i="193"/>
  <c r="I215" i="193"/>
  <c r="N215" i="193" s="1"/>
  <c r="V125" i="193"/>
  <c r="Y134" i="193"/>
  <c r="Z134" i="193" s="1"/>
  <c r="S46" i="193"/>
  <c r="AB46" i="193"/>
  <c r="T163" i="193"/>
  <c r="H46" i="193"/>
  <c r="K46" i="193" s="1"/>
  <c r="AD12" i="14"/>
  <c r="AE12" i="14" s="1"/>
  <c r="O23" i="193" s="1"/>
  <c r="G23" i="193" s="1"/>
  <c r="J23" i="193" s="1"/>
  <c r="U211" i="193"/>
  <c r="H125" i="193"/>
  <c r="K125" i="193" s="1"/>
  <c r="S125" i="193"/>
  <c r="L125" i="193"/>
  <c r="Q134" i="193"/>
  <c r="X49" i="193"/>
  <c r="H83" i="193"/>
  <c r="K83" i="193" s="1"/>
  <c r="G57" i="193"/>
  <c r="J57" i="193" s="1"/>
  <c r="I134" i="193"/>
  <c r="M134" i="193" s="1"/>
  <c r="G59" i="193"/>
  <c r="J59" i="193" s="1"/>
  <c r="AD211" i="193"/>
  <c r="AD15" i="14"/>
  <c r="AE15" i="14" s="1"/>
  <c r="O26" i="193" s="1"/>
  <c r="G26" i="193" s="1"/>
  <c r="J26" i="193" s="1"/>
  <c r="AD125" i="193"/>
  <c r="U134" i="193"/>
  <c r="Y125" i="193"/>
  <c r="Z125" i="193" s="1"/>
  <c r="F145" i="193"/>
  <c r="AB145" i="193" s="1"/>
  <c r="R134" i="193"/>
  <c r="H106" i="193"/>
  <c r="K106" i="193" s="1"/>
  <c r="P211" i="193"/>
  <c r="Q211" i="193"/>
  <c r="F122" i="193"/>
  <c r="AB122" i="193" s="1"/>
  <c r="G138" i="193"/>
  <c r="J138" i="193" s="1"/>
  <c r="AA135" i="193"/>
  <c r="U135" i="193"/>
  <c r="L135" i="193"/>
  <c r="X135" i="193"/>
  <c r="F219" i="193"/>
  <c r="I219" i="193" s="1"/>
  <c r="G93" i="193"/>
  <c r="J93" i="193" s="1"/>
  <c r="G45" i="193"/>
  <c r="J45" i="193" s="1"/>
  <c r="G145" i="193"/>
  <c r="J145" i="193" s="1"/>
  <c r="X162" i="193"/>
  <c r="L162" i="193"/>
  <c r="V162" i="193"/>
  <c r="F59" i="193"/>
  <c r="AC59" i="193" s="1"/>
  <c r="R211" i="193"/>
  <c r="W211" i="193"/>
  <c r="G52" i="193"/>
  <c r="J52" i="193" s="1"/>
  <c r="Y135" i="193"/>
  <c r="Z135" i="193" s="1"/>
  <c r="I135" i="193"/>
  <c r="M135" i="193" s="1"/>
  <c r="P135" i="193"/>
  <c r="T135" i="193"/>
  <c r="F83" i="193"/>
  <c r="P83" i="193" s="1"/>
  <c r="H211" i="193"/>
  <c r="K211" i="193" s="1"/>
  <c r="H135" i="193"/>
  <c r="K135" i="193" s="1"/>
  <c r="H56" i="193"/>
  <c r="K56" i="193" s="1"/>
  <c r="R162" i="193"/>
  <c r="I162" i="193"/>
  <c r="M162" i="193" s="1"/>
  <c r="S162" i="193"/>
  <c r="U162" i="193"/>
  <c r="W162" i="193"/>
  <c r="AA75" i="193"/>
  <c r="W19" i="14"/>
  <c r="AD19" i="14" s="1"/>
  <c r="AE19" i="14" s="1"/>
  <c r="O30" i="193" s="1"/>
  <c r="AC211" i="193"/>
  <c r="AA211" i="193"/>
  <c r="L211" i="193"/>
  <c r="K17" i="14"/>
  <c r="T17" i="14" s="1"/>
  <c r="AB17" i="14" s="1"/>
  <c r="G125" i="193"/>
  <c r="J125" i="193" s="1"/>
  <c r="R125" i="193"/>
  <c r="P125" i="193"/>
  <c r="T125" i="193"/>
  <c r="W134" i="193"/>
  <c r="AD134" i="193"/>
  <c r="AB134" i="193"/>
  <c r="F52" i="193"/>
  <c r="R52" i="193" s="1"/>
  <c r="Q46" i="193"/>
  <c r="T46" i="193"/>
  <c r="K32" i="14"/>
  <c r="T32" i="14" s="1"/>
  <c r="AB32" i="14" s="1"/>
  <c r="O32" i="14"/>
  <c r="AD163" i="193"/>
  <c r="W75" i="193"/>
  <c r="G49" i="193"/>
  <c r="J49" i="193" s="1"/>
  <c r="L174" i="193"/>
  <c r="F57" i="193"/>
  <c r="Q57" i="193" s="1"/>
  <c r="H102" i="193"/>
  <c r="K102" i="193" s="1"/>
  <c r="X174" i="193"/>
  <c r="I125" i="193"/>
  <c r="N125" i="193" s="1"/>
  <c r="L46" i="193"/>
  <c r="AD46" i="193"/>
  <c r="S163" i="193"/>
  <c r="AC163" i="193"/>
  <c r="AB163" i="193"/>
  <c r="R174" i="193"/>
  <c r="Q75" i="193"/>
  <c r="AD75" i="193"/>
  <c r="Q174" i="193"/>
  <c r="L134" i="193"/>
  <c r="O16" i="14"/>
  <c r="W16" i="14" s="1"/>
  <c r="I16" i="14"/>
  <c r="R16" i="14" s="1"/>
  <c r="Z16" i="14" s="1"/>
  <c r="N16" i="14"/>
  <c r="G163" i="193"/>
  <c r="J163" i="193" s="1"/>
  <c r="X75" i="193"/>
  <c r="G134" i="193"/>
  <c r="J134" i="193" s="1"/>
  <c r="Y211" i="193"/>
  <c r="Z211" i="193" s="1"/>
  <c r="AB211" i="193"/>
  <c r="X211" i="193"/>
  <c r="T211" i="193"/>
  <c r="X125" i="193"/>
  <c r="AA125" i="193"/>
  <c r="U125" i="193"/>
  <c r="AB125" i="193"/>
  <c r="S134" i="193"/>
  <c r="T134" i="193"/>
  <c r="X134" i="193"/>
  <c r="V49" i="193"/>
  <c r="N32" i="14"/>
  <c r="R46" i="193"/>
  <c r="P46" i="193"/>
  <c r="H32" i="14"/>
  <c r="Q32" i="14" s="1"/>
  <c r="Y32" i="14" s="1"/>
  <c r="P32" i="14"/>
  <c r="X32" i="14" s="1"/>
  <c r="AA163" i="193"/>
  <c r="G211" i="193"/>
  <c r="J211" i="193" s="1"/>
  <c r="F173" i="193"/>
  <c r="W173" i="193" s="1"/>
  <c r="S174" i="193"/>
  <c r="AB174" i="193"/>
  <c r="AB49" i="193"/>
  <c r="P174" i="193"/>
  <c r="G174" i="193"/>
  <c r="J174" i="193" s="1"/>
  <c r="AC174" i="193"/>
  <c r="H174" i="193"/>
  <c r="K174" i="193" s="1"/>
  <c r="W174" i="193"/>
  <c r="W46" i="193"/>
  <c r="L163" i="193"/>
  <c r="Q163" i="193"/>
  <c r="H75" i="193"/>
  <c r="K75" i="193" s="1"/>
  <c r="T75" i="193"/>
  <c r="L75" i="193"/>
  <c r="W30" i="14"/>
  <c r="AD30" i="14" s="1"/>
  <c r="AE30" i="14" s="1"/>
  <c r="O41" i="193" s="1"/>
  <c r="K16" i="14"/>
  <c r="T16" i="14" s="1"/>
  <c r="AB16" i="14" s="1"/>
  <c r="AD24" i="14"/>
  <c r="AE24" i="14" s="1"/>
  <c r="O35" i="193" s="1"/>
  <c r="AD25" i="14"/>
  <c r="AE25" i="14" s="1"/>
  <c r="O36" i="193" s="1"/>
  <c r="AD23" i="14"/>
  <c r="AE23" i="14" s="1"/>
  <c r="O34" i="193" s="1"/>
  <c r="G34" i="193" s="1"/>
  <c r="J34" i="193" s="1"/>
  <c r="AD26" i="14"/>
  <c r="AE26" i="14" s="1"/>
  <c r="O37" i="193" s="1"/>
  <c r="F37" i="193" s="1"/>
  <c r="N17" i="14"/>
  <c r="N28" i="14"/>
  <c r="Q28" i="14"/>
  <c r="Y28" i="14" s="1"/>
  <c r="J14" i="14"/>
  <c r="S14" i="14" s="1"/>
  <c r="AA14" i="14" s="1"/>
  <c r="J17" i="14"/>
  <c r="S17" i="14" s="1"/>
  <c r="AA17" i="14" s="1"/>
  <c r="I17" i="14"/>
  <c r="R17" i="14" s="1"/>
  <c r="Z17" i="14" s="1"/>
  <c r="H17" i="14"/>
  <c r="Q17" i="14" s="1"/>
  <c r="Y17" i="14" s="1"/>
  <c r="T23" i="192"/>
  <c r="T24" i="192"/>
  <c r="T17" i="192"/>
  <c r="T21" i="192"/>
  <c r="T20" i="192"/>
  <c r="T27" i="192"/>
  <c r="T22" i="192"/>
  <c r="T18" i="192"/>
  <c r="T25" i="192"/>
  <c r="T15" i="192"/>
  <c r="T16" i="192"/>
  <c r="T19" i="192"/>
  <c r="T26" i="192"/>
  <c r="I28" i="14"/>
  <c r="R28" i="14" s="1"/>
  <c r="Z28" i="14" s="1"/>
  <c r="K28" i="14"/>
  <c r="T28" i="14" s="1"/>
  <c r="AB28" i="14" s="1"/>
  <c r="AD22" i="14"/>
  <c r="AE22" i="14" s="1"/>
  <c r="O33" i="193" s="1"/>
  <c r="G17" i="14"/>
  <c r="P17" i="14" s="1"/>
  <c r="X17" i="14" s="1"/>
  <c r="G14" i="14"/>
  <c r="P14" i="14" s="1"/>
  <c r="X14" i="14" s="1"/>
  <c r="G28" i="14"/>
  <c r="P28" i="14" s="1"/>
  <c r="X28" i="14" s="1"/>
  <c r="O28" i="14"/>
  <c r="AD20" i="14"/>
  <c r="AE20" i="14" s="1"/>
  <c r="O31" i="193" s="1"/>
  <c r="AD31" i="14"/>
  <c r="AE31" i="14" s="1"/>
  <c r="O42" i="193" s="1"/>
  <c r="L21" i="14"/>
  <c r="U21" i="14" s="1"/>
  <c r="AC21" i="14" s="1"/>
  <c r="I21" i="14"/>
  <c r="N21" i="14"/>
  <c r="O21" i="14"/>
  <c r="G21" i="14"/>
  <c r="P21" i="14" s="1"/>
  <c r="X21" i="14" s="1"/>
  <c r="R21" i="14"/>
  <c r="Z21" i="14" s="1"/>
  <c r="H21" i="14"/>
  <c r="Q21" i="14" s="1"/>
  <c r="Y21" i="14" s="1"/>
  <c r="J21" i="14"/>
  <c r="S21" i="14" s="1"/>
  <c r="AA21" i="14" s="1"/>
  <c r="K21" i="14"/>
  <c r="T21" i="14" s="1"/>
  <c r="AB21" i="14" s="1"/>
  <c r="V21" i="14"/>
  <c r="J28" i="14"/>
  <c r="S28" i="14" s="1"/>
  <c r="AA28" i="14" s="1"/>
  <c r="O17" i="14"/>
  <c r="L28" i="14"/>
  <c r="U28" i="14" s="1"/>
  <c r="AC28" i="14" s="1"/>
  <c r="W27" i="14"/>
  <c r="AD27" i="14" s="1"/>
  <c r="AE27" i="14" s="1"/>
  <c r="O38" i="193" s="1"/>
  <c r="H14" i="14"/>
  <c r="Q14" i="14" s="1"/>
  <c r="Y14" i="14" s="1"/>
  <c r="V14" i="14"/>
  <c r="C7" i="14"/>
  <c r="L49" i="193"/>
  <c r="P49" i="193"/>
  <c r="Q49" i="193"/>
  <c r="U49" i="193"/>
  <c r="H148" i="193"/>
  <c r="K148" i="193" s="1"/>
  <c r="F148" i="193"/>
  <c r="AC148" i="193" s="1"/>
  <c r="F106" i="193"/>
  <c r="T106" i="193" s="1"/>
  <c r="L14" i="14"/>
  <c r="U14" i="14" s="1"/>
  <c r="AC14" i="14" s="1"/>
  <c r="N14" i="14"/>
  <c r="W14" i="14" s="1"/>
  <c r="K14" i="14"/>
  <c r="T14" i="14" s="1"/>
  <c r="AB14" i="14" s="1"/>
  <c r="N10" i="14"/>
  <c r="O10" i="14"/>
  <c r="AC49" i="193"/>
  <c r="Y49" i="193"/>
  <c r="Z49" i="193" s="1"/>
  <c r="AA49" i="193"/>
  <c r="H49" i="193"/>
  <c r="K49" i="193" s="1"/>
  <c r="R49" i="193"/>
  <c r="I14" i="14"/>
  <c r="R14" i="14" s="1"/>
  <c r="Z14" i="14" s="1"/>
  <c r="W49" i="193"/>
  <c r="T49" i="193"/>
  <c r="S49" i="193"/>
  <c r="I49" i="193"/>
  <c r="M49" i="193" s="1"/>
  <c r="T100" i="193"/>
  <c r="AC100" i="193"/>
  <c r="U100" i="193"/>
  <c r="Y100" i="193"/>
  <c r="Z100" i="193" s="1"/>
  <c r="W100" i="193"/>
  <c r="I100" i="193"/>
  <c r="M100" i="193" s="1"/>
  <c r="AD100" i="193"/>
  <c r="AB100" i="193"/>
  <c r="X100" i="193"/>
  <c r="Q100" i="193"/>
  <c r="S100" i="193"/>
  <c r="V100" i="193"/>
  <c r="AA100" i="193"/>
  <c r="P100" i="193"/>
  <c r="R100" i="193"/>
  <c r="L218" i="193"/>
  <c r="W95" i="193"/>
  <c r="L95" i="193"/>
  <c r="I95" i="193"/>
  <c r="M95" i="193" s="1"/>
  <c r="P183" i="193"/>
  <c r="X183" i="193"/>
  <c r="AC95" i="193"/>
  <c r="M128" i="193"/>
  <c r="S183" i="193"/>
  <c r="Q95" i="193"/>
  <c r="R183" i="193"/>
  <c r="I183" i="193"/>
  <c r="N183" i="193" s="1"/>
  <c r="AA183" i="193"/>
  <c r="U183" i="193"/>
  <c r="AC183" i="193"/>
  <c r="V183" i="193"/>
  <c r="S95" i="193"/>
  <c r="U95" i="193"/>
  <c r="Y95" i="193"/>
  <c r="Z95" i="193" s="1"/>
  <c r="Y183" i="193"/>
  <c r="Z183" i="193" s="1"/>
  <c r="AB183" i="193"/>
  <c r="Q183" i="193"/>
  <c r="R95" i="193"/>
  <c r="W158" i="193"/>
  <c r="AD95" i="193"/>
  <c r="V95" i="193"/>
  <c r="AA95" i="193"/>
  <c r="AB95" i="193"/>
  <c r="W183" i="193"/>
  <c r="L183" i="193"/>
  <c r="T183" i="193"/>
  <c r="N87" i="193"/>
  <c r="Y158" i="193"/>
  <c r="Z158" i="193" s="1"/>
  <c r="L158" i="193"/>
  <c r="AB88" i="193"/>
  <c r="AB97" i="193"/>
  <c r="AC107" i="193"/>
  <c r="AB107" i="193"/>
  <c r="Q97" i="193"/>
  <c r="AB137" i="193"/>
  <c r="AA97" i="193"/>
  <c r="AD158" i="193"/>
  <c r="U158" i="193"/>
  <c r="S158" i="193"/>
  <c r="V97" i="193"/>
  <c r="AA136" i="193"/>
  <c r="H178" i="193"/>
  <c r="K178" i="193" s="1"/>
  <c r="S97" i="193"/>
  <c r="U137" i="193"/>
  <c r="AA158" i="193"/>
  <c r="Q158" i="193"/>
  <c r="AC97" i="193"/>
  <c r="I97" i="193"/>
  <c r="N97" i="193" s="1"/>
  <c r="AD97" i="193"/>
  <c r="L97" i="193"/>
  <c r="X103" i="193"/>
  <c r="V158" i="193"/>
  <c r="I158" i="193"/>
  <c r="X158" i="193"/>
  <c r="AC158" i="193"/>
  <c r="P97" i="193"/>
  <c r="R97" i="193"/>
  <c r="T97" i="193"/>
  <c r="U97" i="193"/>
  <c r="Y97" i="193"/>
  <c r="Z97" i="193" s="1"/>
  <c r="W97" i="193"/>
  <c r="N139" i="193"/>
  <c r="R218" i="193"/>
  <c r="AC136" i="193"/>
  <c r="Y82" i="193"/>
  <c r="Z82" i="193" s="1"/>
  <c r="S218" i="193"/>
  <c r="U218" i="193"/>
  <c r="M147" i="193"/>
  <c r="M123" i="193"/>
  <c r="I116" i="193"/>
  <c r="N116" i="193" s="1"/>
  <c r="L216" i="193"/>
  <c r="X116" i="193"/>
  <c r="T95" i="193"/>
  <c r="P95" i="193"/>
  <c r="I216" i="193"/>
  <c r="N216" i="193" s="1"/>
  <c r="X55" i="193"/>
  <c r="X115" i="193"/>
  <c r="AD99" i="193"/>
  <c r="P116" i="193"/>
  <c r="AA116" i="193"/>
  <c r="AB116" i="193"/>
  <c r="AC103" i="193"/>
  <c r="Y116" i="193"/>
  <c r="Z116" i="193" s="1"/>
  <c r="AD116" i="193"/>
  <c r="R116" i="193"/>
  <c r="AD103" i="193"/>
  <c r="L116" i="193"/>
  <c r="U116" i="193"/>
  <c r="AC137" i="193"/>
  <c r="I103" i="193"/>
  <c r="M103" i="193" s="1"/>
  <c r="P103" i="193"/>
  <c r="T103" i="193"/>
  <c r="N98" i="193"/>
  <c r="T120" i="193"/>
  <c r="AB158" i="193"/>
  <c r="I136" i="193"/>
  <c r="M136" i="193" s="1"/>
  <c r="X136" i="193"/>
  <c r="L137" i="193"/>
  <c r="Y161" i="193"/>
  <c r="Z161" i="193" s="1"/>
  <c r="V137" i="193"/>
  <c r="R103" i="193"/>
  <c r="Y103" i="193"/>
  <c r="Z103" i="193" s="1"/>
  <c r="W103" i="193"/>
  <c r="AB103" i="193"/>
  <c r="T168" i="193"/>
  <c r="U136" i="193"/>
  <c r="S116" i="193"/>
  <c r="AC116" i="193"/>
  <c r="V116" i="193"/>
  <c r="W116" i="193"/>
  <c r="Q116" i="193"/>
  <c r="Y136" i="193"/>
  <c r="Z136" i="193" s="1"/>
  <c r="R136" i="193"/>
  <c r="V136" i="193"/>
  <c r="S136" i="193"/>
  <c r="W136" i="193"/>
  <c r="T136" i="193"/>
  <c r="Q136" i="193"/>
  <c r="AB136" i="193"/>
  <c r="M101" i="193"/>
  <c r="S103" i="193"/>
  <c r="L103" i="193"/>
  <c r="V103" i="193"/>
  <c r="M81" i="193"/>
  <c r="U168" i="193"/>
  <c r="L136" i="193"/>
  <c r="P136" i="193"/>
  <c r="AA216" i="193"/>
  <c r="Q82" i="193"/>
  <c r="Q137" i="193"/>
  <c r="AA161" i="193"/>
  <c r="S161" i="193"/>
  <c r="W137" i="193"/>
  <c r="Q120" i="193"/>
  <c r="T107" i="193"/>
  <c r="V99" i="193"/>
  <c r="W82" i="193"/>
  <c r="M132" i="193"/>
  <c r="AC120" i="193"/>
  <c r="AD107" i="193"/>
  <c r="V82" i="193"/>
  <c r="I161" i="193"/>
  <c r="N161" i="193" s="1"/>
  <c r="AA107" i="193"/>
  <c r="AA99" i="193"/>
  <c r="X99" i="193"/>
  <c r="W99" i="193"/>
  <c r="Y99" i="193"/>
  <c r="Z99" i="193" s="1"/>
  <c r="U99" i="193"/>
  <c r="I99" i="193"/>
  <c r="N99" i="193" s="1"/>
  <c r="R158" i="193"/>
  <c r="T158" i="193"/>
  <c r="R64" i="193"/>
  <c r="AA55" i="193"/>
  <c r="Q99" i="193"/>
  <c r="G178" i="193"/>
  <c r="J178" i="193" s="1"/>
  <c r="S82" i="193"/>
  <c r="L82" i="193"/>
  <c r="P137" i="193"/>
  <c r="AD137" i="193"/>
  <c r="W175" i="193"/>
  <c r="X161" i="193"/>
  <c r="T161" i="193"/>
  <c r="U161" i="193"/>
  <c r="S115" i="193"/>
  <c r="P107" i="193"/>
  <c r="Q107" i="193"/>
  <c r="AC99" i="193"/>
  <c r="G186" i="193"/>
  <c r="J186" i="193" s="1"/>
  <c r="R161" i="193"/>
  <c r="AC161" i="193"/>
  <c r="L161" i="193"/>
  <c r="W115" i="193"/>
  <c r="U115" i="193"/>
  <c r="V161" i="193"/>
  <c r="Q161" i="193"/>
  <c r="P161" i="193"/>
  <c r="N172" i="193"/>
  <c r="N130" i="193"/>
  <c r="T115" i="193"/>
  <c r="X137" i="193"/>
  <c r="G151" i="193"/>
  <c r="J151" i="193" s="1"/>
  <c r="R137" i="193"/>
  <c r="X64" i="193"/>
  <c r="Q218" i="193"/>
  <c r="P218" i="193"/>
  <c r="AA218" i="193"/>
  <c r="N78" i="193"/>
  <c r="Y107" i="193"/>
  <c r="Z107" i="193" s="1"/>
  <c r="W107" i="193"/>
  <c r="U107" i="193"/>
  <c r="L99" i="193"/>
  <c r="P99" i="193"/>
  <c r="AB99" i="193"/>
  <c r="R99" i="193"/>
  <c r="S99" i="193"/>
  <c r="W218" i="193"/>
  <c r="I218" i="193"/>
  <c r="N218" i="193" s="1"/>
  <c r="F151" i="193"/>
  <c r="L151" i="193" s="1"/>
  <c r="AC64" i="193"/>
  <c r="AB218" i="193"/>
  <c r="AD218" i="193"/>
  <c r="T181" i="193"/>
  <c r="L181" i="193"/>
  <c r="AD181" i="193"/>
  <c r="P181" i="193"/>
  <c r="AA181" i="193"/>
  <c r="S181" i="193"/>
  <c r="Q181" i="193"/>
  <c r="AB181" i="193"/>
  <c r="I181" i="193"/>
  <c r="R181" i="193"/>
  <c r="U181" i="193"/>
  <c r="AC181" i="193"/>
  <c r="X181" i="193"/>
  <c r="W181" i="193"/>
  <c r="Y181" i="193"/>
  <c r="Z181" i="193" s="1"/>
  <c r="V181" i="193"/>
  <c r="AB196" i="193"/>
  <c r="S196" i="193"/>
  <c r="Q196" i="193"/>
  <c r="W196" i="193"/>
  <c r="I196" i="193"/>
  <c r="T196" i="193"/>
  <c r="L196" i="193"/>
  <c r="AA196" i="193"/>
  <c r="AC196" i="193"/>
  <c r="Y196" i="193"/>
  <c r="Z196" i="193" s="1"/>
  <c r="V196" i="193"/>
  <c r="AD196" i="193"/>
  <c r="R196" i="193"/>
  <c r="P196" i="193"/>
  <c r="X196" i="193"/>
  <c r="U196" i="193"/>
  <c r="X131" i="193"/>
  <c r="AD131" i="193"/>
  <c r="W131" i="193"/>
  <c r="AC131" i="193"/>
  <c r="V131" i="193"/>
  <c r="Q131" i="193"/>
  <c r="L131" i="193"/>
  <c r="T131" i="193"/>
  <c r="AB131" i="193"/>
  <c r="S131" i="193"/>
  <c r="Y131" i="193"/>
  <c r="Z131" i="193" s="1"/>
  <c r="U131" i="193"/>
  <c r="I131" i="193"/>
  <c r="P131" i="193"/>
  <c r="R131" i="193"/>
  <c r="AA131" i="193"/>
  <c r="F186" i="193"/>
  <c r="AC186" i="193" s="1"/>
  <c r="V218" i="193"/>
  <c r="X218" i="193"/>
  <c r="Y218" i="193"/>
  <c r="Z218" i="193" s="1"/>
  <c r="AC218" i="193"/>
  <c r="AA185" i="193"/>
  <c r="L185" i="193"/>
  <c r="R185" i="193"/>
  <c r="S185" i="193"/>
  <c r="T153" i="193"/>
  <c r="AD153" i="193"/>
  <c r="R153" i="193"/>
  <c r="I153" i="193"/>
  <c r="AB153" i="193"/>
  <c r="Q153" i="193"/>
  <c r="V153" i="193"/>
  <c r="Y153" i="193"/>
  <c r="Z153" i="193" s="1"/>
  <c r="W153" i="193"/>
  <c r="U153" i="193"/>
  <c r="P153" i="193"/>
  <c r="S153" i="193"/>
  <c r="AA153" i="193"/>
  <c r="X153" i="193"/>
  <c r="L153" i="193"/>
  <c r="AC153" i="193"/>
  <c r="L88" i="193"/>
  <c r="P88" i="193"/>
  <c r="S88" i="193"/>
  <c r="Q88" i="193"/>
  <c r="AA88" i="193"/>
  <c r="R88" i="193"/>
  <c r="I88" i="193"/>
  <c r="Y88" i="193"/>
  <c r="Z88" i="193" s="1"/>
  <c r="AD88" i="193"/>
  <c r="T88" i="193"/>
  <c r="U88" i="193"/>
  <c r="U185" i="193"/>
  <c r="AB185" i="193"/>
  <c r="AC185" i="193"/>
  <c r="V185" i="193"/>
  <c r="V88" i="193"/>
  <c r="V107" i="193"/>
  <c r="L107" i="193"/>
  <c r="S107" i="193"/>
  <c r="I107" i="193"/>
  <c r="X107" i="193"/>
  <c r="X88" i="193"/>
  <c r="F167" i="193"/>
  <c r="Q167" i="193" s="1"/>
  <c r="P185" i="193"/>
  <c r="W185" i="193"/>
  <c r="AD185" i="193"/>
  <c r="AC88" i="193"/>
  <c r="V208" i="193"/>
  <c r="X208" i="193"/>
  <c r="Y208" i="193"/>
  <c r="Z208" i="193" s="1"/>
  <c r="T208" i="193"/>
  <c r="AC208" i="193"/>
  <c r="I208" i="193"/>
  <c r="R208" i="193"/>
  <c r="AA208" i="193"/>
  <c r="W208" i="193"/>
  <c r="S208" i="193"/>
  <c r="AB208" i="193"/>
  <c r="L208" i="193"/>
  <c r="U208" i="193"/>
  <c r="AD208" i="193"/>
  <c r="P208" i="193"/>
  <c r="AC115" i="193"/>
  <c r="Y115" i="193"/>
  <c r="Z115" i="193" s="1"/>
  <c r="Q115" i="193"/>
  <c r="P115" i="193"/>
  <c r="V115" i="193"/>
  <c r="R115" i="193"/>
  <c r="AB115" i="193"/>
  <c r="AA115" i="193"/>
  <c r="I115" i="193"/>
  <c r="L115" i="193"/>
  <c r="X185" i="193"/>
  <c r="I185" i="193"/>
  <c r="M185" i="193" s="1"/>
  <c r="Q103" i="193"/>
  <c r="AA103" i="193"/>
  <c r="R168" i="193"/>
  <c r="Y168" i="193"/>
  <c r="Z168" i="193" s="1"/>
  <c r="S168" i="193"/>
  <c r="Q168" i="193"/>
  <c r="AA168" i="193"/>
  <c r="X168" i="193"/>
  <c r="L168" i="193"/>
  <c r="AB168" i="193"/>
  <c r="V168" i="193"/>
  <c r="W168" i="193"/>
  <c r="AD168" i="193"/>
  <c r="P168" i="193"/>
  <c r="I168" i="193"/>
  <c r="AD120" i="193"/>
  <c r="Y120" i="193"/>
  <c r="Z120" i="193" s="1"/>
  <c r="S120" i="193"/>
  <c r="W120" i="193"/>
  <c r="AB120" i="193"/>
  <c r="P120" i="193"/>
  <c r="R120" i="193"/>
  <c r="AA120" i="193"/>
  <c r="I120" i="193"/>
  <c r="L120" i="193"/>
  <c r="X120" i="193"/>
  <c r="V120" i="193"/>
  <c r="Q217" i="193"/>
  <c r="W217" i="193"/>
  <c r="AA217" i="193"/>
  <c r="AB217" i="193"/>
  <c r="Y217" i="193"/>
  <c r="Z217" i="193" s="1"/>
  <c r="P217" i="193"/>
  <c r="X217" i="193"/>
  <c r="L217" i="193"/>
  <c r="I217" i="193"/>
  <c r="AC217" i="193"/>
  <c r="T217" i="193"/>
  <c r="S217" i="193"/>
  <c r="R217" i="193"/>
  <c r="U217" i="193"/>
  <c r="AD217" i="193"/>
  <c r="V217" i="193"/>
  <c r="N198" i="193"/>
  <c r="M198" i="193"/>
  <c r="G167" i="193"/>
  <c r="J167" i="193" s="1"/>
  <c r="AB55" i="193"/>
  <c r="Q55" i="193"/>
  <c r="W161" i="193"/>
  <c r="AB161" i="193"/>
  <c r="W55" i="193"/>
  <c r="N76" i="193"/>
  <c r="X84" i="193"/>
  <c r="AB84" i="193"/>
  <c r="V84" i="193"/>
  <c r="AA84" i="193"/>
  <c r="S84" i="193"/>
  <c r="I84" i="193"/>
  <c r="T84" i="193"/>
  <c r="R84" i="193"/>
  <c r="P84" i="193"/>
  <c r="AD84" i="193"/>
  <c r="W84" i="193"/>
  <c r="Q84" i="193"/>
  <c r="AC84" i="193"/>
  <c r="L84" i="193"/>
  <c r="Y84" i="193"/>
  <c r="Z84" i="193" s="1"/>
  <c r="U84" i="193"/>
  <c r="T185" i="193"/>
  <c r="Q185" i="193"/>
  <c r="V126" i="193"/>
  <c r="X126" i="193"/>
  <c r="W126" i="193"/>
  <c r="AA126" i="193"/>
  <c r="P126" i="193"/>
  <c r="Q126" i="193"/>
  <c r="AD126" i="193"/>
  <c r="L126" i="193"/>
  <c r="AB126" i="193"/>
  <c r="R126" i="193"/>
  <c r="Y126" i="193"/>
  <c r="Z126" i="193" s="1"/>
  <c r="I126" i="193"/>
  <c r="U126" i="193"/>
  <c r="S126" i="193"/>
  <c r="T126" i="193"/>
  <c r="AC126" i="193"/>
  <c r="AA214" i="193"/>
  <c r="W214" i="193"/>
  <c r="P214" i="193"/>
  <c r="R214" i="193"/>
  <c r="U214" i="193"/>
  <c r="Y214" i="193"/>
  <c r="Z214" i="193" s="1"/>
  <c r="T214" i="193"/>
  <c r="S214" i="193"/>
  <c r="AD214" i="193"/>
  <c r="Q214" i="193"/>
  <c r="AB214" i="193"/>
  <c r="L214" i="193"/>
  <c r="V214" i="193"/>
  <c r="I214" i="193"/>
  <c r="X214" i="193"/>
  <c r="AC214" i="193"/>
  <c r="M85" i="193"/>
  <c r="N85" i="193"/>
  <c r="AC55" i="193"/>
  <c r="V55" i="193"/>
  <c r="Y55" i="193"/>
  <c r="Z55" i="193" s="1"/>
  <c r="T55" i="193"/>
  <c r="I55" i="193"/>
  <c r="R55" i="193"/>
  <c r="S55" i="193"/>
  <c r="AD133" i="193"/>
  <c r="Y133" i="193"/>
  <c r="Z133" i="193" s="1"/>
  <c r="L133" i="193"/>
  <c r="X133" i="193"/>
  <c r="AB133" i="193"/>
  <c r="P133" i="193"/>
  <c r="AC133" i="193"/>
  <c r="Q133" i="193"/>
  <c r="T133" i="193"/>
  <c r="AA133" i="193"/>
  <c r="V133" i="193"/>
  <c r="U133" i="193"/>
  <c r="W133" i="193"/>
  <c r="R133" i="193"/>
  <c r="S133" i="193"/>
  <c r="I133" i="193"/>
  <c r="P55" i="193"/>
  <c r="L55" i="193"/>
  <c r="U55" i="193"/>
  <c r="V94" i="193"/>
  <c r="R94" i="193"/>
  <c r="S94" i="193"/>
  <c r="L94" i="193"/>
  <c r="W94" i="193"/>
  <c r="Y94" i="193"/>
  <c r="Z94" i="193" s="1"/>
  <c r="AA94" i="193"/>
  <c r="AC94" i="193"/>
  <c r="I94" i="193"/>
  <c r="AD94" i="193"/>
  <c r="U94" i="193"/>
  <c r="T94" i="193"/>
  <c r="AB94" i="193"/>
  <c r="P94" i="193"/>
  <c r="X94" i="193"/>
  <c r="Q94" i="193"/>
  <c r="T141" i="193"/>
  <c r="P141" i="193"/>
  <c r="X141" i="193"/>
  <c r="V141" i="193"/>
  <c r="AD141" i="193"/>
  <c r="AB141" i="193"/>
  <c r="R141" i="193"/>
  <c r="W141" i="193"/>
  <c r="L141" i="193"/>
  <c r="U141" i="193"/>
  <c r="AA141" i="193"/>
  <c r="Y141" i="193"/>
  <c r="Z141" i="193" s="1"/>
  <c r="Q141" i="193"/>
  <c r="I141" i="193"/>
  <c r="AC141" i="193"/>
  <c r="S141" i="193"/>
  <c r="V93" i="193"/>
  <c r="AB93" i="193"/>
  <c r="Q93" i="193"/>
  <c r="I93" i="193"/>
  <c r="AA93" i="193"/>
  <c r="W93" i="193"/>
  <c r="S93" i="193"/>
  <c r="X93" i="193"/>
  <c r="AC93" i="193"/>
  <c r="T93" i="193"/>
  <c r="R93" i="193"/>
  <c r="P93" i="193"/>
  <c r="AD93" i="193"/>
  <c r="Y93" i="193"/>
  <c r="Z93" i="193" s="1"/>
  <c r="L93" i="193"/>
  <c r="U93" i="193"/>
  <c r="H113" i="193"/>
  <c r="K113" i="193" s="1"/>
  <c r="G113" i="193"/>
  <c r="J113" i="193" s="1"/>
  <c r="F113" i="193"/>
  <c r="S191" i="193"/>
  <c r="X191" i="193"/>
  <c r="I191" i="193"/>
  <c r="V191" i="193"/>
  <c r="T191" i="193"/>
  <c r="AD191" i="193"/>
  <c r="AC191" i="193"/>
  <c r="W191" i="193"/>
  <c r="U191" i="193"/>
  <c r="AB191" i="193"/>
  <c r="Y191" i="193"/>
  <c r="Z191" i="193" s="1"/>
  <c r="R191" i="193"/>
  <c r="L191" i="193"/>
  <c r="AA191" i="193"/>
  <c r="P191" i="193"/>
  <c r="Q191" i="193"/>
  <c r="M150" i="193"/>
  <c r="N150" i="193"/>
  <c r="V177" i="193"/>
  <c r="L177" i="193"/>
  <c r="X177" i="193"/>
  <c r="S177" i="193"/>
  <c r="U177" i="193"/>
  <c r="I177" i="193"/>
  <c r="AC177" i="193"/>
  <c r="P177" i="193"/>
  <c r="AA177" i="193"/>
  <c r="AB177" i="193"/>
  <c r="R177" i="193"/>
  <c r="W177" i="193"/>
  <c r="AD177" i="193"/>
  <c r="Q177" i="193"/>
  <c r="Y177" i="193"/>
  <c r="Z177" i="193" s="1"/>
  <c r="T177" i="193"/>
  <c r="H65" i="193"/>
  <c r="K65" i="193" s="1"/>
  <c r="F65" i="193"/>
  <c r="G65" i="193"/>
  <c r="J65" i="193" s="1"/>
  <c r="H66" i="193"/>
  <c r="K66" i="193" s="1"/>
  <c r="G66" i="193"/>
  <c r="J66" i="193" s="1"/>
  <c r="F66" i="193"/>
  <c r="F67" i="193"/>
  <c r="H67" i="193"/>
  <c r="K67" i="193" s="1"/>
  <c r="G67" i="193"/>
  <c r="J67" i="193" s="1"/>
  <c r="G156" i="193"/>
  <c r="J156" i="193" s="1"/>
  <c r="H156" i="193"/>
  <c r="K156" i="193" s="1"/>
  <c r="F156" i="193"/>
  <c r="S182" i="193"/>
  <c r="AA182" i="193"/>
  <c r="I182" i="193"/>
  <c r="AC182" i="193"/>
  <c r="X182" i="193"/>
  <c r="L182" i="193"/>
  <c r="P182" i="193"/>
  <c r="W182" i="193"/>
  <c r="U182" i="193"/>
  <c r="R182" i="193"/>
  <c r="Q182" i="193"/>
  <c r="Y182" i="193"/>
  <c r="Z182" i="193" s="1"/>
  <c r="AB182" i="193"/>
  <c r="T182" i="193"/>
  <c r="AD182" i="193"/>
  <c r="V182" i="193"/>
  <c r="G146" i="193"/>
  <c r="J146" i="193" s="1"/>
  <c r="H146" i="193"/>
  <c r="K146" i="193" s="1"/>
  <c r="F146" i="193"/>
  <c r="G70" i="193"/>
  <c r="J70" i="193" s="1"/>
  <c r="G117" i="193"/>
  <c r="J117" i="193" s="1"/>
  <c r="F117" i="193"/>
  <c r="H117" i="193"/>
  <c r="K117" i="193" s="1"/>
  <c r="S169" i="193"/>
  <c r="R169" i="193"/>
  <c r="V169" i="193"/>
  <c r="T169" i="193"/>
  <c r="W169" i="193"/>
  <c r="L169" i="193"/>
  <c r="X169" i="193"/>
  <c r="AB169" i="193"/>
  <c r="AC169" i="193"/>
  <c r="Q169" i="193"/>
  <c r="I169" i="193"/>
  <c r="Y169" i="193"/>
  <c r="Z169" i="193" s="1"/>
  <c r="AA169" i="193"/>
  <c r="AD169" i="193"/>
  <c r="U169" i="193"/>
  <c r="P169" i="193"/>
  <c r="P50" i="193"/>
  <c r="T50" i="193"/>
  <c r="S50" i="193"/>
  <c r="U50" i="193"/>
  <c r="Q50" i="193"/>
  <c r="I50" i="193"/>
  <c r="L50" i="193"/>
  <c r="AA50" i="193"/>
  <c r="AC50" i="193"/>
  <c r="W50" i="193"/>
  <c r="AD50" i="193"/>
  <c r="V50" i="193"/>
  <c r="AB50" i="193"/>
  <c r="Y50" i="193"/>
  <c r="Z50" i="193" s="1"/>
  <c r="X50" i="193"/>
  <c r="R50" i="193"/>
  <c r="AA213" i="193"/>
  <c r="AC213" i="193"/>
  <c r="L213" i="193"/>
  <c r="W213" i="193"/>
  <c r="Q213" i="193"/>
  <c r="R213" i="193"/>
  <c r="S213" i="193"/>
  <c r="V213" i="193"/>
  <c r="X213" i="193"/>
  <c r="Y213" i="193"/>
  <c r="Z213" i="193" s="1"/>
  <c r="I213" i="193"/>
  <c r="U213" i="193"/>
  <c r="AD213" i="193"/>
  <c r="T213" i="193"/>
  <c r="AB213" i="193"/>
  <c r="P213" i="193"/>
  <c r="Y138" i="193"/>
  <c r="Z138" i="193" s="1"/>
  <c r="P138" i="193"/>
  <c r="AA138" i="193"/>
  <c r="Q138" i="193"/>
  <c r="V138" i="193"/>
  <c r="AD138" i="193"/>
  <c r="R138" i="193"/>
  <c r="X138" i="193"/>
  <c r="L138" i="193"/>
  <c r="AC138" i="193"/>
  <c r="S138" i="193"/>
  <c r="AB138" i="193"/>
  <c r="T138" i="193"/>
  <c r="W138" i="193"/>
  <c r="U138" i="193"/>
  <c r="I138" i="193"/>
  <c r="L175" i="193"/>
  <c r="X175" i="193"/>
  <c r="S175" i="193"/>
  <c r="AC175" i="193"/>
  <c r="Q175" i="193"/>
  <c r="R175" i="193"/>
  <c r="Y175" i="193"/>
  <c r="Z175" i="193" s="1"/>
  <c r="AD175" i="193"/>
  <c r="P175" i="193"/>
  <c r="I175" i="193"/>
  <c r="AA175" i="193"/>
  <c r="V175" i="193"/>
  <c r="I111" i="193"/>
  <c r="R111" i="193"/>
  <c r="S111" i="193"/>
  <c r="AD111" i="193"/>
  <c r="Y111" i="193"/>
  <c r="Z111" i="193" s="1"/>
  <c r="P111" i="193"/>
  <c r="W111" i="193"/>
  <c r="AB111" i="193"/>
  <c r="T111" i="193"/>
  <c r="X111" i="193"/>
  <c r="Q111" i="193"/>
  <c r="AC111" i="193"/>
  <c r="U111" i="193"/>
  <c r="AA111" i="193"/>
  <c r="V111" i="193"/>
  <c r="L111" i="193"/>
  <c r="H202" i="193"/>
  <c r="K202" i="193" s="1"/>
  <c r="F202" i="193"/>
  <c r="G202" i="193"/>
  <c r="J202" i="193" s="1"/>
  <c r="X71" i="193"/>
  <c r="AA71" i="193"/>
  <c r="P71" i="193"/>
  <c r="R71" i="193"/>
  <c r="I71" i="193"/>
  <c r="AB71" i="193"/>
  <c r="U71" i="193"/>
  <c r="AC71" i="193"/>
  <c r="V71" i="193"/>
  <c r="Q71" i="193"/>
  <c r="T71" i="193"/>
  <c r="S71" i="193"/>
  <c r="L71" i="193"/>
  <c r="AD71" i="193"/>
  <c r="Y71" i="193"/>
  <c r="Z71" i="193" s="1"/>
  <c r="W71" i="193"/>
  <c r="G180" i="193"/>
  <c r="J180" i="193" s="1"/>
  <c r="H180" i="193"/>
  <c r="K180" i="193" s="1"/>
  <c r="F180" i="193"/>
  <c r="G220" i="193"/>
  <c r="J220" i="193" s="1"/>
  <c r="H82" i="193"/>
  <c r="K82" i="193" s="1"/>
  <c r="P10" i="14"/>
  <c r="X10" i="14" s="1"/>
  <c r="S216" i="193"/>
  <c r="AB216" i="193"/>
  <c r="AB82" i="193"/>
  <c r="I82" i="193"/>
  <c r="N82" i="193" s="1"/>
  <c r="F70" i="193"/>
  <c r="P70" i="193" s="1"/>
  <c r="T175" i="193"/>
  <c r="G47" i="193"/>
  <c r="J47" i="193" s="1"/>
  <c r="H164" i="193"/>
  <c r="K164" i="193" s="1"/>
  <c r="G164" i="193"/>
  <c r="J164" i="193" s="1"/>
  <c r="F164" i="193"/>
  <c r="G176" i="193"/>
  <c r="J176" i="193" s="1"/>
  <c r="F176" i="193"/>
  <c r="H176" i="193"/>
  <c r="K176" i="193" s="1"/>
  <c r="H179" i="193"/>
  <c r="K179" i="193" s="1"/>
  <c r="G179" i="193"/>
  <c r="J179" i="193" s="1"/>
  <c r="F179" i="193"/>
  <c r="F195" i="193"/>
  <c r="G195" i="193"/>
  <c r="J195" i="193" s="1"/>
  <c r="H195" i="193"/>
  <c r="K195" i="193" s="1"/>
  <c r="H51" i="193"/>
  <c r="K51" i="193" s="1"/>
  <c r="G51" i="193"/>
  <c r="J51" i="193" s="1"/>
  <c r="F51" i="193"/>
  <c r="G74" i="193"/>
  <c r="J74" i="193" s="1"/>
  <c r="H74" i="193"/>
  <c r="K74" i="193" s="1"/>
  <c r="F74" i="193"/>
  <c r="U210" i="193"/>
  <c r="AB210" i="193"/>
  <c r="AA210" i="193"/>
  <c r="I210" i="193"/>
  <c r="X210" i="193"/>
  <c r="P210" i="193"/>
  <c r="L210" i="193"/>
  <c r="R210" i="193"/>
  <c r="S210" i="193"/>
  <c r="Y210" i="193"/>
  <c r="Z210" i="193" s="1"/>
  <c r="T210" i="193"/>
  <c r="AD210" i="193"/>
  <c r="AC210" i="193"/>
  <c r="V210" i="193"/>
  <c r="Q210" i="193"/>
  <c r="W210" i="193"/>
  <c r="W166" i="193"/>
  <c r="I166" i="193"/>
  <c r="P166" i="193"/>
  <c r="AA166" i="193"/>
  <c r="L166" i="193"/>
  <c r="T166" i="193"/>
  <c r="V166" i="193"/>
  <c r="AD166" i="193"/>
  <c r="X166" i="193"/>
  <c r="AB166" i="193"/>
  <c r="S166" i="193"/>
  <c r="Y166" i="193"/>
  <c r="Z166" i="193" s="1"/>
  <c r="R166" i="193"/>
  <c r="AC166" i="193"/>
  <c r="U166" i="193"/>
  <c r="Q166" i="193"/>
  <c r="I155" i="193"/>
  <c r="AB155" i="193"/>
  <c r="P155" i="193"/>
  <c r="Y155" i="193"/>
  <c r="Z155" i="193" s="1"/>
  <c r="AD155" i="193"/>
  <c r="V155" i="193"/>
  <c r="U155" i="193"/>
  <c r="W155" i="193"/>
  <c r="L155" i="193"/>
  <c r="AA155" i="193"/>
  <c r="AC155" i="193"/>
  <c r="Q155" i="193"/>
  <c r="S155" i="193"/>
  <c r="R155" i="193"/>
  <c r="T155" i="193"/>
  <c r="X155" i="193"/>
  <c r="H143" i="193"/>
  <c r="K143" i="193" s="1"/>
  <c r="F143" i="193"/>
  <c r="G143" i="193"/>
  <c r="J143" i="193" s="1"/>
  <c r="N61" i="193"/>
  <c r="M61" i="193"/>
  <c r="F63" i="193"/>
  <c r="G63" i="193"/>
  <c r="J63" i="193" s="1"/>
  <c r="H63" i="193"/>
  <c r="K63" i="193" s="1"/>
  <c r="G165" i="193"/>
  <c r="J165" i="193" s="1"/>
  <c r="H165" i="193"/>
  <c r="K165" i="193" s="1"/>
  <c r="F165" i="193"/>
  <c r="H204" i="193"/>
  <c r="K204" i="193" s="1"/>
  <c r="F204" i="193"/>
  <c r="G204" i="193"/>
  <c r="J204" i="193" s="1"/>
  <c r="H77" i="193"/>
  <c r="K77" i="193" s="1"/>
  <c r="G77" i="193"/>
  <c r="J77" i="193" s="1"/>
  <c r="F77" i="193"/>
  <c r="F54" i="193"/>
  <c r="H54" i="193"/>
  <c r="K54" i="193" s="1"/>
  <c r="G54" i="193"/>
  <c r="J54" i="193" s="1"/>
  <c r="AB194" i="193"/>
  <c r="I194" i="193"/>
  <c r="L194" i="193"/>
  <c r="X194" i="193"/>
  <c r="AA194" i="193"/>
  <c r="Q194" i="193"/>
  <c r="T194" i="193"/>
  <c r="AC194" i="193"/>
  <c r="AD194" i="193"/>
  <c r="U194" i="193"/>
  <c r="W194" i="193"/>
  <c r="R194" i="193"/>
  <c r="P194" i="193"/>
  <c r="V194" i="193"/>
  <c r="S194" i="193"/>
  <c r="Y194" i="193"/>
  <c r="Z194" i="193" s="1"/>
  <c r="V105" i="193"/>
  <c r="R105" i="193"/>
  <c r="T105" i="193"/>
  <c r="AD105" i="193"/>
  <c r="AC105" i="193"/>
  <c r="L105" i="193"/>
  <c r="Y105" i="193"/>
  <c r="Z105" i="193" s="1"/>
  <c r="AB105" i="193"/>
  <c r="Q105" i="193"/>
  <c r="X105" i="193"/>
  <c r="I105" i="193"/>
  <c r="W105" i="193"/>
  <c r="P105" i="193"/>
  <c r="U105" i="193"/>
  <c r="S105" i="193"/>
  <c r="AA105" i="193"/>
  <c r="G72" i="193"/>
  <c r="J72" i="193" s="1"/>
  <c r="F72" i="193"/>
  <c r="H72" i="193"/>
  <c r="K72" i="193" s="1"/>
  <c r="F142" i="193"/>
  <c r="H142" i="193"/>
  <c r="K142" i="193" s="1"/>
  <c r="G142" i="193"/>
  <c r="J142" i="193" s="1"/>
  <c r="H144" i="193"/>
  <c r="K144" i="193" s="1"/>
  <c r="F144" i="193"/>
  <c r="G144" i="193"/>
  <c r="J144" i="193" s="1"/>
  <c r="F80" i="193"/>
  <c r="H80" i="193"/>
  <c r="K80" i="193" s="1"/>
  <c r="G80" i="193"/>
  <c r="J80" i="193" s="1"/>
  <c r="X216" i="193"/>
  <c r="V216" i="193"/>
  <c r="Q92" i="193"/>
  <c r="Y92" i="193"/>
  <c r="Z92" i="193" s="1"/>
  <c r="P92" i="193"/>
  <c r="R92" i="193"/>
  <c r="AB92" i="193"/>
  <c r="V92" i="193"/>
  <c r="W92" i="193"/>
  <c r="AA92" i="193"/>
  <c r="I92" i="193"/>
  <c r="S92" i="193"/>
  <c r="T92" i="193"/>
  <c r="U92" i="193"/>
  <c r="AC92" i="193"/>
  <c r="L92" i="193"/>
  <c r="X92" i="193"/>
  <c r="AD92" i="193"/>
  <c r="F48" i="193"/>
  <c r="G48" i="193"/>
  <c r="J48" i="193" s="1"/>
  <c r="H48" i="193"/>
  <c r="K48" i="193" s="1"/>
  <c r="AC216" i="193"/>
  <c r="W216" i="193"/>
  <c r="AD216" i="193"/>
  <c r="Q216" i="193"/>
  <c r="H47" i="193"/>
  <c r="K47" i="193" s="1"/>
  <c r="L171" i="193"/>
  <c r="X171" i="193"/>
  <c r="P171" i="193"/>
  <c r="T171" i="193"/>
  <c r="AC171" i="193"/>
  <c r="Y171" i="193"/>
  <c r="Z171" i="193" s="1"/>
  <c r="R171" i="193"/>
  <c r="U171" i="193"/>
  <c r="Q171" i="193"/>
  <c r="S171" i="193"/>
  <c r="I171" i="193"/>
  <c r="W171" i="193"/>
  <c r="AD171" i="193"/>
  <c r="AB171" i="193"/>
  <c r="AA171" i="193"/>
  <c r="V171" i="193"/>
  <c r="F199" i="193"/>
  <c r="G199" i="193"/>
  <c r="J199" i="193" s="1"/>
  <c r="H199" i="193"/>
  <c r="K199" i="193" s="1"/>
  <c r="U82" i="193"/>
  <c r="T82" i="193"/>
  <c r="AA82" i="193"/>
  <c r="X82" i="193"/>
  <c r="AC82" i="193"/>
  <c r="G207" i="193"/>
  <c r="J207" i="193" s="1"/>
  <c r="F207" i="193"/>
  <c r="H207" i="193"/>
  <c r="K207" i="193" s="1"/>
  <c r="AD220" i="193"/>
  <c r="W220" i="193"/>
  <c r="AC220" i="193"/>
  <c r="V220" i="193"/>
  <c r="L220" i="193"/>
  <c r="Y220" i="193"/>
  <c r="Z220" i="193" s="1"/>
  <c r="U220" i="193"/>
  <c r="X220" i="193"/>
  <c r="I220" i="193"/>
  <c r="S220" i="193"/>
  <c r="AB220" i="193"/>
  <c r="P220" i="193"/>
  <c r="Q220" i="193"/>
  <c r="R220" i="193"/>
  <c r="AA220" i="193"/>
  <c r="T220" i="193"/>
  <c r="H220" i="193"/>
  <c r="K220" i="193" s="1"/>
  <c r="G82" i="193"/>
  <c r="J82" i="193" s="1"/>
  <c r="I10" i="14"/>
  <c r="R10" i="14" s="1"/>
  <c r="Z10" i="14" s="1"/>
  <c r="K10" i="14"/>
  <c r="T10" i="14" s="1"/>
  <c r="AB10" i="14" s="1"/>
  <c r="H10" i="14"/>
  <c r="Q10" i="14" s="1"/>
  <c r="AF10" i="14" s="1"/>
  <c r="Y216" i="193"/>
  <c r="Z216" i="193" s="1"/>
  <c r="R216" i="193"/>
  <c r="T216" i="193"/>
  <c r="P216" i="193"/>
  <c r="P82" i="193"/>
  <c r="R82" i="193"/>
  <c r="U175" i="193"/>
  <c r="G159" i="193"/>
  <c r="J159" i="193" s="1"/>
  <c r="H159" i="193"/>
  <c r="K159" i="193" s="1"/>
  <c r="F159" i="193"/>
  <c r="AB209" i="193"/>
  <c r="L209" i="193"/>
  <c r="X209" i="193"/>
  <c r="P209" i="193"/>
  <c r="S209" i="193"/>
  <c r="V209" i="193"/>
  <c r="R209" i="193"/>
  <c r="I209" i="193"/>
  <c r="U209" i="193"/>
  <c r="AD209" i="193"/>
  <c r="W209" i="193"/>
  <c r="AA209" i="193"/>
  <c r="Y209" i="193"/>
  <c r="Z209" i="193" s="1"/>
  <c r="Q209" i="193"/>
  <c r="AC209" i="193"/>
  <c r="T209" i="193"/>
  <c r="G69" i="193"/>
  <c r="J69" i="193" s="1"/>
  <c r="H69" i="193"/>
  <c r="K69" i="193" s="1"/>
  <c r="F69" i="193"/>
  <c r="S137" i="193"/>
  <c r="AA137" i="193"/>
  <c r="I137" i="193"/>
  <c r="T137" i="193"/>
  <c r="AB64" i="193"/>
  <c r="S64" i="193"/>
  <c r="Y64" i="193"/>
  <c r="Z64" i="193" s="1"/>
  <c r="I64" i="193"/>
  <c r="U64" i="193"/>
  <c r="AA64" i="193"/>
  <c r="W64" i="193"/>
  <c r="AD64" i="193"/>
  <c r="T64" i="193"/>
  <c r="Q64" i="193"/>
  <c r="L64" i="193"/>
  <c r="P64" i="193"/>
  <c r="F68" i="193"/>
  <c r="G68" i="193"/>
  <c r="J68" i="193" s="1"/>
  <c r="H68" i="193"/>
  <c r="K68" i="193" s="1"/>
  <c r="F154" i="193"/>
  <c r="G154" i="193"/>
  <c r="J154" i="193" s="1"/>
  <c r="H154" i="193"/>
  <c r="K154" i="193" s="1"/>
  <c r="H189" i="193"/>
  <c r="K189" i="193" s="1"/>
  <c r="G189" i="193"/>
  <c r="J189" i="193" s="1"/>
  <c r="F189" i="193"/>
  <c r="F206" i="193"/>
  <c r="G206" i="193"/>
  <c r="J206" i="193" s="1"/>
  <c r="H206" i="193"/>
  <c r="K206" i="193" s="1"/>
  <c r="H212" i="193"/>
  <c r="K212" i="193" s="1"/>
  <c r="F212" i="193"/>
  <c r="G212" i="193"/>
  <c r="J212" i="193" s="1"/>
  <c r="H152" i="193"/>
  <c r="K152" i="193" s="1"/>
  <c r="G152" i="193"/>
  <c r="J152" i="193" s="1"/>
  <c r="F152" i="193"/>
  <c r="F188" i="193"/>
  <c r="H188" i="193"/>
  <c r="K188" i="193" s="1"/>
  <c r="G188" i="193"/>
  <c r="J188" i="193" s="1"/>
  <c r="G44" i="193"/>
  <c r="J44" i="193" s="1"/>
  <c r="H44" i="193"/>
  <c r="K44" i="193" s="1"/>
  <c r="F73" i="193"/>
  <c r="G73" i="193"/>
  <c r="J73" i="193" s="1"/>
  <c r="H73" i="193"/>
  <c r="K73" i="193" s="1"/>
  <c r="H190" i="193"/>
  <c r="K190" i="193" s="1"/>
  <c r="G190" i="193"/>
  <c r="J190" i="193" s="1"/>
  <c r="F190" i="193"/>
  <c r="G200" i="193"/>
  <c r="J200" i="193" s="1"/>
  <c r="F200" i="193"/>
  <c r="H200" i="193"/>
  <c r="K200" i="193" s="1"/>
  <c r="L18" i="14"/>
  <c r="U18" i="14" s="1"/>
  <c r="AC18" i="14" s="1"/>
  <c r="G18" i="14"/>
  <c r="P18" i="14" s="1"/>
  <c r="X18" i="14" s="1"/>
  <c r="N18" i="14"/>
  <c r="H18" i="14"/>
  <c r="Q18" i="14" s="1"/>
  <c r="Y18" i="14" s="1"/>
  <c r="V18" i="14"/>
  <c r="I18" i="14"/>
  <c r="R18" i="14" s="1"/>
  <c r="Z18" i="14" s="1"/>
  <c r="K18" i="14"/>
  <c r="T18" i="14" s="1"/>
  <c r="AB18" i="14" s="1"/>
  <c r="O18" i="14"/>
  <c r="J18" i="14"/>
  <c r="S18" i="14" s="1"/>
  <c r="AA18" i="14" s="1"/>
  <c r="T7" i="192"/>
  <c r="T9" i="192"/>
  <c r="T5" i="192"/>
  <c r="T8" i="192"/>
  <c r="T11" i="192"/>
  <c r="T13" i="192"/>
  <c r="T12" i="192"/>
  <c r="T10" i="192"/>
  <c r="T14" i="192"/>
  <c r="T6" i="192"/>
  <c r="C20" i="193"/>
  <c r="G11" i="14"/>
  <c r="P11" i="14" s="1"/>
  <c r="X11" i="14" s="1"/>
  <c r="L11" i="14"/>
  <c r="U11" i="14" s="1"/>
  <c r="AC11" i="14" s="1"/>
  <c r="V11" i="14"/>
  <c r="O11" i="14"/>
  <c r="K11" i="14"/>
  <c r="T11" i="14" s="1"/>
  <c r="AB11" i="14" s="1"/>
  <c r="I11" i="14"/>
  <c r="R11" i="14" s="1"/>
  <c r="Z11" i="14" s="1"/>
  <c r="J11" i="14"/>
  <c r="S11" i="14" s="1"/>
  <c r="AA11" i="14" s="1"/>
  <c r="H11" i="14"/>
  <c r="Q11" i="14" s="1"/>
  <c r="Y11" i="14" s="1"/>
  <c r="N11" i="14"/>
  <c r="W11" i="14" s="1"/>
  <c r="F109" i="193"/>
  <c r="H109" i="193"/>
  <c r="K109" i="193" s="1"/>
  <c r="G109" i="193"/>
  <c r="J109" i="193" s="1"/>
  <c r="G170" i="193"/>
  <c r="J170" i="193" s="1"/>
  <c r="F170" i="193"/>
  <c r="H170" i="193"/>
  <c r="K170" i="193" s="1"/>
  <c r="G184" i="193"/>
  <c r="J184" i="193" s="1"/>
  <c r="H184" i="193"/>
  <c r="K184" i="193" s="1"/>
  <c r="F184" i="193"/>
  <c r="H112" i="193"/>
  <c r="K112" i="193" s="1"/>
  <c r="G112" i="193"/>
  <c r="J112" i="193" s="1"/>
  <c r="F112" i="193"/>
  <c r="H192" i="193"/>
  <c r="K192" i="193" s="1"/>
  <c r="F192" i="193"/>
  <c r="G192" i="193"/>
  <c r="J192" i="193" s="1"/>
  <c r="F62" i="193"/>
  <c r="G62" i="193"/>
  <c r="J62" i="193" s="1"/>
  <c r="H62" i="193"/>
  <c r="K62" i="193" s="1"/>
  <c r="G96" i="193"/>
  <c r="J96" i="193" s="1"/>
  <c r="F96" i="193"/>
  <c r="H96" i="193"/>
  <c r="K96" i="193" s="1"/>
  <c r="H197" i="193"/>
  <c r="K197" i="193" s="1"/>
  <c r="G197" i="193"/>
  <c r="J197" i="193" s="1"/>
  <c r="F197" i="193"/>
  <c r="P58" i="193"/>
  <c r="I58" i="193"/>
  <c r="Q58" i="193"/>
  <c r="AB58" i="193"/>
  <c r="R58" i="193"/>
  <c r="L58" i="193"/>
  <c r="U58" i="193"/>
  <c r="AC58" i="193"/>
  <c r="AD58" i="193"/>
  <c r="V58" i="193"/>
  <c r="S58" i="193"/>
  <c r="Y58" i="193"/>
  <c r="Z58" i="193" s="1"/>
  <c r="W58" i="193"/>
  <c r="X58" i="193"/>
  <c r="T58" i="193"/>
  <c r="AA58" i="193"/>
  <c r="AB178" i="193"/>
  <c r="AC178" i="193"/>
  <c r="S178" i="193"/>
  <c r="L178" i="193"/>
  <c r="AA178" i="193"/>
  <c r="R178" i="193"/>
  <c r="Y178" i="193"/>
  <c r="Z178" i="193" s="1"/>
  <c r="I178" i="193"/>
  <c r="T178" i="193"/>
  <c r="V178" i="193"/>
  <c r="P178" i="193"/>
  <c r="AD178" i="193"/>
  <c r="Q178" i="193"/>
  <c r="W178" i="193"/>
  <c r="U178" i="193"/>
  <c r="X178" i="193"/>
  <c r="N119" i="193"/>
  <c r="M119" i="193"/>
  <c r="T193" i="193"/>
  <c r="R193" i="193"/>
  <c r="S193" i="193"/>
  <c r="Q193" i="193"/>
  <c r="Y193" i="193"/>
  <c r="Z193" i="193" s="1"/>
  <c r="X193" i="193"/>
  <c r="L193" i="193"/>
  <c r="AD193" i="193"/>
  <c r="P193" i="193"/>
  <c r="W193" i="193"/>
  <c r="I193" i="193"/>
  <c r="AC193" i="193"/>
  <c r="V193" i="193"/>
  <c r="AB193" i="193"/>
  <c r="AA193" i="193"/>
  <c r="U193" i="193"/>
  <c r="F127" i="193"/>
  <c r="H127" i="193"/>
  <c r="K127" i="193" s="1"/>
  <c r="G127" i="193"/>
  <c r="J127" i="193" s="1"/>
  <c r="G129" i="193"/>
  <c r="J129" i="193" s="1"/>
  <c r="H129" i="193"/>
  <c r="K129" i="193" s="1"/>
  <c r="F129" i="193"/>
  <c r="P47" i="193"/>
  <c r="AC47" i="193"/>
  <c r="X47" i="193"/>
  <c r="Y47" i="193"/>
  <c r="Z47" i="193" s="1"/>
  <c r="Q47" i="193"/>
  <c r="AB47" i="193"/>
  <c r="U47" i="193"/>
  <c r="V47" i="193"/>
  <c r="R47" i="193"/>
  <c r="L47" i="193"/>
  <c r="I47" i="193"/>
  <c r="AA47" i="193"/>
  <c r="S47" i="193"/>
  <c r="AD47" i="193"/>
  <c r="W47" i="193"/>
  <c r="T47" i="193"/>
  <c r="Q89" i="193"/>
  <c r="P89" i="193"/>
  <c r="I89" i="193"/>
  <c r="AA89" i="193"/>
  <c r="U89" i="193"/>
  <c r="AD89" i="193"/>
  <c r="S89" i="193"/>
  <c r="R89" i="193"/>
  <c r="X89" i="193"/>
  <c r="AC89" i="193"/>
  <c r="T89" i="193"/>
  <c r="AB89" i="193"/>
  <c r="W89" i="193"/>
  <c r="V89" i="193"/>
  <c r="L89" i="193"/>
  <c r="Y89" i="193"/>
  <c r="Z89" i="193" s="1"/>
  <c r="T91" i="193"/>
  <c r="AB91" i="193"/>
  <c r="L91" i="193"/>
  <c r="S91" i="193"/>
  <c r="Y91" i="193"/>
  <c r="Z91" i="193" s="1"/>
  <c r="AD91" i="193"/>
  <c r="AA91" i="193"/>
  <c r="AC91" i="193"/>
  <c r="I91" i="193"/>
  <c r="P91" i="193"/>
  <c r="X91" i="193"/>
  <c r="W91" i="193"/>
  <c r="Q91" i="193"/>
  <c r="V91" i="193"/>
  <c r="U91" i="193"/>
  <c r="R91" i="193"/>
  <c r="P90" i="193"/>
  <c r="I90" i="193"/>
  <c r="T90" i="193"/>
  <c r="AA90" i="193"/>
  <c r="U90" i="193"/>
  <c r="AD90" i="193"/>
  <c r="S90" i="193"/>
  <c r="AB90" i="193"/>
  <c r="Y90" i="193"/>
  <c r="Z90" i="193" s="1"/>
  <c r="AC90" i="193"/>
  <c r="V90" i="193"/>
  <c r="R90" i="193"/>
  <c r="L90" i="193"/>
  <c r="W90" i="193"/>
  <c r="Q90" i="193"/>
  <c r="X90" i="193"/>
  <c r="X124" i="193"/>
  <c r="AC124" i="193"/>
  <c r="Q124" i="193"/>
  <c r="L124" i="193"/>
  <c r="I124" i="193"/>
  <c r="AB124" i="193"/>
  <c r="AD124" i="193"/>
  <c r="U124" i="193"/>
  <c r="P124" i="193"/>
  <c r="R124" i="193"/>
  <c r="S124" i="193"/>
  <c r="T124" i="193"/>
  <c r="W124" i="193"/>
  <c r="AA124" i="193"/>
  <c r="V124" i="193"/>
  <c r="Y124" i="193"/>
  <c r="Z124" i="193" s="1"/>
  <c r="F118" i="193"/>
  <c r="H118" i="193"/>
  <c r="K118" i="193" s="1"/>
  <c r="G118" i="193"/>
  <c r="J118" i="193" s="1"/>
  <c r="G121" i="193"/>
  <c r="J121" i="193" s="1"/>
  <c r="F121" i="193"/>
  <c r="H121" i="193"/>
  <c r="K121" i="193" s="1"/>
  <c r="G140" i="193"/>
  <c r="J140" i="193" s="1"/>
  <c r="H140" i="193"/>
  <c r="K140" i="193" s="1"/>
  <c r="F140" i="193"/>
  <c r="F187" i="193"/>
  <c r="G187" i="193"/>
  <c r="J187" i="193" s="1"/>
  <c r="H187" i="193"/>
  <c r="K187" i="193" s="1"/>
  <c r="H203" i="193"/>
  <c r="K203" i="193" s="1"/>
  <c r="G203" i="193"/>
  <c r="J203" i="193" s="1"/>
  <c r="F203" i="193"/>
  <c r="F205" i="193"/>
  <c r="H205" i="193"/>
  <c r="K205" i="193" s="1"/>
  <c r="G205" i="193"/>
  <c r="J205" i="193" s="1"/>
  <c r="V157" i="193"/>
  <c r="AA157" i="193"/>
  <c r="Y157" i="193"/>
  <c r="Z157" i="193" s="1"/>
  <c r="T157" i="193"/>
  <c r="I157" i="193"/>
  <c r="U157" i="193"/>
  <c r="L157" i="193"/>
  <c r="AC157" i="193"/>
  <c r="Q157" i="193"/>
  <c r="S157" i="193"/>
  <c r="AD157" i="193"/>
  <c r="AB157" i="193"/>
  <c r="P157" i="193"/>
  <c r="X157" i="193"/>
  <c r="W157" i="193"/>
  <c r="R157" i="193"/>
  <c r="AB44" i="193"/>
  <c r="I44" i="193"/>
  <c r="R44" i="193"/>
  <c r="V44" i="193"/>
  <c r="Y44" i="193"/>
  <c r="Z44" i="193" s="1"/>
  <c r="S44" i="193"/>
  <c r="AD44" i="193"/>
  <c r="AA44" i="193"/>
  <c r="P44" i="193"/>
  <c r="W44" i="193"/>
  <c r="X44" i="193"/>
  <c r="AC44" i="193"/>
  <c r="Q44" i="193"/>
  <c r="L44" i="193"/>
  <c r="T44" i="193"/>
  <c r="U44" i="193"/>
  <c r="N201" i="193"/>
  <c r="M201" i="193"/>
  <c r="P108" i="193"/>
  <c r="W108" i="193"/>
  <c r="AD108" i="193"/>
  <c r="AB108" i="193"/>
  <c r="V108" i="193"/>
  <c r="L108" i="193"/>
  <c r="Q108" i="193"/>
  <c r="U108" i="193"/>
  <c r="AC108" i="193"/>
  <c r="I108" i="193"/>
  <c r="S108" i="193"/>
  <c r="AA108" i="193"/>
  <c r="T108" i="193"/>
  <c r="Y108" i="193"/>
  <c r="Z108" i="193" s="1"/>
  <c r="R108" i="193"/>
  <c r="X108" i="193"/>
  <c r="L148" i="193" l="1"/>
  <c r="G24" i="193"/>
  <c r="J24" i="193" s="1"/>
  <c r="L149" i="193"/>
  <c r="AA149" i="193"/>
  <c r="AB79" i="193"/>
  <c r="AC79" i="193"/>
  <c r="L79" i="193"/>
  <c r="I79" i="193"/>
  <c r="N79" i="193" s="1"/>
  <c r="S79" i="193"/>
  <c r="P79" i="193"/>
  <c r="W149" i="193"/>
  <c r="AC149" i="193"/>
  <c r="Q79" i="193"/>
  <c r="U79" i="193"/>
  <c r="V79" i="193"/>
  <c r="U149" i="193"/>
  <c r="Q149" i="193"/>
  <c r="V149" i="193"/>
  <c r="X79" i="193"/>
  <c r="W79" i="193"/>
  <c r="Y79" i="193"/>
  <c r="Z79" i="193" s="1"/>
  <c r="AB149" i="193"/>
  <c r="S149" i="193"/>
  <c r="I149" i="193"/>
  <c r="M149" i="193" s="1"/>
  <c r="R79" i="193"/>
  <c r="AA79" i="193"/>
  <c r="T79" i="193"/>
  <c r="X149" i="193"/>
  <c r="R149" i="193"/>
  <c r="T149" i="193"/>
  <c r="Y149" i="193"/>
  <c r="Z149" i="193" s="1"/>
  <c r="P149" i="193"/>
  <c r="AA60" i="193"/>
  <c r="T60" i="193"/>
  <c r="P60" i="193"/>
  <c r="S60" i="193"/>
  <c r="Y60" i="193"/>
  <c r="Z60" i="193" s="1"/>
  <c r="AB60" i="193"/>
  <c r="AD60" i="193"/>
  <c r="U60" i="193"/>
  <c r="Q60" i="193"/>
  <c r="R60" i="193"/>
  <c r="L60" i="193"/>
  <c r="V60" i="193"/>
  <c r="W60" i="193"/>
  <c r="AC60" i="193"/>
  <c r="I60" i="193"/>
  <c r="M60" i="193" s="1"/>
  <c r="N174" i="193"/>
  <c r="N160" i="193"/>
  <c r="G40" i="193"/>
  <c r="H40" i="193" s="1"/>
  <c r="K40" i="193" s="1"/>
  <c r="V45" i="193"/>
  <c r="M215" i="193"/>
  <c r="X45" i="193"/>
  <c r="I52" i="193"/>
  <c r="N52" i="193" s="1"/>
  <c r="P45" i="193"/>
  <c r="T45" i="193"/>
  <c r="AD16" i="14"/>
  <c r="AE16" i="14" s="1"/>
  <c r="O27" i="193" s="1"/>
  <c r="F27" i="193" s="1"/>
  <c r="Y27" i="193" s="1"/>
  <c r="Z27" i="193" s="1"/>
  <c r="AB27" i="193" s="1"/>
  <c r="U56" i="193"/>
  <c r="Y56" i="193"/>
  <c r="Z56" i="193" s="1"/>
  <c r="R56" i="193"/>
  <c r="AC45" i="193"/>
  <c r="Y45" i="193"/>
  <c r="Z45" i="193" s="1"/>
  <c r="W45" i="193"/>
  <c r="S45" i="193"/>
  <c r="Y173" i="193"/>
  <c r="Z173" i="193" s="1"/>
  <c r="AB45" i="193"/>
  <c r="Q45" i="193"/>
  <c r="R45" i="193"/>
  <c r="L45" i="193"/>
  <c r="AA45" i="193"/>
  <c r="I45" i="193"/>
  <c r="M45" i="193" s="1"/>
  <c r="U45" i="193"/>
  <c r="M125" i="193"/>
  <c r="V114" i="193"/>
  <c r="I114" i="193"/>
  <c r="M114" i="193" s="1"/>
  <c r="AC114" i="193"/>
  <c r="AA114" i="193"/>
  <c r="R110" i="193"/>
  <c r="Y110" i="193"/>
  <c r="Z110" i="193" s="1"/>
  <c r="Y86" i="193"/>
  <c r="Z86" i="193" s="1"/>
  <c r="L110" i="193"/>
  <c r="AC110" i="193"/>
  <c r="S56" i="193"/>
  <c r="X56" i="193"/>
  <c r="AB56" i="193"/>
  <c r="V110" i="193"/>
  <c r="S110" i="193"/>
  <c r="I110" i="193"/>
  <c r="M110" i="193" s="1"/>
  <c r="X110" i="193"/>
  <c r="T110" i="193"/>
  <c r="AD110" i="193"/>
  <c r="W110" i="193"/>
  <c r="AB110" i="193"/>
  <c r="U110" i="193"/>
  <c r="AA110" i="193"/>
  <c r="Q110" i="193"/>
  <c r="I56" i="193"/>
  <c r="M56" i="193" s="1"/>
  <c r="AC56" i="193"/>
  <c r="W56" i="193"/>
  <c r="Q56" i="193"/>
  <c r="AD56" i="193"/>
  <c r="AA56" i="193"/>
  <c r="P56" i="193"/>
  <c r="L56" i="193"/>
  <c r="V56" i="193"/>
  <c r="P53" i="193"/>
  <c r="P114" i="193"/>
  <c r="S114" i="193"/>
  <c r="AD114" i="193"/>
  <c r="L114" i="193"/>
  <c r="R114" i="193"/>
  <c r="Y114" i="193"/>
  <c r="Z114" i="193" s="1"/>
  <c r="Q114" i="193"/>
  <c r="X114" i="193"/>
  <c r="X59" i="193"/>
  <c r="L53" i="193"/>
  <c r="R83" i="193"/>
  <c r="U114" i="193"/>
  <c r="W114" i="193"/>
  <c r="T114" i="193"/>
  <c r="R219" i="193"/>
  <c r="P86" i="193"/>
  <c r="AC86" i="193"/>
  <c r="I102" i="193"/>
  <c r="N102" i="193" s="1"/>
  <c r="AA102" i="193"/>
  <c r="V86" i="193"/>
  <c r="AA86" i="193"/>
  <c r="T86" i="193"/>
  <c r="W86" i="193"/>
  <c r="X86" i="193"/>
  <c r="L86" i="193"/>
  <c r="S86" i="193"/>
  <c r="AB86" i="193"/>
  <c r="R102" i="193"/>
  <c r="AD86" i="193"/>
  <c r="R86" i="193"/>
  <c r="I86" i="193"/>
  <c r="N86" i="193" s="1"/>
  <c r="U86" i="193"/>
  <c r="I173" i="193"/>
  <c r="N173" i="193" s="1"/>
  <c r="AA122" i="193"/>
  <c r="AC219" i="193"/>
  <c r="M46" i="193"/>
  <c r="N211" i="193"/>
  <c r="AC53" i="193"/>
  <c r="M163" i="193"/>
  <c r="X102" i="193"/>
  <c r="AD102" i="193"/>
  <c r="AA59" i="193"/>
  <c r="F26" i="193"/>
  <c r="Y26" i="193" s="1"/>
  <c r="Z26" i="193" s="1"/>
  <c r="AB26" i="193" s="1"/>
  <c r="AD53" i="193"/>
  <c r="L83" i="193"/>
  <c r="I145" i="193"/>
  <c r="M145" i="193" s="1"/>
  <c r="AB102" i="193"/>
  <c r="T102" i="193"/>
  <c r="Y59" i="193"/>
  <c r="Z59" i="193" s="1"/>
  <c r="W53" i="193"/>
  <c r="S53" i="193"/>
  <c r="S83" i="193"/>
  <c r="S102" i="193"/>
  <c r="V102" i="193"/>
  <c r="Q102" i="193"/>
  <c r="R57" i="193"/>
  <c r="AC102" i="193"/>
  <c r="P102" i="193"/>
  <c r="Y102" i="193"/>
  <c r="Z102" i="193" s="1"/>
  <c r="P59" i="193"/>
  <c r="F34" i="193"/>
  <c r="S34" i="193" s="1"/>
  <c r="Q53" i="193"/>
  <c r="Y53" i="193"/>
  <c r="Z53" i="193" s="1"/>
  <c r="AB83" i="193"/>
  <c r="L102" i="193"/>
  <c r="W102" i="193"/>
  <c r="N135" i="193"/>
  <c r="X219" i="193"/>
  <c r="N134" i="193"/>
  <c r="S122" i="193"/>
  <c r="S219" i="193"/>
  <c r="T57" i="193"/>
  <c r="N162" i="193"/>
  <c r="L59" i="193"/>
  <c r="R59" i="193"/>
  <c r="AB53" i="193"/>
  <c r="T53" i="193"/>
  <c r="I53" i="193"/>
  <c r="M53" i="193" s="1"/>
  <c r="R53" i="193"/>
  <c r="AA52" i="193"/>
  <c r="W83" i="193"/>
  <c r="Y83" i="193"/>
  <c r="Z83" i="193" s="1"/>
  <c r="AB173" i="193"/>
  <c r="AD145" i="193"/>
  <c r="S59" i="193"/>
  <c r="I59" i="193"/>
  <c r="N59" i="193" s="1"/>
  <c r="X53" i="193"/>
  <c r="U53" i="193"/>
  <c r="V53" i="193"/>
  <c r="I83" i="193"/>
  <c r="N83" i="193" s="1"/>
  <c r="AC83" i="193"/>
  <c r="S173" i="193"/>
  <c r="AC173" i="193"/>
  <c r="X40" i="193"/>
  <c r="X145" i="193"/>
  <c r="I106" i="193"/>
  <c r="N106" i="193" s="1"/>
  <c r="AD219" i="193"/>
  <c r="W219" i="193"/>
  <c r="U57" i="193"/>
  <c r="Q145" i="193"/>
  <c r="R145" i="193"/>
  <c r="AA57" i="193"/>
  <c r="F23" i="193"/>
  <c r="S23" i="193" s="1"/>
  <c r="T145" i="193"/>
  <c r="L219" i="193"/>
  <c r="P219" i="193"/>
  <c r="S145" i="193"/>
  <c r="AA145" i="193"/>
  <c r="W59" i="193"/>
  <c r="V59" i="193"/>
  <c r="Q59" i="193"/>
  <c r="U59" i="193"/>
  <c r="U52" i="193"/>
  <c r="U83" i="193"/>
  <c r="AD83" i="193"/>
  <c r="Q83" i="193"/>
  <c r="V83" i="193"/>
  <c r="AA173" i="193"/>
  <c r="L145" i="193"/>
  <c r="Y145" i="193"/>
  <c r="Z145" i="193" s="1"/>
  <c r="V145" i="193"/>
  <c r="U145" i="193"/>
  <c r="V173" i="193"/>
  <c r="AD59" i="193"/>
  <c r="AB59" i="193"/>
  <c r="T59" i="193"/>
  <c r="G37" i="193"/>
  <c r="J37" i="193" s="1"/>
  <c r="AC52" i="193"/>
  <c r="X83" i="193"/>
  <c r="T83" i="193"/>
  <c r="AA83" i="193"/>
  <c r="X173" i="193"/>
  <c r="AC145" i="193"/>
  <c r="W145" i="193"/>
  <c r="P145" i="193"/>
  <c r="AD122" i="193"/>
  <c r="V52" i="193"/>
  <c r="AB52" i="193"/>
  <c r="R173" i="193"/>
  <c r="AD173" i="193"/>
  <c r="U219" i="193"/>
  <c r="V219" i="193"/>
  <c r="AB219" i="193"/>
  <c r="Y219" i="193"/>
  <c r="Z219" i="193" s="1"/>
  <c r="P173" i="193"/>
  <c r="T173" i="193"/>
  <c r="W122" i="193"/>
  <c r="T52" i="193"/>
  <c r="P52" i="193"/>
  <c r="U173" i="193"/>
  <c r="L173" i="193"/>
  <c r="T219" i="193"/>
  <c r="Q219" i="193"/>
  <c r="AA219" i="193"/>
  <c r="Q173" i="193"/>
  <c r="R122" i="193"/>
  <c r="X122" i="193"/>
  <c r="Q122" i="193"/>
  <c r="I40" i="193"/>
  <c r="N40" i="193" s="1"/>
  <c r="S40" i="193"/>
  <c r="Y122" i="193"/>
  <c r="Z122" i="193" s="1"/>
  <c r="T122" i="193"/>
  <c r="V122" i="193"/>
  <c r="L122" i="193"/>
  <c r="W106" i="193"/>
  <c r="Y40" i="193"/>
  <c r="Z40" i="193" s="1"/>
  <c r="AB40" i="193" s="1"/>
  <c r="P40" i="193"/>
  <c r="R40" i="193" s="1"/>
  <c r="AD148" i="193"/>
  <c r="P148" i="193"/>
  <c r="AC122" i="193"/>
  <c r="Y106" i="193"/>
  <c r="Z106" i="193" s="1"/>
  <c r="U122" i="193"/>
  <c r="I122" i="193"/>
  <c r="N122" i="193" s="1"/>
  <c r="P122" i="193"/>
  <c r="H34" i="193"/>
  <c r="K34" i="193" s="1"/>
  <c r="P106" i="193"/>
  <c r="AC57" i="193"/>
  <c r="X57" i="193"/>
  <c r="AA148" i="193"/>
  <c r="V57" i="193"/>
  <c r="S52" i="193"/>
  <c r="L52" i="193"/>
  <c r="AD52" i="193"/>
  <c r="X52" i="193"/>
  <c r="N49" i="193"/>
  <c r="S148" i="193"/>
  <c r="X148" i="193"/>
  <c r="U148" i="193"/>
  <c r="I148" i="193"/>
  <c r="N148" i="193" s="1"/>
  <c r="W32" i="14"/>
  <c r="AD32" i="14" s="1"/>
  <c r="AE32" i="14" s="1"/>
  <c r="O43" i="193" s="1"/>
  <c r="W57" i="193"/>
  <c r="Y57" i="193"/>
  <c r="Z57" i="193" s="1"/>
  <c r="AB57" i="193"/>
  <c r="L57" i="193"/>
  <c r="V148" i="193"/>
  <c r="AB148" i="193"/>
  <c r="W148" i="193"/>
  <c r="Q148" i="193"/>
  <c r="Y148" i="193"/>
  <c r="Z148" i="193" s="1"/>
  <c r="W10" i="14"/>
  <c r="W28" i="14"/>
  <c r="AD28" i="14" s="1"/>
  <c r="AE28" i="14" s="1"/>
  <c r="O39" i="193" s="1"/>
  <c r="W17" i="14"/>
  <c r="AD17" i="14" s="1"/>
  <c r="AE17" i="14" s="1"/>
  <c r="O28" i="193" s="1"/>
  <c r="G28" i="193" s="1"/>
  <c r="J28" i="193" s="1"/>
  <c r="W52" i="193"/>
  <c r="Y52" i="193"/>
  <c r="Z52" i="193" s="1"/>
  <c r="Q52" i="193"/>
  <c r="S57" i="193"/>
  <c r="P57" i="193"/>
  <c r="AD57" i="193"/>
  <c r="I57" i="193"/>
  <c r="N57" i="193" s="1"/>
  <c r="R148" i="193"/>
  <c r="T148" i="193"/>
  <c r="W21" i="14"/>
  <c r="AD21" i="14" s="1"/>
  <c r="AE21" i="14" s="1"/>
  <c r="O32" i="193" s="1"/>
  <c r="AD14" i="14"/>
  <c r="AE14" i="14" s="1"/>
  <c r="O25" i="193" s="1"/>
  <c r="F25" i="193" s="1"/>
  <c r="Y25" i="193" s="1"/>
  <c r="Z25" i="193" s="1"/>
  <c r="AB25" i="193" s="1"/>
  <c r="G38" i="193"/>
  <c r="J38" i="193" s="1"/>
  <c r="F38" i="193"/>
  <c r="G42" i="193"/>
  <c r="J42" i="193" s="1"/>
  <c r="F42" i="193"/>
  <c r="F31" i="193"/>
  <c r="G31" i="193"/>
  <c r="J31" i="193" s="1"/>
  <c r="G33" i="193"/>
  <c r="J33" i="193" s="1"/>
  <c r="F33" i="193"/>
  <c r="F41" i="193"/>
  <c r="G41" i="193"/>
  <c r="J41" i="193" s="1"/>
  <c r="F36" i="193"/>
  <c r="G36" i="193"/>
  <c r="J36" i="193" s="1"/>
  <c r="G35" i="193"/>
  <c r="J35" i="193" s="1"/>
  <c r="F35" i="193"/>
  <c r="Q106" i="193"/>
  <c r="V106" i="193"/>
  <c r="U106" i="193"/>
  <c r="S106" i="193"/>
  <c r="AA106" i="193"/>
  <c r="AD106" i="193"/>
  <c r="R106" i="193"/>
  <c r="AC106" i="193"/>
  <c r="L106" i="193"/>
  <c r="AB106" i="193"/>
  <c r="X106" i="193"/>
  <c r="N100" i="193"/>
  <c r="M161" i="193"/>
  <c r="N95" i="193"/>
  <c r="M218" i="193"/>
  <c r="M183" i="193"/>
  <c r="M216" i="193"/>
  <c r="Y70" i="193"/>
  <c r="Z70" i="193" s="1"/>
  <c r="X167" i="193"/>
  <c r="L186" i="193"/>
  <c r="M97" i="193"/>
  <c r="S167" i="193"/>
  <c r="U70" i="193"/>
  <c r="P186" i="193"/>
  <c r="L70" i="193"/>
  <c r="W186" i="193"/>
  <c r="V167" i="193"/>
  <c r="S70" i="193"/>
  <c r="R186" i="193"/>
  <c r="I167" i="193"/>
  <c r="M167" i="193" s="1"/>
  <c r="N158" i="193"/>
  <c r="M158" i="193"/>
  <c r="N103" i="193"/>
  <c r="Q70" i="193"/>
  <c r="AC70" i="193"/>
  <c r="X70" i="193"/>
  <c r="W70" i="193"/>
  <c r="X186" i="193"/>
  <c r="U186" i="193"/>
  <c r="L167" i="193"/>
  <c r="AB167" i="193"/>
  <c r="AB70" i="193"/>
  <c r="AD70" i="193"/>
  <c r="AA70" i="193"/>
  <c r="R70" i="193"/>
  <c r="AD186" i="193"/>
  <c r="Q186" i="193"/>
  <c r="S186" i="193"/>
  <c r="Y186" i="193"/>
  <c r="Z186" i="193" s="1"/>
  <c r="AA167" i="193"/>
  <c r="AC167" i="193"/>
  <c r="R167" i="193"/>
  <c r="AD167" i="193"/>
  <c r="AA186" i="193"/>
  <c r="I186" i="193"/>
  <c r="M186" i="193" s="1"/>
  <c r="W167" i="193"/>
  <c r="P167" i="193"/>
  <c r="T70" i="193"/>
  <c r="I70" i="193"/>
  <c r="N70" i="193" s="1"/>
  <c r="V70" i="193"/>
  <c r="AB186" i="193"/>
  <c r="T186" i="193"/>
  <c r="V186" i="193"/>
  <c r="T167" i="193"/>
  <c r="Y167" i="193"/>
  <c r="Z167" i="193" s="1"/>
  <c r="U167" i="193"/>
  <c r="N136" i="193"/>
  <c r="M116" i="193"/>
  <c r="Q151" i="193"/>
  <c r="Y151" i="193"/>
  <c r="Z151" i="193" s="1"/>
  <c r="R151" i="193"/>
  <c r="AB151" i="193"/>
  <c r="M99" i="193"/>
  <c r="N181" i="193"/>
  <c r="M181" i="193"/>
  <c r="AC151" i="193"/>
  <c r="V151" i="193"/>
  <c r="AA151" i="193"/>
  <c r="P151" i="193"/>
  <c r="X151" i="193"/>
  <c r="W151" i="193"/>
  <c r="U151" i="193"/>
  <c r="S151" i="193"/>
  <c r="N185" i="193"/>
  <c r="M131" i="193"/>
  <c r="N131" i="193"/>
  <c r="N196" i="193"/>
  <c r="M196" i="193"/>
  <c r="AD151" i="193"/>
  <c r="I151" i="193"/>
  <c r="M151" i="193" s="1"/>
  <c r="T151" i="193"/>
  <c r="M115" i="193"/>
  <c r="N115" i="193"/>
  <c r="M153" i="193"/>
  <c r="N153" i="193"/>
  <c r="N120" i="193"/>
  <c r="M120" i="193"/>
  <c r="M82" i="193"/>
  <c r="N168" i="193"/>
  <c r="M168" i="193"/>
  <c r="M208" i="193"/>
  <c r="N208" i="193"/>
  <c r="M107" i="193"/>
  <c r="N107" i="193"/>
  <c r="N88" i="193"/>
  <c r="M88" i="193"/>
  <c r="M94" i="193"/>
  <c r="N94" i="193"/>
  <c r="M133" i="193"/>
  <c r="N133" i="193"/>
  <c r="M141" i="193"/>
  <c r="N141" i="193"/>
  <c r="M93" i="193"/>
  <c r="N93" i="193"/>
  <c r="M219" i="193"/>
  <c r="N219" i="193"/>
  <c r="M55" i="193"/>
  <c r="N55" i="193"/>
  <c r="M214" i="193"/>
  <c r="N214" i="193"/>
  <c r="Y10" i="14"/>
  <c r="N126" i="193"/>
  <c r="M126" i="193"/>
  <c r="N84" i="193"/>
  <c r="M84" i="193"/>
  <c r="N217" i="193"/>
  <c r="M217" i="193"/>
  <c r="P152" i="193"/>
  <c r="AC152" i="193"/>
  <c r="X152" i="193"/>
  <c r="AB152" i="193"/>
  <c r="Q152" i="193"/>
  <c r="AD152" i="193"/>
  <c r="U152" i="193"/>
  <c r="L152" i="193"/>
  <c r="T152" i="193"/>
  <c r="AA152" i="193"/>
  <c r="V152" i="193"/>
  <c r="R152" i="193"/>
  <c r="W152" i="193"/>
  <c r="I152" i="193"/>
  <c r="Y152" i="193"/>
  <c r="Z152" i="193" s="1"/>
  <c r="S152" i="193"/>
  <c r="Q212" i="193"/>
  <c r="I212" i="193"/>
  <c r="AB212" i="193"/>
  <c r="Y212" i="193"/>
  <c r="Z212" i="193" s="1"/>
  <c r="L212" i="193"/>
  <c r="S212" i="193"/>
  <c r="AC212" i="193"/>
  <c r="W212" i="193"/>
  <c r="P212" i="193"/>
  <c r="U212" i="193"/>
  <c r="T212" i="193"/>
  <c r="X212" i="193"/>
  <c r="AA212" i="193"/>
  <c r="V212" i="193"/>
  <c r="AD212" i="193"/>
  <c r="R212" i="193"/>
  <c r="AB206" i="193"/>
  <c r="Q206" i="193"/>
  <c r="X206" i="193"/>
  <c r="S206" i="193"/>
  <c r="V206" i="193"/>
  <c r="P206" i="193"/>
  <c r="R206" i="193"/>
  <c r="U206" i="193"/>
  <c r="Y206" i="193"/>
  <c r="Z206" i="193" s="1"/>
  <c r="AA206" i="193"/>
  <c r="AC206" i="193"/>
  <c r="AD206" i="193"/>
  <c r="L206" i="193"/>
  <c r="T206" i="193"/>
  <c r="W206" i="193"/>
  <c r="I206" i="193"/>
  <c r="Q199" i="193"/>
  <c r="X199" i="193"/>
  <c r="P199" i="193"/>
  <c r="R199" i="193"/>
  <c r="V199" i="193"/>
  <c r="T199" i="193"/>
  <c r="AD199" i="193"/>
  <c r="AA199" i="193"/>
  <c r="Y199" i="193"/>
  <c r="Z199" i="193" s="1"/>
  <c r="U199" i="193"/>
  <c r="I199" i="193"/>
  <c r="S199" i="193"/>
  <c r="L199" i="193"/>
  <c r="W199" i="193"/>
  <c r="AC199" i="193"/>
  <c r="AB199" i="193"/>
  <c r="Q48" i="193"/>
  <c r="I48" i="193"/>
  <c r="AA48" i="193"/>
  <c r="AD48" i="193"/>
  <c r="W48" i="193"/>
  <c r="P48" i="193"/>
  <c r="L48" i="193"/>
  <c r="AB48" i="193"/>
  <c r="S48" i="193"/>
  <c r="T48" i="193"/>
  <c r="AC48" i="193"/>
  <c r="R48" i="193"/>
  <c r="V48" i="193"/>
  <c r="U48" i="193"/>
  <c r="Y48" i="193"/>
  <c r="Z48" i="193" s="1"/>
  <c r="X48" i="193"/>
  <c r="M92" i="193"/>
  <c r="N92" i="193"/>
  <c r="P165" i="193"/>
  <c r="Y165" i="193"/>
  <c r="Z165" i="193" s="1"/>
  <c r="I165" i="193"/>
  <c r="V165" i="193"/>
  <c r="S165" i="193"/>
  <c r="AA165" i="193"/>
  <c r="AC165" i="193"/>
  <c r="W165" i="193"/>
  <c r="AD165" i="193"/>
  <c r="X165" i="193"/>
  <c r="AB165" i="193"/>
  <c r="T165" i="193"/>
  <c r="L165" i="193"/>
  <c r="R165" i="193"/>
  <c r="U165" i="193"/>
  <c r="Q165" i="193"/>
  <c r="N155" i="193"/>
  <c r="M155" i="193"/>
  <c r="R51" i="193"/>
  <c r="P51" i="193"/>
  <c r="AA51" i="193"/>
  <c r="Q51" i="193"/>
  <c r="Y51" i="193"/>
  <c r="Z51" i="193" s="1"/>
  <c r="AD51" i="193"/>
  <c r="U51" i="193"/>
  <c r="S51" i="193"/>
  <c r="T51" i="193"/>
  <c r="W51" i="193"/>
  <c r="I51" i="193"/>
  <c r="X51" i="193"/>
  <c r="AB51" i="193"/>
  <c r="V51" i="193"/>
  <c r="L51" i="193"/>
  <c r="AC51" i="193"/>
  <c r="Y164" i="193"/>
  <c r="Z164" i="193" s="1"/>
  <c r="AD164" i="193"/>
  <c r="AC164" i="193"/>
  <c r="S164" i="193"/>
  <c r="AA164" i="193"/>
  <c r="I164" i="193"/>
  <c r="T164" i="193"/>
  <c r="Q164" i="193"/>
  <c r="R164" i="193"/>
  <c r="L164" i="193"/>
  <c r="W164" i="193"/>
  <c r="V164" i="193"/>
  <c r="X164" i="193"/>
  <c r="P164" i="193"/>
  <c r="U164" i="193"/>
  <c r="AB164" i="193"/>
  <c r="P180" i="193"/>
  <c r="L180" i="193"/>
  <c r="AB180" i="193"/>
  <c r="S180" i="193"/>
  <c r="I180" i="193"/>
  <c r="W180" i="193"/>
  <c r="AA180" i="193"/>
  <c r="U180" i="193"/>
  <c r="AD180" i="193"/>
  <c r="X180" i="193"/>
  <c r="AC180" i="193"/>
  <c r="T180" i="193"/>
  <c r="Q180" i="193"/>
  <c r="R180" i="193"/>
  <c r="V180" i="193"/>
  <c r="Y180" i="193"/>
  <c r="Z180" i="193" s="1"/>
  <c r="W18" i="14"/>
  <c r="AD18" i="14" s="1"/>
  <c r="AE18" i="14" s="1"/>
  <c r="O29" i="193" s="1"/>
  <c r="H24" i="193"/>
  <c r="K24" i="193" s="1"/>
  <c r="X190" i="193"/>
  <c r="P190" i="193"/>
  <c r="T190" i="193"/>
  <c r="I190" i="193"/>
  <c r="V190" i="193"/>
  <c r="AC190" i="193"/>
  <c r="AB190" i="193"/>
  <c r="W190" i="193"/>
  <c r="AA190" i="193"/>
  <c r="Q190" i="193"/>
  <c r="U190" i="193"/>
  <c r="R190" i="193"/>
  <c r="L190" i="193"/>
  <c r="Y190" i="193"/>
  <c r="Z190" i="193" s="1"/>
  <c r="S190" i="193"/>
  <c r="AD190" i="193"/>
  <c r="L189" i="193"/>
  <c r="R189" i="193"/>
  <c r="AC189" i="193"/>
  <c r="AB189" i="193"/>
  <c r="U189" i="193"/>
  <c r="P189" i="193"/>
  <c r="W189" i="193"/>
  <c r="AA189" i="193"/>
  <c r="Q189" i="193"/>
  <c r="Y189" i="193"/>
  <c r="Z189" i="193" s="1"/>
  <c r="S189" i="193"/>
  <c r="X189" i="193"/>
  <c r="V189" i="193"/>
  <c r="T189" i="193"/>
  <c r="AD189" i="193"/>
  <c r="I189" i="193"/>
  <c r="U68" i="193"/>
  <c r="T68" i="193"/>
  <c r="R68" i="193"/>
  <c r="Y68" i="193"/>
  <c r="Z68" i="193" s="1"/>
  <c r="AB68" i="193"/>
  <c r="L68" i="193"/>
  <c r="W68" i="193"/>
  <c r="I68" i="193"/>
  <c r="AC68" i="193"/>
  <c r="AD68" i="193"/>
  <c r="X68" i="193"/>
  <c r="S68" i="193"/>
  <c r="V68" i="193"/>
  <c r="AA68" i="193"/>
  <c r="Q68" i="193"/>
  <c r="P68" i="193"/>
  <c r="N209" i="193"/>
  <c r="M209" i="193"/>
  <c r="Y159" i="193"/>
  <c r="Z159" i="193" s="1"/>
  <c r="P159" i="193"/>
  <c r="U159" i="193"/>
  <c r="L159" i="193"/>
  <c r="S159" i="193"/>
  <c r="X159" i="193"/>
  <c r="W159" i="193"/>
  <c r="AB159" i="193"/>
  <c r="Q159" i="193"/>
  <c r="AC159" i="193"/>
  <c r="V159" i="193"/>
  <c r="I159" i="193"/>
  <c r="R159" i="193"/>
  <c r="AA159" i="193"/>
  <c r="AD159" i="193"/>
  <c r="T159" i="193"/>
  <c r="M220" i="193"/>
  <c r="N220" i="193"/>
  <c r="I37" i="193"/>
  <c r="Y37" i="193"/>
  <c r="Z37" i="193" s="1"/>
  <c r="AB37" i="193" s="1"/>
  <c r="L37" i="193"/>
  <c r="S37" i="193"/>
  <c r="P37" i="193"/>
  <c r="R37" i="193" s="1"/>
  <c r="X37" i="193"/>
  <c r="M171" i="193"/>
  <c r="N171" i="193"/>
  <c r="AB80" i="193"/>
  <c r="Q80" i="193"/>
  <c r="S80" i="193"/>
  <c r="P80" i="193"/>
  <c r="AA80" i="193"/>
  <c r="Y80" i="193"/>
  <c r="Z80" i="193" s="1"/>
  <c r="L80" i="193"/>
  <c r="W80" i="193"/>
  <c r="AC80" i="193"/>
  <c r="R80" i="193"/>
  <c r="T80" i="193"/>
  <c r="U80" i="193"/>
  <c r="X80" i="193"/>
  <c r="AD80" i="193"/>
  <c r="V80" i="193"/>
  <c r="I80" i="193"/>
  <c r="V72" i="193"/>
  <c r="Y72" i="193"/>
  <c r="Z72" i="193" s="1"/>
  <c r="I72" i="193"/>
  <c r="AA72" i="193"/>
  <c r="W72" i="193"/>
  <c r="P72" i="193"/>
  <c r="AD72" i="193"/>
  <c r="T72" i="193"/>
  <c r="S72" i="193"/>
  <c r="AB72" i="193"/>
  <c r="U72" i="193"/>
  <c r="X72" i="193"/>
  <c r="AC72" i="193"/>
  <c r="L72" i="193"/>
  <c r="Q72" i="193"/>
  <c r="R72" i="193"/>
  <c r="N194" i="193"/>
  <c r="M194" i="193"/>
  <c r="U54" i="193"/>
  <c r="P54" i="193"/>
  <c r="Q54" i="193"/>
  <c r="AC54" i="193"/>
  <c r="V54" i="193"/>
  <c r="AB54" i="193"/>
  <c r="X54" i="193"/>
  <c r="L54" i="193"/>
  <c r="R54" i="193"/>
  <c r="AD54" i="193"/>
  <c r="Y54" i="193"/>
  <c r="Z54" i="193" s="1"/>
  <c r="W54" i="193"/>
  <c r="T54" i="193"/>
  <c r="S54" i="193"/>
  <c r="I54" i="193"/>
  <c r="AA54" i="193"/>
  <c r="V63" i="193"/>
  <c r="AC63" i="193"/>
  <c r="AD63" i="193"/>
  <c r="W63" i="193"/>
  <c r="Y63" i="193"/>
  <c r="Z63" i="193" s="1"/>
  <c r="AB63" i="193"/>
  <c r="I63" i="193"/>
  <c r="AA63" i="193"/>
  <c r="Q63" i="193"/>
  <c r="P63" i="193"/>
  <c r="S63" i="193"/>
  <c r="R63" i="193"/>
  <c r="U63" i="193"/>
  <c r="T63" i="193"/>
  <c r="L63" i="193"/>
  <c r="X63" i="193"/>
  <c r="M210" i="193"/>
  <c r="N210" i="193"/>
  <c r="V74" i="193"/>
  <c r="W74" i="193"/>
  <c r="AC74" i="193"/>
  <c r="AA74" i="193"/>
  <c r="AB74" i="193"/>
  <c r="S74" i="193"/>
  <c r="P74" i="193"/>
  <c r="R74" i="193"/>
  <c r="X74" i="193"/>
  <c r="Y74" i="193"/>
  <c r="Z74" i="193" s="1"/>
  <c r="L74" i="193"/>
  <c r="I74" i="193"/>
  <c r="AD74" i="193"/>
  <c r="U74" i="193"/>
  <c r="T74" i="193"/>
  <c r="Q74" i="193"/>
  <c r="W195" i="193"/>
  <c r="S195" i="193"/>
  <c r="P195" i="193"/>
  <c r="U195" i="193"/>
  <c r="L195" i="193"/>
  <c r="Y195" i="193"/>
  <c r="Z195" i="193" s="1"/>
  <c r="AD195" i="193"/>
  <c r="Q195" i="193"/>
  <c r="I195" i="193"/>
  <c r="AA195" i="193"/>
  <c r="R195" i="193"/>
  <c r="X195" i="193"/>
  <c r="T195" i="193"/>
  <c r="AB195" i="193"/>
  <c r="AC195" i="193"/>
  <c r="V195" i="193"/>
  <c r="M71" i="193"/>
  <c r="N71" i="193"/>
  <c r="L202" i="193"/>
  <c r="AC202" i="193"/>
  <c r="I202" i="193"/>
  <c r="Q202" i="193"/>
  <c r="AA202" i="193"/>
  <c r="U202" i="193"/>
  <c r="P202" i="193"/>
  <c r="Y202" i="193"/>
  <c r="Z202" i="193" s="1"/>
  <c r="AD202" i="193"/>
  <c r="S202" i="193"/>
  <c r="AB202" i="193"/>
  <c r="R202" i="193"/>
  <c r="T202" i="193"/>
  <c r="X202" i="193"/>
  <c r="W202" i="193"/>
  <c r="V202" i="193"/>
  <c r="N175" i="193"/>
  <c r="M175" i="193"/>
  <c r="I156" i="193"/>
  <c r="AD156" i="193"/>
  <c r="V156" i="193"/>
  <c r="AA156" i="193"/>
  <c r="R156" i="193"/>
  <c r="S156" i="193"/>
  <c r="T156" i="193"/>
  <c r="X156" i="193"/>
  <c r="L156" i="193"/>
  <c r="Q156" i="193"/>
  <c r="Y156" i="193"/>
  <c r="Z156" i="193" s="1"/>
  <c r="U156" i="193"/>
  <c r="P156" i="193"/>
  <c r="W156" i="193"/>
  <c r="AC156" i="193"/>
  <c r="AB156" i="193"/>
  <c r="M177" i="193"/>
  <c r="N177" i="193"/>
  <c r="Q113" i="193"/>
  <c r="V113" i="193"/>
  <c r="R113" i="193"/>
  <c r="U113" i="193"/>
  <c r="I113" i="193"/>
  <c r="AD113" i="193"/>
  <c r="S113" i="193"/>
  <c r="Y113" i="193"/>
  <c r="Z113" i="193" s="1"/>
  <c r="AC113" i="193"/>
  <c r="AA113" i="193"/>
  <c r="T113" i="193"/>
  <c r="X113" i="193"/>
  <c r="AB113" i="193"/>
  <c r="L113" i="193"/>
  <c r="P113" i="193"/>
  <c r="W113" i="193"/>
  <c r="S73" i="193"/>
  <c r="AB73" i="193"/>
  <c r="AD73" i="193"/>
  <c r="AC73" i="193"/>
  <c r="Y73" i="193"/>
  <c r="Z73" i="193" s="1"/>
  <c r="L73" i="193"/>
  <c r="P73" i="193"/>
  <c r="Q73" i="193"/>
  <c r="V73" i="193"/>
  <c r="I73" i="193"/>
  <c r="U73" i="193"/>
  <c r="AA73" i="193"/>
  <c r="W73" i="193"/>
  <c r="T73" i="193"/>
  <c r="X73" i="193"/>
  <c r="R73" i="193"/>
  <c r="Q154" i="193"/>
  <c r="T154" i="193"/>
  <c r="W154" i="193"/>
  <c r="P154" i="193"/>
  <c r="R154" i="193"/>
  <c r="AC154" i="193"/>
  <c r="Y154" i="193"/>
  <c r="Z154" i="193" s="1"/>
  <c r="L154" i="193"/>
  <c r="I154" i="193"/>
  <c r="AD154" i="193"/>
  <c r="V154" i="193"/>
  <c r="AA154" i="193"/>
  <c r="AB154" i="193"/>
  <c r="S154" i="193"/>
  <c r="X154" i="193"/>
  <c r="U154" i="193"/>
  <c r="M64" i="193"/>
  <c r="N64" i="193"/>
  <c r="AA69" i="193"/>
  <c r="T69" i="193"/>
  <c r="V69" i="193"/>
  <c r="L69" i="193"/>
  <c r="X69" i="193"/>
  <c r="I69" i="193"/>
  <c r="AC69" i="193"/>
  <c r="S69" i="193"/>
  <c r="AB69" i="193"/>
  <c r="AD69" i="193"/>
  <c r="P69" i="193"/>
  <c r="Y69" i="193"/>
  <c r="Z69" i="193" s="1"/>
  <c r="R69" i="193"/>
  <c r="W69" i="193"/>
  <c r="Q69" i="193"/>
  <c r="U69" i="193"/>
  <c r="M105" i="193"/>
  <c r="N105" i="193"/>
  <c r="X77" i="193"/>
  <c r="S77" i="193"/>
  <c r="AC77" i="193"/>
  <c r="L77" i="193"/>
  <c r="T77" i="193"/>
  <c r="V77" i="193"/>
  <c r="U77" i="193"/>
  <c r="AA77" i="193"/>
  <c r="I77" i="193"/>
  <c r="Q77" i="193"/>
  <c r="R77" i="193"/>
  <c r="P77" i="193"/>
  <c r="Y77" i="193"/>
  <c r="Z77" i="193" s="1"/>
  <c r="AD77" i="193"/>
  <c r="AB77" i="193"/>
  <c r="W77" i="193"/>
  <c r="T204" i="193"/>
  <c r="W204" i="193"/>
  <c r="AC204" i="193"/>
  <c r="Q204" i="193"/>
  <c r="AA204" i="193"/>
  <c r="P204" i="193"/>
  <c r="U204" i="193"/>
  <c r="R204" i="193"/>
  <c r="AB204" i="193"/>
  <c r="AD204" i="193"/>
  <c r="Y204" i="193"/>
  <c r="Z204" i="193" s="1"/>
  <c r="I204" i="193"/>
  <c r="X204" i="193"/>
  <c r="L204" i="193"/>
  <c r="V204" i="193"/>
  <c r="S204" i="193"/>
  <c r="AD179" i="193"/>
  <c r="S179" i="193"/>
  <c r="W179" i="193"/>
  <c r="AA179" i="193"/>
  <c r="R179" i="193"/>
  <c r="X179" i="193"/>
  <c r="V179" i="193"/>
  <c r="L179" i="193"/>
  <c r="P179" i="193"/>
  <c r="U179" i="193"/>
  <c r="AC179" i="193"/>
  <c r="Y179" i="193"/>
  <c r="Z179" i="193" s="1"/>
  <c r="T179" i="193"/>
  <c r="Q179" i="193"/>
  <c r="AB179" i="193"/>
  <c r="I179" i="193"/>
  <c r="AB176" i="193"/>
  <c r="X176" i="193"/>
  <c r="W176" i="193"/>
  <c r="AC176" i="193"/>
  <c r="AD176" i="193"/>
  <c r="L176" i="193"/>
  <c r="U176" i="193"/>
  <c r="T176" i="193"/>
  <c r="Q176" i="193"/>
  <c r="I176" i="193"/>
  <c r="V176" i="193"/>
  <c r="S176" i="193"/>
  <c r="P176" i="193"/>
  <c r="R176" i="193"/>
  <c r="Y176" i="193"/>
  <c r="Z176" i="193" s="1"/>
  <c r="AA176" i="193"/>
  <c r="M111" i="193"/>
  <c r="N111" i="193"/>
  <c r="N213" i="193"/>
  <c r="M213" i="193"/>
  <c r="M169" i="193"/>
  <c r="N169" i="193"/>
  <c r="P117" i="193"/>
  <c r="Y117" i="193"/>
  <c r="Z117" i="193" s="1"/>
  <c r="S117" i="193"/>
  <c r="U117" i="193"/>
  <c r="V117" i="193"/>
  <c r="W117" i="193"/>
  <c r="T117" i="193"/>
  <c r="AA117" i="193"/>
  <c r="X117" i="193"/>
  <c r="L117" i="193"/>
  <c r="R117" i="193"/>
  <c r="AD117" i="193"/>
  <c r="Q117" i="193"/>
  <c r="AC117" i="193"/>
  <c r="I117" i="193"/>
  <c r="AB117" i="193"/>
  <c r="Y146" i="193"/>
  <c r="Z146" i="193" s="1"/>
  <c r="T146" i="193"/>
  <c r="AA146" i="193"/>
  <c r="P146" i="193"/>
  <c r="AD146" i="193"/>
  <c r="S146" i="193"/>
  <c r="I146" i="193"/>
  <c r="W146" i="193"/>
  <c r="AB146" i="193"/>
  <c r="Q146" i="193"/>
  <c r="L146" i="193"/>
  <c r="U146" i="193"/>
  <c r="V146" i="193"/>
  <c r="AC146" i="193"/>
  <c r="R146" i="193"/>
  <c r="X146" i="193"/>
  <c r="M182" i="193"/>
  <c r="N182" i="193"/>
  <c r="X67" i="193"/>
  <c r="T67" i="193"/>
  <c r="AA67" i="193"/>
  <c r="W67" i="193"/>
  <c r="R67" i="193"/>
  <c r="L67" i="193"/>
  <c r="AD67" i="193"/>
  <c r="I67" i="193"/>
  <c r="AC67" i="193"/>
  <c r="U67" i="193"/>
  <c r="S67" i="193"/>
  <c r="V67" i="193"/>
  <c r="Q67" i="193"/>
  <c r="AB67" i="193"/>
  <c r="Y67" i="193"/>
  <c r="Z67" i="193" s="1"/>
  <c r="P67" i="193"/>
  <c r="N191" i="193"/>
  <c r="M191" i="193"/>
  <c r="H23" i="193"/>
  <c r="K23" i="193" s="1"/>
  <c r="W200" i="193"/>
  <c r="X200" i="193"/>
  <c r="T200" i="193"/>
  <c r="AD200" i="193"/>
  <c r="I200" i="193"/>
  <c r="U200" i="193"/>
  <c r="AB200" i="193"/>
  <c r="Q200" i="193"/>
  <c r="S200" i="193"/>
  <c r="AA200" i="193"/>
  <c r="AC200" i="193"/>
  <c r="V200" i="193"/>
  <c r="Y200" i="193"/>
  <c r="Z200" i="193" s="1"/>
  <c r="L200" i="193"/>
  <c r="P200" i="193"/>
  <c r="R200" i="193"/>
  <c r="U188" i="193"/>
  <c r="V188" i="193"/>
  <c r="R188" i="193"/>
  <c r="W188" i="193"/>
  <c r="L188" i="193"/>
  <c r="T188" i="193"/>
  <c r="AC188" i="193"/>
  <c r="S188" i="193"/>
  <c r="AD188" i="193"/>
  <c r="X188" i="193"/>
  <c r="P188" i="193"/>
  <c r="Y188" i="193"/>
  <c r="Z188" i="193" s="1"/>
  <c r="AA188" i="193"/>
  <c r="Q188" i="193"/>
  <c r="I188" i="193"/>
  <c r="AB188" i="193"/>
  <c r="M137" i="193"/>
  <c r="N137" i="193"/>
  <c r="AB207" i="193"/>
  <c r="AC207" i="193"/>
  <c r="I207" i="193"/>
  <c r="L207" i="193"/>
  <c r="AD207" i="193"/>
  <c r="T207" i="193"/>
  <c r="AA207" i="193"/>
  <c r="Y207" i="193"/>
  <c r="Z207" i="193" s="1"/>
  <c r="S207" i="193"/>
  <c r="Q207" i="193"/>
  <c r="X207" i="193"/>
  <c r="U207" i="193"/>
  <c r="V207" i="193"/>
  <c r="W207" i="193"/>
  <c r="R207" i="193"/>
  <c r="P207" i="193"/>
  <c r="V144" i="193"/>
  <c r="S144" i="193"/>
  <c r="I144" i="193"/>
  <c r="Q144" i="193"/>
  <c r="AB144" i="193"/>
  <c r="P144" i="193"/>
  <c r="AD144" i="193"/>
  <c r="Y144" i="193"/>
  <c r="Z144" i="193" s="1"/>
  <c r="U144" i="193"/>
  <c r="R144" i="193"/>
  <c r="AA144" i="193"/>
  <c r="T144" i="193"/>
  <c r="L144" i="193"/>
  <c r="X144" i="193"/>
  <c r="W144" i="193"/>
  <c r="AC144" i="193"/>
  <c r="AA142" i="193"/>
  <c r="Q142" i="193"/>
  <c r="S142" i="193"/>
  <c r="R142" i="193"/>
  <c r="U142" i="193"/>
  <c r="P142" i="193"/>
  <c r="W142" i="193"/>
  <c r="AC142" i="193"/>
  <c r="L142" i="193"/>
  <c r="V142" i="193"/>
  <c r="I142" i="193"/>
  <c r="T142" i="193"/>
  <c r="AB142" i="193"/>
  <c r="AD142" i="193"/>
  <c r="X142" i="193"/>
  <c r="Y142" i="193"/>
  <c r="Z142" i="193" s="1"/>
  <c r="AC143" i="193"/>
  <c r="L143" i="193"/>
  <c r="P143" i="193"/>
  <c r="U143" i="193"/>
  <c r="R143" i="193"/>
  <c r="S143" i="193"/>
  <c r="AB143" i="193"/>
  <c r="T143" i="193"/>
  <c r="Y143" i="193"/>
  <c r="Z143" i="193" s="1"/>
  <c r="AD143" i="193"/>
  <c r="V143" i="193"/>
  <c r="W143" i="193"/>
  <c r="I143" i="193"/>
  <c r="X143" i="193"/>
  <c r="Q143" i="193"/>
  <c r="AA143" i="193"/>
  <c r="M166" i="193"/>
  <c r="N166" i="193"/>
  <c r="M138" i="193"/>
  <c r="N138" i="193"/>
  <c r="N50" i="193"/>
  <c r="M50" i="193"/>
  <c r="Q66" i="193"/>
  <c r="L66" i="193"/>
  <c r="P66" i="193"/>
  <c r="AC66" i="193"/>
  <c r="S66" i="193"/>
  <c r="X66" i="193"/>
  <c r="U66" i="193"/>
  <c r="W66" i="193"/>
  <c r="Y66" i="193"/>
  <c r="Z66" i="193" s="1"/>
  <c r="I66" i="193"/>
  <c r="V66" i="193"/>
  <c r="AA66" i="193"/>
  <c r="AD66" i="193"/>
  <c r="AB66" i="193"/>
  <c r="T66" i="193"/>
  <c r="R66" i="193"/>
  <c r="AD65" i="193"/>
  <c r="U65" i="193"/>
  <c r="AA65" i="193"/>
  <c r="L65" i="193"/>
  <c r="P65" i="193"/>
  <c r="AC65" i="193"/>
  <c r="X65" i="193"/>
  <c r="W65" i="193"/>
  <c r="T65" i="193"/>
  <c r="AB65" i="193"/>
  <c r="I65" i="193"/>
  <c r="Y65" i="193"/>
  <c r="Z65" i="193" s="1"/>
  <c r="S65" i="193"/>
  <c r="V65" i="193"/>
  <c r="R65" i="193"/>
  <c r="Q65" i="193"/>
  <c r="AD11" i="14"/>
  <c r="AE11" i="14" s="1"/>
  <c r="O22" i="193" s="1"/>
  <c r="X24" i="193"/>
  <c r="P24" i="193"/>
  <c r="R24" i="193" s="1"/>
  <c r="L24" i="193"/>
  <c r="Y24" i="193"/>
  <c r="Z24" i="193" s="1"/>
  <c r="AB24" i="193" s="1"/>
  <c r="S24" i="193"/>
  <c r="I24" i="193"/>
  <c r="G30" i="193"/>
  <c r="J30" i="193" s="1"/>
  <c r="F30" i="193"/>
  <c r="H26" i="193"/>
  <c r="K26" i="193" s="1"/>
  <c r="N193" i="193"/>
  <c r="M193" i="193"/>
  <c r="P140" i="193"/>
  <c r="AC140" i="193"/>
  <c r="U140" i="193"/>
  <c r="Q140" i="193"/>
  <c r="R140" i="193"/>
  <c r="T140" i="193"/>
  <c r="L140" i="193"/>
  <c r="AD140" i="193"/>
  <c r="V140" i="193"/>
  <c r="S140" i="193"/>
  <c r="AB140" i="193"/>
  <c r="X140" i="193"/>
  <c r="W140" i="193"/>
  <c r="AA140" i="193"/>
  <c r="I140" i="193"/>
  <c r="Y140" i="193"/>
  <c r="Z140" i="193" s="1"/>
  <c r="AB121" i="193"/>
  <c r="S121" i="193"/>
  <c r="AC121" i="193"/>
  <c r="P121" i="193"/>
  <c r="I121" i="193"/>
  <c r="AD121" i="193"/>
  <c r="L121" i="193"/>
  <c r="W121" i="193"/>
  <c r="X121" i="193"/>
  <c r="V121" i="193"/>
  <c r="Q121" i="193"/>
  <c r="AA121" i="193"/>
  <c r="R121" i="193"/>
  <c r="Y121" i="193"/>
  <c r="Z121" i="193" s="1"/>
  <c r="T121" i="193"/>
  <c r="U121" i="193"/>
  <c r="W118" i="193"/>
  <c r="AC118" i="193"/>
  <c r="R118" i="193"/>
  <c r="Y118" i="193"/>
  <c r="Z118" i="193" s="1"/>
  <c r="V118" i="193"/>
  <c r="I118" i="193"/>
  <c r="T118" i="193"/>
  <c r="AB118" i="193"/>
  <c r="AD118" i="193"/>
  <c r="S118" i="193"/>
  <c r="P118" i="193"/>
  <c r="AA118" i="193"/>
  <c r="L118" i="193"/>
  <c r="U118" i="193"/>
  <c r="Q118" i="193"/>
  <c r="X118" i="193"/>
  <c r="N90" i="193"/>
  <c r="M90" i="193"/>
  <c r="R127" i="193"/>
  <c r="P127" i="193"/>
  <c r="W127" i="193"/>
  <c r="AA127" i="193"/>
  <c r="Y127" i="193"/>
  <c r="Z127" i="193" s="1"/>
  <c r="AB127" i="193"/>
  <c r="U127" i="193"/>
  <c r="Q127" i="193"/>
  <c r="I127" i="193"/>
  <c r="L127" i="193"/>
  <c r="T127" i="193"/>
  <c r="V127" i="193"/>
  <c r="AC127" i="193"/>
  <c r="S127" i="193"/>
  <c r="AD127" i="193"/>
  <c r="X127" i="193"/>
  <c r="AB197" i="193"/>
  <c r="W197" i="193"/>
  <c r="U197" i="193"/>
  <c r="T197" i="193"/>
  <c r="I197" i="193"/>
  <c r="P197" i="193"/>
  <c r="AA197" i="193"/>
  <c r="Q197" i="193"/>
  <c r="R197" i="193"/>
  <c r="S197" i="193"/>
  <c r="V197" i="193"/>
  <c r="Y197" i="193"/>
  <c r="Z197" i="193" s="1"/>
  <c r="L197" i="193"/>
  <c r="X197" i="193"/>
  <c r="AC197" i="193"/>
  <c r="AD197" i="193"/>
  <c r="U96" i="193"/>
  <c r="R96" i="193"/>
  <c r="T96" i="193"/>
  <c r="W96" i="193"/>
  <c r="AB96" i="193"/>
  <c r="Q96" i="193"/>
  <c r="AA96" i="193"/>
  <c r="AD96" i="193"/>
  <c r="AC96" i="193"/>
  <c r="L96" i="193"/>
  <c r="S96" i="193"/>
  <c r="I96" i="193"/>
  <c r="V96" i="193"/>
  <c r="Y96" i="193"/>
  <c r="Z96" i="193" s="1"/>
  <c r="P96" i="193"/>
  <c r="X96" i="193"/>
  <c r="R62" i="193"/>
  <c r="P62" i="193"/>
  <c r="Q62" i="193"/>
  <c r="AB62" i="193"/>
  <c r="V62" i="193"/>
  <c r="T62" i="193"/>
  <c r="I62" i="193"/>
  <c r="AD62" i="193"/>
  <c r="U62" i="193"/>
  <c r="AC62" i="193"/>
  <c r="Y62" i="193"/>
  <c r="Z62" i="193" s="1"/>
  <c r="L62" i="193"/>
  <c r="W62" i="193"/>
  <c r="AA62" i="193"/>
  <c r="X62" i="193"/>
  <c r="S62" i="193"/>
  <c r="N157" i="193"/>
  <c r="M157" i="193"/>
  <c r="S203" i="193"/>
  <c r="T203" i="193"/>
  <c r="Q203" i="193"/>
  <c r="P203" i="193"/>
  <c r="V203" i="193"/>
  <c r="W203" i="193"/>
  <c r="U203" i="193"/>
  <c r="AB203" i="193"/>
  <c r="X203" i="193"/>
  <c r="AC203" i="193"/>
  <c r="R203" i="193"/>
  <c r="AD203" i="193"/>
  <c r="L203" i="193"/>
  <c r="AA203" i="193"/>
  <c r="Y203" i="193"/>
  <c r="Z203" i="193" s="1"/>
  <c r="I203" i="193"/>
  <c r="M108" i="193"/>
  <c r="N108" i="193"/>
  <c r="AC205" i="193"/>
  <c r="S205" i="193"/>
  <c r="AB205" i="193"/>
  <c r="AA205" i="193"/>
  <c r="L205" i="193"/>
  <c r="U205" i="193"/>
  <c r="X205" i="193"/>
  <c r="W205" i="193"/>
  <c r="I205" i="193"/>
  <c r="P205" i="193"/>
  <c r="Q205" i="193"/>
  <c r="T205" i="193"/>
  <c r="AD205" i="193"/>
  <c r="Y205" i="193"/>
  <c r="Z205" i="193" s="1"/>
  <c r="R205" i="193"/>
  <c r="V205" i="193"/>
  <c r="M124" i="193"/>
  <c r="N124" i="193"/>
  <c r="M91" i="193"/>
  <c r="N91" i="193"/>
  <c r="M58" i="193"/>
  <c r="N58" i="193"/>
  <c r="AC112" i="193"/>
  <c r="Y112" i="193"/>
  <c r="Z112" i="193" s="1"/>
  <c r="AA112" i="193"/>
  <c r="L112" i="193"/>
  <c r="R112" i="193"/>
  <c r="Q112" i="193"/>
  <c r="AB112" i="193"/>
  <c r="X112" i="193"/>
  <c r="S112" i="193"/>
  <c r="I112" i="193"/>
  <c r="AD112" i="193"/>
  <c r="V112" i="193"/>
  <c r="P112" i="193"/>
  <c r="W112" i="193"/>
  <c r="U112" i="193"/>
  <c r="T112" i="193"/>
  <c r="N44" i="193"/>
  <c r="M44" i="193"/>
  <c r="V187" i="193"/>
  <c r="T187" i="193"/>
  <c r="R187" i="193"/>
  <c r="AD187" i="193"/>
  <c r="X187" i="193"/>
  <c r="Q187" i="193"/>
  <c r="U187" i="193"/>
  <c r="I187" i="193"/>
  <c r="P187" i="193"/>
  <c r="AB187" i="193"/>
  <c r="AC187" i="193"/>
  <c r="Y187" i="193"/>
  <c r="Z187" i="193" s="1"/>
  <c r="S187" i="193"/>
  <c r="L187" i="193"/>
  <c r="W187" i="193"/>
  <c r="AA187" i="193"/>
  <c r="N89" i="193"/>
  <c r="M89" i="193"/>
  <c r="N47" i="193"/>
  <c r="M47" i="193"/>
  <c r="AD129" i="193"/>
  <c r="AC129" i="193"/>
  <c r="P129" i="193"/>
  <c r="V129" i="193"/>
  <c r="Y129" i="193"/>
  <c r="Z129" i="193" s="1"/>
  <c r="I129" i="193"/>
  <c r="AB129" i="193"/>
  <c r="W129" i="193"/>
  <c r="U129" i="193"/>
  <c r="X129" i="193"/>
  <c r="R129" i="193"/>
  <c r="AA129" i="193"/>
  <c r="L129" i="193"/>
  <c r="T129" i="193"/>
  <c r="S129" i="193"/>
  <c r="Q129" i="193"/>
  <c r="N178" i="193"/>
  <c r="M178" i="193"/>
  <c r="AC192" i="193"/>
  <c r="U192" i="193"/>
  <c r="V192" i="193"/>
  <c r="L192" i="193"/>
  <c r="S192" i="193"/>
  <c r="T192" i="193"/>
  <c r="Q192" i="193"/>
  <c r="AA192" i="193"/>
  <c r="AB192" i="193"/>
  <c r="P192" i="193"/>
  <c r="X192" i="193"/>
  <c r="Y192" i="193"/>
  <c r="Z192" i="193" s="1"/>
  <c r="R192" i="193"/>
  <c r="I192" i="193"/>
  <c r="W192" i="193"/>
  <c r="AD192" i="193"/>
  <c r="L184" i="193"/>
  <c r="U184" i="193"/>
  <c r="R184" i="193"/>
  <c r="AB184" i="193"/>
  <c r="V184" i="193"/>
  <c r="Y184" i="193"/>
  <c r="Z184" i="193" s="1"/>
  <c r="P184" i="193"/>
  <c r="AD184" i="193"/>
  <c r="I184" i="193"/>
  <c r="X184" i="193"/>
  <c r="Q184" i="193"/>
  <c r="T184" i="193"/>
  <c r="AC184" i="193"/>
  <c r="S184" i="193"/>
  <c r="AA184" i="193"/>
  <c r="W184" i="193"/>
  <c r="Q170" i="193"/>
  <c r="W170" i="193"/>
  <c r="R170" i="193"/>
  <c r="U170" i="193"/>
  <c r="X170" i="193"/>
  <c r="L170" i="193"/>
  <c r="V170" i="193"/>
  <c r="AA170" i="193"/>
  <c r="I170" i="193"/>
  <c r="AC170" i="193"/>
  <c r="S170" i="193"/>
  <c r="T170" i="193"/>
  <c r="Y170" i="193"/>
  <c r="Z170" i="193" s="1"/>
  <c r="AD170" i="193"/>
  <c r="AB170" i="193"/>
  <c r="P170" i="193"/>
  <c r="AB109" i="193"/>
  <c r="P109" i="193"/>
  <c r="Y109" i="193"/>
  <c r="Z109" i="193" s="1"/>
  <c r="AD109" i="193"/>
  <c r="S109" i="193"/>
  <c r="U109" i="193"/>
  <c r="AA109" i="193"/>
  <c r="W109" i="193"/>
  <c r="Q109" i="193"/>
  <c r="L109" i="193"/>
  <c r="T109" i="193"/>
  <c r="I109" i="193"/>
  <c r="R109" i="193"/>
  <c r="V109" i="193"/>
  <c r="AC109" i="193"/>
  <c r="X109" i="193"/>
  <c r="M79" i="193" l="1"/>
  <c r="N149" i="193"/>
  <c r="N60" i="193"/>
  <c r="J40" i="193"/>
  <c r="T40" i="193" s="1"/>
  <c r="V40" i="193" s="1"/>
  <c r="M52" i="193"/>
  <c r="N145" i="193"/>
  <c r="M102" i="193"/>
  <c r="G27" i="193"/>
  <c r="J27" i="193" s="1"/>
  <c r="N45" i="193"/>
  <c r="N114" i="193"/>
  <c r="I34" i="193"/>
  <c r="M34" i="193" s="1"/>
  <c r="M173" i="193"/>
  <c r="Y34" i="193"/>
  <c r="Z34" i="193" s="1"/>
  <c r="AB34" i="193" s="1"/>
  <c r="N56" i="193"/>
  <c r="N110" i="193"/>
  <c r="M86" i="193"/>
  <c r="L34" i="193"/>
  <c r="X34" i="193"/>
  <c r="P34" i="193"/>
  <c r="R34" i="193" s="1"/>
  <c r="I26" i="193"/>
  <c r="N26" i="193" s="1"/>
  <c r="L26" i="193"/>
  <c r="Y23" i="193"/>
  <c r="Z23" i="193" s="1"/>
  <c r="AB23" i="193" s="1"/>
  <c r="P26" i="193"/>
  <c r="R26" i="193" s="1"/>
  <c r="S26" i="193"/>
  <c r="I23" i="193"/>
  <c r="M23" i="193" s="1"/>
  <c r="X26" i="193"/>
  <c r="X27" i="193"/>
  <c r="N53" i="193"/>
  <c r="M59" i="193"/>
  <c r="X25" i="193"/>
  <c r="G25" i="193"/>
  <c r="J25" i="193" s="1"/>
  <c r="M40" i="193"/>
  <c r="M106" i="193"/>
  <c r="L27" i="193"/>
  <c r="M83" i="193"/>
  <c r="S25" i="193"/>
  <c r="P27" i="193"/>
  <c r="R27" i="193" s="1"/>
  <c r="H37" i="193"/>
  <c r="K37" i="193" s="1"/>
  <c r="L23" i="193"/>
  <c r="X23" i="193"/>
  <c r="P23" i="193"/>
  <c r="R23" i="193" s="1"/>
  <c r="F28" i="193"/>
  <c r="X28" i="193" s="1"/>
  <c r="I25" i="193"/>
  <c r="N25" i="193" s="1"/>
  <c r="I27" i="193"/>
  <c r="M27" i="193" s="1"/>
  <c r="S27" i="193"/>
  <c r="M122" i="193"/>
  <c r="AD10" i="14"/>
  <c r="AE10" i="14" s="1"/>
  <c r="O21" i="193" s="1"/>
  <c r="F21" i="193" s="1"/>
  <c r="H42" i="193"/>
  <c r="K42" i="193" s="1"/>
  <c r="M148" i="193"/>
  <c r="M57" i="193"/>
  <c r="G43" i="193"/>
  <c r="F43" i="193"/>
  <c r="H33" i="193"/>
  <c r="K33" i="193" s="1"/>
  <c r="H31" i="193"/>
  <c r="K31" i="193" s="1"/>
  <c r="H38" i="193"/>
  <c r="K38" i="193" s="1"/>
  <c r="S36" i="193"/>
  <c r="I36" i="193"/>
  <c r="P36" i="193"/>
  <c r="R36" i="193" s="1"/>
  <c r="Y36" i="193"/>
  <c r="Z36" i="193" s="1"/>
  <c r="AB36" i="193" s="1"/>
  <c r="L36" i="193"/>
  <c r="X36" i="193"/>
  <c r="H41" i="193"/>
  <c r="K41" i="193" s="1"/>
  <c r="P42" i="193"/>
  <c r="R42" i="193" s="1"/>
  <c r="Y42" i="193"/>
  <c r="Z42" i="193" s="1"/>
  <c r="AB42" i="193" s="1"/>
  <c r="L42" i="193"/>
  <c r="I42" i="193"/>
  <c r="S42" i="193"/>
  <c r="X42" i="193"/>
  <c r="P25" i="193"/>
  <c r="R25" i="193" s="1"/>
  <c r="H35" i="193"/>
  <c r="K35" i="193" s="1"/>
  <c r="H36" i="193"/>
  <c r="K36" i="193" s="1"/>
  <c r="Y33" i="193"/>
  <c r="Z33" i="193" s="1"/>
  <c r="AB33" i="193" s="1"/>
  <c r="L33" i="193"/>
  <c r="I33" i="193"/>
  <c r="X33" i="193"/>
  <c r="S33" i="193"/>
  <c r="P33" i="193"/>
  <c r="R33" i="193" s="1"/>
  <c r="Y31" i="193"/>
  <c r="Z31" i="193" s="1"/>
  <c r="AB31" i="193" s="1"/>
  <c r="P31" i="193"/>
  <c r="R31" i="193" s="1"/>
  <c r="L31" i="193"/>
  <c r="S31" i="193"/>
  <c r="I31" i="193"/>
  <c r="X31" i="193"/>
  <c r="G32" i="193"/>
  <c r="J32" i="193" s="1"/>
  <c r="F32" i="193"/>
  <c r="L25" i="193"/>
  <c r="I35" i="193"/>
  <c r="X35" i="193"/>
  <c r="Y35" i="193"/>
  <c r="Z35" i="193" s="1"/>
  <c r="AB35" i="193" s="1"/>
  <c r="L35" i="193"/>
  <c r="S35" i="193"/>
  <c r="P35" i="193"/>
  <c r="R35" i="193" s="1"/>
  <c r="P41" i="193"/>
  <c r="R41" i="193" s="1"/>
  <c r="X41" i="193"/>
  <c r="S41" i="193"/>
  <c r="I41" i="193"/>
  <c r="Y41" i="193"/>
  <c r="Z41" i="193" s="1"/>
  <c r="AB41" i="193" s="1"/>
  <c r="L41" i="193"/>
  <c r="I38" i="193"/>
  <c r="L38" i="193"/>
  <c r="S38" i="193"/>
  <c r="X38" i="193"/>
  <c r="P38" i="193"/>
  <c r="R38" i="193" s="1"/>
  <c r="Y38" i="193"/>
  <c r="Z38" i="193" s="1"/>
  <c r="AB38" i="193" s="1"/>
  <c r="F39" i="193"/>
  <c r="G39" i="193"/>
  <c r="J39" i="193" s="1"/>
  <c r="M70" i="193"/>
  <c r="N167" i="193"/>
  <c r="N186" i="193"/>
  <c r="N151" i="193"/>
  <c r="H28" i="193"/>
  <c r="K28" i="193" s="1"/>
  <c r="N144" i="193"/>
  <c r="M144" i="193"/>
  <c r="M188" i="193"/>
  <c r="N188" i="193"/>
  <c r="M77" i="193"/>
  <c r="N77" i="193"/>
  <c r="M74" i="193"/>
  <c r="N74" i="193"/>
  <c r="M159" i="193"/>
  <c r="N159" i="193"/>
  <c r="N204" i="193"/>
  <c r="M204" i="193"/>
  <c r="N73" i="193"/>
  <c r="M73" i="193"/>
  <c r="N156" i="193"/>
  <c r="M156" i="193"/>
  <c r="M72" i="193"/>
  <c r="N72" i="193"/>
  <c r="N180" i="193"/>
  <c r="M180" i="193"/>
  <c r="H30" i="193"/>
  <c r="K30" i="193" s="1"/>
  <c r="M65" i="193"/>
  <c r="N65" i="193"/>
  <c r="M143" i="193"/>
  <c r="N143" i="193"/>
  <c r="M207" i="193"/>
  <c r="N207" i="193"/>
  <c r="N200" i="193"/>
  <c r="M200" i="193"/>
  <c r="M146" i="193"/>
  <c r="N146" i="193"/>
  <c r="N117" i="193"/>
  <c r="M117" i="193"/>
  <c r="N68" i="193"/>
  <c r="M68" i="193"/>
  <c r="M189" i="193"/>
  <c r="N189" i="193"/>
  <c r="N190" i="193"/>
  <c r="M190" i="193"/>
  <c r="M206" i="193"/>
  <c r="N206" i="193"/>
  <c r="N142" i="193"/>
  <c r="M142" i="193"/>
  <c r="M154" i="193"/>
  <c r="N154" i="193"/>
  <c r="M80" i="193"/>
  <c r="N80" i="193"/>
  <c r="M164" i="193"/>
  <c r="N164" i="193"/>
  <c r="M48" i="193"/>
  <c r="N48" i="193"/>
  <c r="N212" i="193"/>
  <c r="M212" i="193"/>
  <c r="N152" i="193"/>
  <c r="M152" i="193"/>
  <c r="N176" i="193"/>
  <c r="M176" i="193"/>
  <c r="M69" i="193"/>
  <c r="N69" i="193"/>
  <c r="N37" i="193"/>
  <c r="M37" i="193"/>
  <c r="N165" i="193"/>
  <c r="M165" i="193"/>
  <c r="N66" i="193"/>
  <c r="M66" i="193"/>
  <c r="N67" i="193"/>
  <c r="M67" i="193"/>
  <c r="N179" i="193"/>
  <c r="M179" i="193"/>
  <c r="N113" i="193"/>
  <c r="M113" i="193"/>
  <c r="N202" i="193"/>
  <c r="M202" i="193"/>
  <c r="N195" i="193"/>
  <c r="M195" i="193"/>
  <c r="M63" i="193"/>
  <c r="N63" i="193"/>
  <c r="N54" i="193"/>
  <c r="M54" i="193"/>
  <c r="N51" i="193"/>
  <c r="M51" i="193"/>
  <c r="M199" i="193"/>
  <c r="N199" i="193"/>
  <c r="I30" i="193"/>
  <c r="S30" i="193"/>
  <c r="Y30" i="193"/>
  <c r="Z30" i="193" s="1"/>
  <c r="AB30" i="193" s="1"/>
  <c r="X30" i="193"/>
  <c r="L30" i="193"/>
  <c r="P30" i="193"/>
  <c r="R30" i="193" s="1"/>
  <c r="F22" i="193"/>
  <c r="G22" i="193"/>
  <c r="H22" i="193" s="1"/>
  <c r="G29" i="193"/>
  <c r="J29" i="193" s="1"/>
  <c r="F29" i="193"/>
  <c r="M24" i="193"/>
  <c r="N24" i="193"/>
  <c r="T24" i="193" s="1"/>
  <c r="M187" i="193"/>
  <c r="N187" i="193"/>
  <c r="N203" i="193"/>
  <c r="M203" i="193"/>
  <c r="N118" i="193"/>
  <c r="M118" i="193"/>
  <c r="N205" i="193"/>
  <c r="M205" i="193"/>
  <c r="M197" i="193"/>
  <c r="N197" i="193"/>
  <c r="M121" i="193"/>
  <c r="N121" i="193"/>
  <c r="M192" i="193"/>
  <c r="N192" i="193"/>
  <c r="N170" i="193"/>
  <c r="M170" i="193"/>
  <c r="N184" i="193"/>
  <c r="M184" i="193"/>
  <c r="N112" i="193"/>
  <c r="M112" i="193"/>
  <c r="M96" i="193"/>
  <c r="N96" i="193"/>
  <c r="M109" i="193"/>
  <c r="N109" i="193"/>
  <c r="N129" i="193"/>
  <c r="M129" i="193"/>
  <c r="N62" i="193"/>
  <c r="M62" i="193"/>
  <c r="N127" i="193"/>
  <c r="M127" i="193"/>
  <c r="M140" i="193"/>
  <c r="N140" i="193"/>
  <c r="L21" i="193" l="1"/>
  <c r="AC40" i="193"/>
  <c r="AD40" i="193" s="1"/>
  <c r="H25" i="193"/>
  <c r="K25" i="193" s="1"/>
  <c r="AC25" i="193" s="1"/>
  <c r="AD25" i="193" s="1"/>
  <c r="L28" i="193"/>
  <c r="H27" i="193"/>
  <c r="K27" i="193" s="1"/>
  <c r="N34" i="193"/>
  <c r="T34" i="193" s="1"/>
  <c r="AA34" i="193" s="1"/>
  <c r="M26" i="193"/>
  <c r="N23" i="193"/>
  <c r="AC23" i="193" s="1"/>
  <c r="AD23" i="193" s="1"/>
  <c r="T26" i="193"/>
  <c r="V26" i="193" s="1"/>
  <c r="M25" i="193"/>
  <c r="N27" i="193"/>
  <c r="AC37" i="193"/>
  <c r="AD37" i="193" s="1"/>
  <c r="I28" i="193"/>
  <c r="N28" i="193" s="1"/>
  <c r="Y28" i="193"/>
  <c r="Z28" i="193" s="1"/>
  <c r="AB28" i="193" s="1"/>
  <c r="O20" i="193"/>
  <c r="P28" i="193"/>
  <c r="R28" i="193" s="1"/>
  <c r="S28" i="193"/>
  <c r="G21" i="193"/>
  <c r="H21" i="193" s="1"/>
  <c r="K21" i="193" s="1"/>
  <c r="U40" i="193"/>
  <c r="AA40" i="193"/>
  <c r="L43" i="193"/>
  <c r="I43" i="193"/>
  <c r="P43" i="193"/>
  <c r="R43" i="193" s="1"/>
  <c r="S43" i="193"/>
  <c r="X43" i="193"/>
  <c r="Y43" i="193"/>
  <c r="Z43" i="193" s="1"/>
  <c r="AB43" i="193" s="1"/>
  <c r="J43" i="193"/>
  <c r="H43" i="193"/>
  <c r="K43" i="193" s="1"/>
  <c r="T37" i="193"/>
  <c r="AA37" i="193" s="1"/>
  <c r="M33" i="193"/>
  <c r="N33" i="193"/>
  <c r="T33" i="193" s="1"/>
  <c r="N42" i="193"/>
  <c r="T42" i="193" s="1"/>
  <c r="M42" i="193"/>
  <c r="P39" i="193"/>
  <c r="R39" i="193" s="1"/>
  <c r="I39" i="193"/>
  <c r="L39" i="193"/>
  <c r="X39" i="193"/>
  <c r="S39" i="193"/>
  <c r="Y39" i="193"/>
  <c r="Z39" i="193" s="1"/>
  <c r="AB39" i="193" s="1"/>
  <c r="H32" i="193"/>
  <c r="K32" i="193" s="1"/>
  <c r="N31" i="193"/>
  <c r="T31" i="193" s="1"/>
  <c r="M31" i="193"/>
  <c r="H39" i="193"/>
  <c r="K39" i="193" s="1"/>
  <c r="M38" i="193"/>
  <c r="N38" i="193"/>
  <c r="T38" i="193" s="1"/>
  <c r="M41" i="193"/>
  <c r="N41" i="193"/>
  <c r="T41" i="193" s="1"/>
  <c r="N35" i="193"/>
  <c r="T35" i="193" s="1"/>
  <c r="M35" i="193"/>
  <c r="S32" i="193"/>
  <c r="L32" i="193"/>
  <c r="P32" i="193"/>
  <c r="R32" i="193" s="1"/>
  <c r="X32" i="193"/>
  <c r="Y32" i="193"/>
  <c r="Z32" i="193" s="1"/>
  <c r="AB32" i="193" s="1"/>
  <c r="I32" i="193"/>
  <c r="N36" i="193"/>
  <c r="T36" i="193" s="1"/>
  <c r="M36" i="193"/>
  <c r="P21" i="193"/>
  <c r="I21" i="193"/>
  <c r="M21" i="193" s="1"/>
  <c r="T25" i="193"/>
  <c r="AA25" i="193" s="1"/>
  <c r="S21" i="193"/>
  <c r="X21" i="193"/>
  <c r="Y21" i="193"/>
  <c r="Z21" i="193" s="1"/>
  <c r="AB21" i="193" s="1"/>
  <c r="AA24" i="193"/>
  <c r="U24" i="193"/>
  <c r="V24" i="193"/>
  <c r="AC24" i="193"/>
  <c r="AD24" i="193" s="1"/>
  <c r="H29" i="193"/>
  <c r="K29" i="193" s="1"/>
  <c r="AC26" i="193"/>
  <c r="AD26" i="193" s="1"/>
  <c r="I29" i="193"/>
  <c r="P29" i="193"/>
  <c r="R29" i="193" s="1"/>
  <c r="S29" i="193"/>
  <c r="L29" i="193"/>
  <c r="X29" i="193"/>
  <c r="Y29" i="193"/>
  <c r="Z29" i="193" s="1"/>
  <c r="AB29" i="193" s="1"/>
  <c r="L22" i="193"/>
  <c r="Y22" i="193"/>
  <c r="Z22" i="193" s="1"/>
  <c r="AB22" i="193" s="1"/>
  <c r="S22" i="193"/>
  <c r="P22" i="193"/>
  <c r="I22" i="193"/>
  <c r="X22" i="193"/>
  <c r="F20" i="193"/>
  <c r="B14" i="193" s="1"/>
  <c r="K22" i="193"/>
  <c r="N30" i="193"/>
  <c r="T30" i="193" s="1"/>
  <c r="M30" i="193"/>
  <c r="J22" i="193"/>
  <c r="AC27" i="193" l="1"/>
  <c r="AD27" i="193" s="1"/>
  <c r="AC34" i="193"/>
  <c r="AD34" i="193" s="1"/>
  <c r="V34" i="193"/>
  <c r="T23" i="193"/>
  <c r="AA23" i="193" s="1"/>
  <c r="AC33" i="193"/>
  <c r="AD33" i="193" s="1"/>
  <c r="U34" i="193"/>
  <c r="T28" i="193"/>
  <c r="AA28" i="193" s="1"/>
  <c r="AA26" i="193"/>
  <c r="J21" i="193"/>
  <c r="J20" i="193" s="1"/>
  <c r="U26" i="193"/>
  <c r="T27" i="193"/>
  <c r="U27" i="193" s="1"/>
  <c r="M28" i="193"/>
  <c r="AC28" i="193"/>
  <c r="AD28" i="193" s="1"/>
  <c r="G20" i="193"/>
  <c r="C14" i="193" s="1"/>
  <c r="Y20" i="193"/>
  <c r="V37" i="193"/>
  <c r="AC36" i="193"/>
  <c r="AD36" i="193" s="1"/>
  <c r="AC42" i="193"/>
  <c r="AD42" i="193" s="1"/>
  <c r="U37" i="193"/>
  <c r="AC35" i="193"/>
  <c r="AD35" i="193" s="1"/>
  <c r="Q32" i="193"/>
  <c r="AC31" i="193"/>
  <c r="AD31" i="193" s="1"/>
  <c r="AC38" i="193"/>
  <c r="AD38" i="193" s="1"/>
  <c r="N43" i="193"/>
  <c r="T43" i="193" s="1"/>
  <c r="M43" i="193"/>
  <c r="V38" i="193"/>
  <c r="U38" i="193"/>
  <c r="AA38" i="193"/>
  <c r="AA42" i="193"/>
  <c r="U42" i="193"/>
  <c r="V42" i="193"/>
  <c r="AA41" i="193"/>
  <c r="V41" i="193"/>
  <c r="U41" i="193"/>
  <c r="U31" i="193"/>
  <c r="V31" i="193"/>
  <c r="AA31" i="193"/>
  <c r="N39" i="193"/>
  <c r="T39" i="193" s="1"/>
  <c r="M39" i="193"/>
  <c r="AC41" i="193"/>
  <c r="AD41" i="193" s="1"/>
  <c r="R21" i="193"/>
  <c r="Q40" i="193"/>
  <c r="Q34" i="193"/>
  <c r="Q37" i="193"/>
  <c r="Q43" i="193"/>
  <c r="Q35" i="193"/>
  <c r="Q38" i="193"/>
  <c r="Q33" i="193"/>
  <c r="Q31" i="193"/>
  <c r="Q41" i="193"/>
  <c r="Q36" i="193"/>
  <c r="Q42" i="193"/>
  <c r="V33" i="193"/>
  <c r="AA33" i="193"/>
  <c r="U33" i="193"/>
  <c r="AA35" i="193"/>
  <c r="U35" i="193"/>
  <c r="V35" i="193"/>
  <c r="Q39" i="193"/>
  <c r="N32" i="193"/>
  <c r="T32" i="193" s="1"/>
  <c r="M32" i="193"/>
  <c r="U36" i="193"/>
  <c r="AA36" i="193"/>
  <c r="V36" i="193"/>
  <c r="Q21" i="193"/>
  <c r="Q29" i="193"/>
  <c r="N21" i="193"/>
  <c r="U25" i="193"/>
  <c r="V25" i="193"/>
  <c r="K20" i="193"/>
  <c r="AB20" i="193"/>
  <c r="Q22" i="193"/>
  <c r="R22" i="193"/>
  <c r="H20" i="193"/>
  <c r="D14" i="193" s="1"/>
  <c r="L20" i="193"/>
  <c r="E14" i="193" s="1"/>
  <c r="V30" i="193"/>
  <c r="AA30" i="193"/>
  <c r="U30" i="193"/>
  <c r="S20" i="193"/>
  <c r="Q28" i="193"/>
  <c r="Q25" i="193"/>
  <c r="Q30" i="193"/>
  <c r="Q27" i="193"/>
  <c r="Z20" i="193"/>
  <c r="Q23" i="193"/>
  <c r="Q26" i="193"/>
  <c r="Q24" i="193"/>
  <c r="N29" i="193"/>
  <c r="AC29" i="193" s="1"/>
  <c r="AD29" i="193" s="1"/>
  <c r="M29" i="193"/>
  <c r="AC30" i="193"/>
  <c r="AD30" i="193" s="1"/>
  <c r="N22" i="193"/>
  <c r="M22" i="193"/>
  <c r="I20" i="193"/>
  <c r="T21" i="193" l="1"/>
  <c r="U23" i="193"/>
  <c r="V23" i="193"/>
  <c r="U28" i="193"/>
  <c r="V28" i="193"/>
  <c r="AC21" i="193"/>
  <c r="AD21" i="193" s="1"/>
  <c r="H4" i="197"/>
  <c r="H10" i="197" s="1"/>
  <c r="B4" i="197"/>
  <c r="B10" i="197" s="1"/>
  <c r="J4" i="197"/>
  <c r="J10" i="197" s="1"/>
  <c r="D4" i="197"/>
  <c r="D10" i="197" s="1"/>
  <c r="V27" i="193"/>
  <c r="AA27" i="193"/>
  <c r="P4" i="197"/>
  <c r="P10" i="197" s="1"/>
  <c r="N4" i="197"/>
  <c r="N10" i="197" s="1"/>
  <c r="AC39" i="193"/>
  <c r="AD39" i="193" s="1"/>
  <c r="AC43" i="193"/>
  <c r="AD43" i="193" s="1"/>
  <c r="V43" i="193"/>
  <c r="AA43" i="193"/>
  <c r="U43" i="193"/>
  <c r="U32" i="193"/>
  <c r="V32" i="193"/>
  <c r="AA32" i="193"/>
  <c r="AC32" i="193"/>
  <c r="AD32" i="193" s="1"/>
  <c r="AA39" i="193"/>
  <c r="U39" i="193"/>
  <c r="V39" i="193"/>
  <c r="R20" i="193"/>
  <c r="V21" i="193"/>
  <c r="T29" i="193"/>
  <c r="AA29" i="193" s="1"/>
  <c r="N20" i="193"/>
  <c r="X20" i="193"/>
  <c r="AC22" i="193"/>
  <c r="T22" i="193"/>
  <c r="W21" i="193" l="1"/>
  <c r="V29" i="193"/>
  <c r="U21" i="193"/>
  <c r="AA21" i="193"/>
  <c r="U29" i="193"/>
  <c r="AA22" i="193"/>
  <c r="U22" i="193"/>
  <c r="T20" i="193"/>
  <c r="V22" i="193"/>
  <c r="AD22" i="193"/>
  <c r="AC20" i="193"/>
  <c r="W37" i="193" l="1"/>
  <c r="W39" i="193"/>
  <c r="W40" i="193"/>
  <c r="W38" i="193"/>
  <c r="W34" i="193"/>
  <c r="W33" i="193"/>
  <c r="W32" i="193"/>
  <c r="W41" i="193"/>
  <c r="W35" i="193"/>
  <c r="W42" i="193"/>
  <c r="W43" i="193"/>
  <c r="W31" i="193"/>
  <c r="W36" i="193"/>
  <c r="U20" i="193"/>
  <c r="I14" i="193" s="1"/>
  <c r="K14" i="193"/>
  <c r="AA20" i="193"/>
  <c r="F14" i="193"/>
  <c r="W29" i="193"/>
  <c r="W22" i="193"/>
  <c r="W27" i="193"/>
  <c r="W24" i="193"/>
  <c r="W23" i="193"/>
  <c r="J14" i="193"/>
  <c r="W26" i="193"/>
  <c r="W28" i="193"/>
  <c r="V20" i="193"/>
  <c r="W25" i="193"/>
  <c r="W30" i="193"/>
  <c r="L14" i="193"/>
  <c r="AD20" i="193"/>
  <c r="G14" i="193"/>
  <c r="H14" i="193"/>
  <c r="W20" i="19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Amir</author>
  </authors>
  <commentList>
    <comment ref="G6" authorId="0" shapeId="0" xr:uid="{00000000-0006-0000-0200-000001000000}">
      <text>
        <r>
          <rPr>
            <b/>
            <sz val="9"/>
            <color indexed="81"/>
            <rFont val="Tahoma"/>
            <family val="2"/>
          </rPr>
          <t>Amir:</t>
        </r>
        <r>
          <rPr>
            <sz val="9"/>
            <color indexed="81"/>
            <rFont val="Tahoma"/>
            <family val="2"/>
          </rPr>
          <t xml:space="preserve">
L and T erfers to Longitudinal and Transverse fractures.</t>
        </r>
      </text>
    </comment>
  </commentList>
</comments>
</file>

<file path=xl/sharedStrings.xml><?xml version="1.0" encoding="utf-8"?>
<sst xmlns="http://schemas.openxmlformats.org/spreadsheetml/2006/main" count="312" uniqueCount="235">
  <si>
    <t>Year</t>
  </si>
  <si>
    <t>Since Start</t>
  </si>
  <si>
    <t>Total</t>
  </si>
  <si>
    <t>Var. OpEx</t>
  </si>
  <si>
    <t>Unit OpCost</t>
  </si>
  <si>
    <t>(Enter data in blue font, yellow background)</t>
  </si>
  <si>
    <t>$/Oil bbl</t>
  </si>
  <si>
    <t>$/Water bbl</t>
  </si>
  <si>
    <t>$/Gas Mcf</t>
  </si>
  <si>
    <t>Var. Water</t>
  </si>
  <si>
    <t>Var. Oil</t>
  </si>
  <si>
    <t>Var. Gas</t>
  </si>
  <si>
    <t>Oil Production Rates (bbl/d)</t>
  </si>
  <si>
    <t>Water Production Rates (bbl/d)</t>
  </si>
  <si>
    <t>Gas Production Rates (Mcf/d)</t>
  </si>
  <si>
    <t>Production</t>
  </si>
  <si>
    <t>Injection</t>
  </si>
  <si>
    <t>Total Inj. Water</t>
  </si>
  <si>
    <t>Var. Inj. Water</t>
  </si>
  <si>
    <t>Pattern Count</t>
  </si>
  <si>
    <t>Total Well OpCost</t>
  </si>
  <si>
    <t>Other Fixed</t>
  </si>
  <si>
    <t>Annual Unit Well OpCost</t>
  </si>
  <si>
    <t>HZ Producer</t>
  </si>
  <si>
    <t>HZ Injector</t>
  </si>
  <si>
    <t># of HZ Producers</t>
  </si>
  <si>
    <t># of HZ Injectors</t>
  </si>
  <si>
    <t>Discount rate</t>
  </si>
  <si>
    <t>Commodity Price</t>
  </si>
  <si>
    <t>Oil ($/bbl)</t>
  </si>
  <si>
    <t>Gas ($/Mcf)</t>
  </si>
  <si>
    <t>Quantity (bbl/d)</t>
  </si>
  <si>
    <t>Quantity Royalty Rate</t>
  </si>
  <si>
    <t>Price ($/bbl)</t>
  </si>
  <si>
    <t>Price Royalty Rate</t>
  </si>
  <si>
    <t>Combined Royalty Rate per Well</t>
  </si>
  <si>
    <t>To qualify a well event must meet the following criteria:</t>
  </si>
  <si>
    <t>The well event must be an oil or non-project oil sands well event, and</t>
  </si>
  <si>
    <t>The well event must have a Crown interest greater than zero, and</t>
  </si>
  <si>
    <t>The spud date is on or after May 1, 2010.</t>
  </si>
  <si>
    <t>The volume cap is calculated using Crown production</t>
  </si>
  <si>
    <t xml:space="preserve">The depth is defined as the measured distance along the bore of the well from the kelly bushing to the end of the longest Horizontal Oil well event plus all additional horizontal laterals (Measured Depth minus Kick off Point of the Well Event) in a continuous drilling operation (no rig release).  Each drilled metre is to be counted only once. </t>
  </si>
  <si>
    <t xml:space="preserve">All horizontal oil well events or legs that qualify will contribute to a single volume cap and a single production month cap at the well level. </t>
  </si>
  <si>
    <t xml:space="preserve">The well event must be identified as a horizontal well event according to the records of the ERCB. </t>
  </si>
  <si>
    <t>Total Depth (MD)</t>
  </si>
  <si>
    <t>From (m)</t>
  </si>
  <si>
    <t>To (m)</t>
  </si>
  <si>
    <t>Volume Cap (boe, all inclusive)</t>
  </si>
  <si>
    <t>(m3)</t>
  </si>
  <si>
    <t>(bbl)</t>
  </si>
  <si>
    <t>Production Time Cap</t>
  </si>
  <si>
    <t>(months)</t>
  </si>
  <si>
    <t>(years)</t>
  </si>
  <si>
    <t>A well event deepened, lengthened, reactivated, or re-entered would not qualify.</t>
  </si>
  <si>
    <t>A gas over bitumen well event as per ERCB shut-in order would not qualify.</t>
  </si>
  <si>
    <t xml:space="preserve">All products produced from the horizontal oil well event qualify for the 5% maximum royalty rate and all products contribute to the caps (gas currently with 10:1 Mcf to boe conversion). </t>
  </si>
  <si>
    <t>Unit OpCost ($/bbl)</t>
  </si>
  <si>
    <t>Summary</t>
  </si>
  <si>
    <t>F &amp; D ($/bbl)</t>
  </si>
  <si>
    <t>Recycle Ratio</t>
  </si>
  <si>
    <t>Net Back ($/bbl)</t>
  </si>
  <si>
    <t>Working Interest</t>
  </si>
  <si>
    <t>($/boe)</t>
  </si>
  <si>
    <t>Total OpCost</t>
  </si>
  <si>
    <r>
      <t xml:space="preserve">PennWest </t>
    </r>
    <r>
      <rPr>
        <b/>
        <sz val="16"/>
        <color rgb="FFFF0000"/>
        <rFont val="Arial"/>
        <family val="2"/>
      </rPr>
      <t>Exploration</t>
    </r>
    <r>
      <rPr>
        <b/>
        <sz val="16"/>
        <rFont val="Arial"/>
        <family val="2"/>
      </rPr>
      <t xml:space="preserve"> </t>
    </r>
    <r>
      <rPr>
        <b/>
        <sz val="16"/>
        <color rgb="FF009900"/>
        <rFont val="Arial"/>
        <family val="2"/>
      </rPr>
      <t xml:space="preserve">IOR &amp; EOR Planning </t>
    </r>
    <r>
      <rPr>
        <b/>
        <i/>
        <sz val="12"/>
        <rFont val="Arial"/>
        <family val="2"/>
      </rPr>
      <t>- v.2012 .April</t>
    </r>
  </si>
  <si>
    <t>Internal Rate of Return (IRR)</t>
  </si>
  <si>
    <t>Profit Investment Ratio (PIR)</t>
  </si>
  <si>
    <t xml:space="preserve">Injection </t>
  </si>
  <si>
    <t>TIME</t>
  </si>
  <si>
    <t>DATE</t>
  </si>
  <si>
    <t>Oil Rate SC - Yearly</t>
  </si>
  <si>
    <t>Gas Rate SC - Yearly</t>
  </si>
  <si>
    <t>Water Rate SC - Yearly</t>
  </si>
  <si>
    <t>CO2 Rate SC - Yearly</t>
  </si>
  <si>
    <t>(yr)</t>
  </si>
  <si>
    <t>(bbl/day)</t>
  </si>
  <si>
    <t>(MSCF/day)</t>
  </si>
  <si>
    <t>Oil</t>
  </si>
  <si>
    <t>Gas</t>
  </si>
  <si>
    <t>NGL ($/bbl)</t>
  </si>
  <si>
    <t>NGL</t>
  </si>
  <si>
    <t>Oil (bbl)</t>
  </si>
  <si>
    <t>Gas (Mcf)</t>
  </si>
  <si>
    <t>NGL (bbl)</t>
  </si>
  <si>
    <t>Producers</t>
  </si>
  <si>
    <t>Well Count</t>
  </si>
  <si>
    <t>Total Sales Revenue (M$)</t>
  </si>
  <si>
    <t>CapEx (M$)</t>
  </si>
  <si>
    <t>Total Sales Volume</t>
  </si>
  <si>
    <t>Injectors</t>
  </si>
  <si>
    <t>Total Well Count</t>
  </si>
  <si>
    <t>Royalty Code</t>
  </si>
  <si>
    <t>(Mbbl)</t>
  </si>
  <si>
    <t>(MMcf)</t>
  </si>
  <si>
    <t>(M$)</t>
  </si>
  <si>
    <t>$/CO2 Mcf</t>
  </si>
  <si>
    <t>Cut-off ($/boe)</t>
  </si>
  <si>
    <t>CO2 Injection Rates (Mcf/d)</t>
  </si>
  <si>
    <t>CO2 Production Rates (Mcf/d)</t>
  </si>
  <si>
    <t>Total Inj. CO2</t>
  </si>
  <si>
    <t>Var. CO2</t>
  </si>
  <si>
    <t>Var. Inj. CO2</t>
  </si>
  <si>
    <t>OpCost (M$)</t>
  </si>
  <si>
    <t>Reference 1: Alberta Oil Well Revised Royalty Rates - Conventional Oil - Effective January 1st, 2011</t>
  </si>
  <si>
    <t>Reference 2: Alberta New Oil Horizontal Well Royalty Holidays  - Eligibility of 5% Maximum Royalty</t>
  </si>
  <si>
    <t>Oil Rate for Royalty Formula (bbl/d/well)</t>
  </si>
  <si>
    <t>Oil Cum for Royalty Formula (bbls/well)</t>
  </si>
  <si>
    <t>*Gas royalty is proximated with oil royalty for simplicity in this study.</t>
  </si>
  <si>
    <t>Regular Royalty Rate (%)</t>
  </si>
  <si>
    <t>Royalty with Holiday Treatments (%)</t>
  </si>
  <si>
    <t>Operating Costs</t>
  </si>
  <si>
    <t>Discounted Cash Flow (M$)</t>
  </si>
  <si>
    <t>Net Cash Flow (M$)</t>
  </si>
  <si>
    <t>Cum Cash Flow (M$)</t>
  </si>
  <si>
    <t>Start Year</t>
  </si>
  <si>
    <t>Drilling, Completion &amp; Tie-in Cost (M$)</t>
  </si>
  <si>
    <t>Completion Strategy</t>
  </si>
  <si>
    <t>Basic Cost/Well (M$)</t>
  </si>
  <si>
    <t>Addtional Cost/Frac (M$/100ftHL)</t>
  </si>
  <si>
    <t>Water Injector Conversion (M$)</t>
  </si>
  <si>
    <t>CO2 Injector Conversion (M$)</t>
  </si>
  <si>
    <t>Remark</t>
  </si>
  <si>
    <t>Total Reserves</t>
  </si>
  <si>
    <t>Capital Spending</t>
  </si>
  <si>
    <t>Sales Cash Flow (M$)</t>
  </si>
  <si>
    <t>CO2 Storage (%)</t>
  </si>
  <si>
    <t>Suzy</t>
  </si>
  <si>
    <t>Water Injection Rates (bbl/day)</t>
  </si>
  <si>
    <t>#Frac./Well</t>
  </si>
  <si>
    <t>Frac. HFL</t>
  </si>
  <si>
    <t>L</t>
  </si>
  <si>
    <t>T</t>
  </si>
  <si>
    <t>Fractures' Direction</t>
  </si>
  <si>
    <t>Total Prod. Oil</t>
  </si>
  <si>
    <t>Total Prod. Gas</t>
  </si>
  <si>
    <t>Total Prod. Water</t>
  </si>
  <si>
    <t>Total Prod. CO2</t>
  </si>
  <si>
    <t>Oil Price ($/bbl)</t>
  </si>
  <si>
    <t>Esc. Factor</t>
  </si>
  <si>
    <t>Overal Conversion Factor</t>
  </si>
  <si>
    <t>Flood performance factor</t>
  </si>
  <si>
    <t>Run No.</t>
  </si>
  <si>
    <t>Commodity Prices</t>
  </si>
  <si>
    <t>Water ($/bbl)</t>
  </si>
  <si>
    <t>Fluid Production Cost</t>
  </si>
  <si>
    <t>Water diposal ($/bbl)</t>
  </si>
  <si>
    <t>Avg. Unit Operation Cost</t>
  </si>
  <si>
    <r>
      <t>CO</t>
    </r>
    <r>
      <rPr>
        <vertAlign val="subscript"/>
        <sz val="10"/>
        <rFont val="Arial"/>
        <family val="2"/>
      </rPr>
      <t>2</t>
    </r>
    <r>
      <rPr>
        <sz val="10"/>
        <rFont val="Arial"/>
        <family val="2"/>
      </rPr>
      <t xml:space="preserve"> ($/Mcf)</t>
    </r>
  </si>
  <si>
    <r>
      <t>CO</t>
    </r>
    <r>
      <rPr>
        <vertAlign val="subscript"/>
        <sz val="10"/>
        <rFont val="Arial"/>
        <family val="2"/>
      </rPr>
      <t>2</t>
    </r>
    <r>
      <rPr>
        <sz val="10"/>
        <rFont val="Arial"/>
        <family val="2"/>
      </rPr>
      <t xml:space="preserve"> Recycling ($/Mcf)</t>
    </r>
  </si>
  <si>
    <t>Fluid Injection Cost</t>
  </si>
  <si>
    <t>Flood Performance Factor</t>
  </si>
  <si>
    <t>(Dimensionless)</t>
  </si>
  <si>
    <t>Factor A</t>
  </si>
  <si>
    <t>Factor B</t>
  </si>
  <si>
    <t>Factor C</t>
  </si>
  <si>
    <t>(M$/Hz-Well)</t>
  </si>
  <si>
    <t>Factor E</t>
  </si>
  <si>
    <t>Factor F</t>
  </si>
  <si>
    <t>Factor H</t>
  </si>
  <si>
    <t>Factor G</t>
  </si>
  <si>
    <t>Factor I</t>
  </si>
  <si>
    <t>Factor J</t>
  </si>
  <si>
    <t>Factor K</t>
  </si>
  <si>
    <t>Discount Rate</t>
  </si>
  <si>
    <t>Factor L</t>
  </si>
  <si>
    <t>(MM$)</t>
  </si>
  <si>
    <t>Tax Rate</t>
  </si>
  <si>
    <t>Factor M</t>
  </si>
  <si>
    <t>Oil-lift  ($/bbl)</t>
  </si>
  <si>
    <t>Gas Process ($/Mcf)</t>
  </si>
  <si>
    <t>Name</t>
  </si>
  <si>
    <t>Units</t>
  </si>
  <si>
    <t>Type</t>
  </si>
  <si>
    <t>Levels</t>
  </si>
  <si>
    <t>L[1]</t>
  </si>
  <si>
    <t>L[2]</t>
  </si>
  <si>
    <t>L[3]</t>
  </si>
  <si>
    <t>L[4]</t>
  </si>
  <si>
    <t>Oil_Price</t>
  </si>
  <si>
    <t>($/bbl)</t>
  </si>
  <si>
    <t>Discrete</t>
  </si>
  <si>
    <t>Gas_Price</t>
  </si>
  <si>
    <t>($/Mcf)</t>
  </si>
  <si>
    <t>(M$/HWell)</t>
  </si>
  <si>
    <t>CO2Inj_Cost</t>
  </si>
  <si>
    <t>($/Mscf)</t>
  </si>
  <si>
    <t>WaterInj_Cost</t>
  </si>
  <si>
    <t>OilLift_Cost</t>
  </si>
  <si>
    <t>GasProcess_Cost</t>
  </si>
  <si>
    <t>WaterProduction_Cost</t>
  </si>
  <si>
    <t>CO2Recycling_Cost</t>
  </si>
  <si>
    <t>AvgUnitOperation_Cost</t>
  </si>
  <si>
    <t>FPF</t>
  </si>
  <si>
    <t>Discount_Rate</t>
  </si>
  <si>
    <t>(fraction)</t>
  </si>
  <si>
    <t>Commodity Base Prices</t>
  </si>
  <si>
    <t>Risk Factors</t>
  </si>
  <si>
    <t>(M$/Well)</t>
  </si>
  <si>
    <t>Total Fluid Volumes Associated with Opearting Cost</t>
  </si>
  <si>
    <t>Volume Rates</t>
  </si>
  <si>
    <t xml:space="preserve"> </t>
  </si>
  <si>
    <t>Oil Price Esc. Factor</t>
  </si>
  <si>
    <t>Gas Price ($/Mcf)</t>
  </si>
  <si>
    <t>Min Price</t>
  </si>
  <si>
    <t>Max Price</t>
  </si>
  <si>
    <t>Oil_Price_EscFac</t>
  </si>
  <si>
    <t>CO2_Royalty</t>
  </si>
  <si>
    <t>CO2 Royalty</t>
  </si>
  <si>
    <t>Factor D</t>
  </si>
  <si>
    <r>
      <t>CO</t>
    </r>
    <r>
      <rPr>
        <b/>
        <vertAlign val="subscript"/>
        <sz val="10"/>
        <rFont val="Arial"/>
        <family val="2"/>
      </rPr>
      <t>2</t>
    </r>
    <r>
      <rPr>
        <b/>
        <sz val="10"/>
        <rFont val="Arial"/>
        <family val="2"/>
      </rPr>
      <t xml:space="preserve"> Royalty Factor</t>
    </r>
  </si>
  <si>
    <r>
      <t>CO2 Incentive ($/Tonnes CO</t>
    </r>
    <r>
      <rPr>
        <b/>
        <vertAlign val="subscript"/>
        <sz val="10"/>
        <rFont val="Arial"/>
        <family val="2"/>
      </rPr>
      <t>2</t>
    </r>
    <r>
      <rPr>
        <b/>
        <sz val="10"/>
        <rFont val="Arial"/>
        <family val="2"/>
      </rPr>
      <t>)</t>
    </r>
  </si>
  <si>
    <t>NPV              (MM$)</t>
  </si>
  <si>
    <t>CO2 Stored Vol.          (MMcf)</t>
  </si>
  <si>
    <t xml:space="preserve">Maximum NPV       (MM$) </t>
  </si>
  <si>
    <t>Minimum NPV (MM$)</t>
  </si>
  <si>
    <t>Minimum NPV                  (MM$)</t>
  </si>
  <si>
    <t>Maximum Profit ($/boe)</t>
  </si>
  <si>
    <t>Minimum Profit  ($/boe)</t>
  </si>
  <si>
    <r>
      <t>With CO</t>
    </r>
    <r>
      <rPr>
        <b/>
        <vertAlign val="subscript"/>
        <sz val="12"/>
        <rFont val="Arial"/>
        <family val="2"/>
      </rPr>
      <t>2</t>
    </r>
    <r>
      <rPr>
        <b/>
        <sz val="12"/>
        <rFont val="Arial"/>
        <family val="2"/>
      </rPr>
      <t>-Storage Incentive</t>
    </r>
  </si>
  <si>
    <t>NPV                        (Without Incentive)</t>
  </si>
  <si>
    <t>NPV                                   (With Storage Incentive)</t>
  </si>
  <si>
    <t xml:space="preserve">Storage Incentivized NPV         (MM$) </t>
  </si>
  <si>
    <t>NPV                                   (With RC Incentive)</t>
  </si>
  <si>
    <t>With RC Incentive</t>
  </si>
  <si>
    <t>A</t>
  </si>
  <si>
    <t>B</t>
  </si>
  <si>
    <t>C</t>
  </si>
  <si>
    <t>D</t>
  </si>
  <si>
    <t>Without Any Incentive</t>
  </si>
  <si>
    <t>CO2-Storage Incentivized                                          Net Cash Flow (M$)</t>
  </si>
  <si>
    <t>RC Incentivized                                          Net Cash Flow (M$)</t>
  </si>
  <si>
    <t>RC Incentivized</t>
  </si>
  <si>
    <t xml:space="preserve">RC Incentivized NPV             (MM$) </t>
  </si>
  <si>
    <t>CO2         Stored Mass (Kilotonne)</t>
  </si>
  <si>
    <t>RC Incentivized Sales Cash Flow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</si>
</sst>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quot;$&quot;* #,##0.00_-;_-&quot;$&quot;* &quot;-&quot;??_-;_-@_-"/>
    <numFmt numFmtId="43" formatCode="_-* #,##0.00_-;\-* #,##0.00_-;_-* &quot;-&quot;??_-;_-@_-"/>
    <numFmt numFmtId="164" formatCode="0.0"/>
    <numFmt numFmtId="165" formatCode="#,##0.0"/>
    <numFmt numFmtId="166" formatCode="0.000"/>
    <numFmt numFmtId="167" formatCode="0.0%"/>
    <numFmt numFmtId="168" formatCode="dd/mm/yyyy"/>
    <numFmt numFmtId="169" formatCode="#,##0.000"/>
    <numFmt numFmtId="170" formatCode="0.0000"/>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6"/>
      <name val="Arial"/>
      <family val="2"/>
    </font>
    <font>
      <b/>
      <sz val="10"/>
      <name val="Arial"/>
      <family val="2"/>
    </font>
    <font>
      <b/>
      <sz val="10"/>
      <color indexed="12"/>
      <name val="Arial"/>
      <family val="2"/>
    </font>
    <font>
      <sz val="8"/>
      <name val="Arial"/>
      <family val="2"/>
    </font>
    <font>
      <b/>
      <sz val="12"/>
      <name val="Arial"/>
      <family val="2"/>
    </font>
    <font>
      <b/>
      <sz val="10"/>
      <color indexed="17"/>
      <name val="Arial"/>
      <family val="2"/>
    </font>
    <font>
      <b/>
      <i/>
      <sz val="10"/>
      <name val="Arial"/>
      <family val="2"/>
    </font>
    <font>
      <sz val="10"/>
      <name val="Arial"/>
      <family val="2"/>
    </font>
    <font>
      <b/>
      <sz val="10"/>
      <color indexed="12"/>
      <name val="Arial"/>
      <family val="2"/>
    </font>
    <font>
      <sz val="11"/>
      <color theme="1"/>
      <name val="Calibri"/>
      <family val="2"/>
      <scheme val="minor"/>
    </font>
    <font>
      <b/>
      <sz val="10"/>
      <color rgb="FF800000"/>
      <name val="Arial"/>
      <family val="2"/>
    </font>
    <font>
      <sz val="10"/>
      <color theme="1"/>
      <name val="Arial"/>
      <family val="2"/>
    </font>
    <font>
      <b/>
      <sz val="16"/>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i/>
      <u/>
      <sz val="14"/>
      <color rgb="FFFF0000"/>
      <name val="Arial"/>
      <family val="2"/>
    </font>
    <font>
      <b/>
      <i/>
      <u/>
      <sz val="12"/>
      <name val="Arial"/>
      <family val="2"/>
    </font>
    <font>
      <b/>
      <sz val="14"/>
      <color rgb="FFFF0000"/>
      <name val="Arial"/>
      <family val="2"/>
    </font>
    <font>
      <b/>
      <sz val="16"/>
      <color rgb="FF009900"/>
      <name val="Arial"/>
      <family val="2"/>
    </font>
    <font>
      <b/>
      <i/>
      <sz val="12"/>
      <name val="Arial"/>
      <family val="2"/>
    </font>
    <font>
      <b/>
      <i/>
      <sz val="10"/>
      <color rgb="FFFF0000"/>
      <name val="Arial"/>
      <family val="2"/>
    </font>
    <font>
      <b/>
      <sz val="14"/>
      <color theme="1"/>
      <name val="Calibri"/>
      <family val="2"/>
      <scheme val="minor"/>
    </font>
    <font>
      <b/>
      <sz val="12"/>
      <color theme="1"/>
      <name val="Calibri"/>
      <family val="2"/>
      <scheme val="minor"/>
    </font>
    <font>
      <b/>
      <sz val="11"/>
      <color theme="1"/>
      <name val="Arial"/>
      <family val="2"/>
    </font>
    <font>
      <b/>
      <sz val="10"/>
      <color theme="1"/>
      <name val="Arial"/>
      <family val="2"/>
    </font>
    <font>
      <sz val="9"/>
      <color indexed="81"/>
      <name val="Tahoma"/>
      <family val="2"/>
    </font>
    <font>
      <b/>
      <sz val="9"/>
      <color indexed="81"/>
      <name val="Tahoma"/>
      <family val="2"/>
    </font>
    <font>
      <vertAlign val="subscript"/>
      <sz val="10"/>
      <name val="Arial"/>
      <family val="2"/>
    </font>
    <font>
      <b/>
      <sz val="11"/>
      <name val="Arial"/>
      <family val="2"/>
    </font>
    <font>
      <b/>
      <sz val="12"/>
      <color rgb="FF000000"/>
      <name val="Arial"/>
      <family val="2"/>
    </font>
    <font>
      <sz val="12"/>
      <name val="Arial"/>
      <family val="2"/>
    </font>
    <font>
      <b/>
      <sz val="14"/>
      <name val="Arial"/>
      <family val="2"/>
    </font>
    <font>
      <b/>
      <sz val="12"/>
      <color rgb="FFFF0000"/>
      <name val="Calibri"/>
      <family val="2"/>
      <scheme val="minor"/>
    </font>
    <font>
      <b/>
      <sz val="12"/>
      <color rgb="FF0000FF"/>
      <name val="Calibri"/>
      <family val="2"/>
      <scheme val="minor"/>
    </font>
    <font>
      <b/>
      <sz val="10"/>
      <color rgb="FF0000FF"/>
      <name val="Arial"/>
      <family val="2"/>
    </font>
    <font>
      <b/>
      <i/>
      <sz val="11"/>
      <name val="Arial"/>
      <family val="2"/>
    </font>
    <font>
      <b/>
      <i/>
      <sz val="10"/>
      <color rgb="FF0000FF"/>
      <name val="Arial"/>
      <family val="2"/>
    </font>
    <font>
      <i/>
      <sz val="11"/>
      <name val="Arial"/>
      <family val="2"/>
    </font>
    <font>
      <b/>
      <i/>
      <sz val="10"/>
      <color theme="9" tint="-0.499984740745262"/>
      <name val="Arial"/>
      <family val="2"/>
    </font>
    <font>
      <b/>
      <vertAlign val="subscript"/>
      <sz val="10"/>
      <name val="Arial"/>
      <family val="2"/>
    </font>
    <font>
      <b/>
      <sz val="10"/>
      <color theme="9" tint="-0.499984740745262"/>
      <name val="Arial"/>
      <family val="2"/>
    </font>
    <font>
      <b/>
      <vertAlign val="subscript"/>
      <sz val="12"/>
      <name val="Arial"/>
      <family val="2"/>
    </font>
    <font>
      <i/>
      <sz val="11"/>
      <color theme="1"/>
      <name val="Arial"/>
      <family val="2"/>
    </font>
    <font>
      <b/>
      <i/>
      <sz val="11"/>
      <color theme="1"/>
      <name val="Arial"/>
      <family val="2"/>
    </font>
    <font>
      <b/>
      <sz val="9"/>
      <name val="Arial"/>
      <family val="2"/>
    </font>
  </fonts>
  <fills count="58">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CFFCC"/>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9" tint="0.39997558519241921"/>
        <bgColor indexed="64"/>
      </patternFill>
    </fill>
    <fill>
      <patternFill patternType="solid">
        <fgColor rgb="FF99FFCC"/>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FF66"/>
        <bgColor indexed="64"/>
      </patternFill>
    </fill>
    <fill>
      <patternFill patternType="mediumGray"/>
    </fill>
    <fill>
      <patternFill patternType="solid">
        <fgColor theme="9" tint="0.79998168889431442"/>
        <bgColor indexed="64"/>
      </patternFill>
    </fill>
    <fill>
      <patternFill patternType="solid">
        <fgColor theme="6" tint="0.79998168889431442"/>
        <bgColor indexed="64"/>
      </patternFill>
    </fill>
    <fill>
      <patternFill patternType="solid">
        <fgColor rgb="FFFF99FF"/>
        <bgColor indexed="64"/>
      </patternFill>
    </fill>
    <fill>
      <patternFill patternType="solid">
        <fgColor theme="0" tint="-0.249977111117893"/>
        <bgColor indexed="64"/>
      </patternFill>
    </fill>
    <fill>
      <patternFill patternType="solid">
        <fgColor theme="8" tint="0.59999389629810485"/>
        <bgColor indexed="64"/>
      </patternFill>
    </fill>
    <fill>
      <patternFill patternType="gray125">
        <fgColor theme="4"/>
      </patternFill>
    </fill>
    <fill>
      <patternFill patternType="solid">
        <fgColor rgb="FF66FF99"/>
        <bgColor indexed="64"/>
      </patternFill>
    </fill>
    <fill>
      <patternFill patternType="solid">
        <fgColor theme="9"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rgb="FF00B050"/>
        <bgColor indexed="64"/>
      </patternFill>
    </fill>
    <fill>
      <patternFill patternType="solid">
        <fgColor theme="0"/>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medium">
        <color indexed="64"/>
      </left>
      <right/>
      <top/>
      <bottom/>
      <diagonal/>
    </border>
    <border>
      <left/>
      <right/>
      <top style="medium">
        <color indexed="64"/>
      </top>
      <bottom style="medium">
        <color indexed="64"/>
      </bottom>
      <diagonal/>
    </border>
    <border>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0"/>
      </left>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s>
  <cellStyleXfs count="331">
    <xf numFmtId="0" fontId="0" fillId="0" borderId="0"/>
    <xf numFmtId="43" fontId="23" fillId="0" borderId="0" applyFont="0" applyFill="0" applyBorder="0" applyAlignment="0" applyProtection="0"/>
    <xf numFmtId="43" fontId="31" fillId="0" borderId="0" applyFont="0" applyFill="0" applyBorder="0" applyAlignment="0" applyProtection="0"/>
    <xf numFmtId="44" fontId="23" fillId="0" borderId="0" applyFont="0" applyFill="0" applyBorder="0" applyAlignment="0" applyProtection="0"/>
    <xf numFmtId="44" fontId="31" fillId="0" borderId="0" applyFont="0" applyFill="0" applyBorder="0" applyAlignment="0" applyProtection="0"/>
    <xf numFmtId="0" fontId="33" fillId="0" borderId="0"/>
    <xf numFmtId="0" fontId="31" fillId="0" borderId="0"/>
    <xf numFmtId="0" fontId="31" fillId="0" borderId="0"/>
    <xf numFmtId="0" fontId="31" fillId="0" borderId="0"/>
    <xf numFmtId="0" fontId="37" fillId="0" borderId="0" applyNumberFormat="0" applyFill="0" applyBorder="0" applyAlignment="0" applyProtection="0"/>
    <xf numFmtId="0" fontId="38" fillId="0" borderId="54" applyNumberFormat="0" applyFill="0" applyAlignment="0" applyProtection="0"/>
    <xf numFmtId="0" fontId="39" fillId="0" borderId="55" applyNumberFormat="0" applyFill="0" applyAlignment="0" applyProtection="0"/>
    <xf numFmtId="0" fontId="40" fillId="0" borderId="56" applyNumberFormat="0" applyFill="0" applyAlignment="0" applyProtection="0"/>
    <xf numFmtId="0" fontId="40" fillId="0" borderId="0" applyNumberFormat="0" applyFill="0" applyBorder="0" applyAlignment="0" applyProtection="0"/>
    <xf numFmtId="0" fontId="41" fillId="5" borderId="0" applyNumberFormat="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57" applyNumberFormat="0" applyAlignment="0" applyProtection="0"/>
    <xf numFmtId="0" fontId="45" fillId="9" borderId="58" applyNumberFormat="0" applyAlignment="0" applyProtection="0"/>
    <xf numFmtId="0" fontId="46" fillId="9" borderId="57" applyNumberFormat="0" applyAlignment="0" applyProtection="0"/>
    <xf numFmtId="0" fontId="47" fillId="0" borderId="59" applyNumberFormat="0" applyFill="0" applyAlignment="0" applyProtection="0"/>
    <xf numFmtId="0" fontId="48" fillId="10" borderId="60" applyNumberFormat="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51" fillId="0" borderId="62" applyNumberFormat="0" applyFill="0" applyAlignment="0" applyProtection="0"/>
    <xf numFmtId="0" fontId="52"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52" fillId="15" borderId="0" applyNumberFormat="0" applyBorder="0" applyAlignment="0" applyProtection="0"/>
    <xf numFmtId="0" fontId="5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52" fillId="19" borderId="0" applyNumberFormat="0" applyBorder="0" applyAlignment="0" applyProtection="0"/>
    <xf numFmtId="0" fontId="5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52" fillId="23" borderId="0" applyNumberFormat="0" applyBorder="0" applyAlignment="0" applyProtection="0"/>
    <xf numFmtId="0" fontId="52"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52" fillId="27" borderId="0" applyNumberFormat="0" applyBorder="0" applyAlignment="0" applyProtection="0"/>
    <xf numFmtId="0" fontId="52"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52" fillId="31" borderId="0" applyNumberFormat="0" applyBorder="0" applyAlignment="0" applyProtection="0"/>
    <xf numFmtId="0" fontId="5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52" fillId="35" borderId="0" applyNumberFormat="0" applyBorder="0" applyAlignment="0" applyProtection="0"/>
    <xf numFmtId="0" fontId="22" fillId="0" borderId="0"/>
    <xf numFmtId="0" fontId="22" fillId="11" borderId="61" applyNumberFormat="0" applyFont="0" applyAlignment="0" applyProtection="0"/>
    <xf numFmtId="0" fontId="21" fillId="0" borderId="0"/>
    <xf numFmtId="0" fontId="21" fillId="11" borderId="61" applyNumberFormat="0" applyFont="0" applyAlignment="0" applyProtection="0"/>
    <xf numFmtId="0" fontId="21" fillId="13" borderId="0" applyNumberFormat="0" applyBorder="0" applyAlignment="0" applyProtection="0"/>
    <xf numFmtId="0" fontId="21" fillId="14"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21" fillId="33" borderId="0" applyNumberFormat="0" applyBorder="0" applyAlignment="0" applyProtection="0"/>
    <xf numFmtId="0" fontId="21" fillId="34" borderId="0" applyNumberFormat="0" applyBorder="0" applyAlignment="0" applyProtection="0"/>
    <xf numFmtId="9" fontId="53" fillId="0" borderId="0" applyFont="0" applyFill="0" applyBorder="0" applyAlignment="0" applyProtection="0"/>
    <xf numFmtId="0" fontId="20" fillId="0" borderId="0"/>
    <xf numFmtId="0" fontId="19" fillId="0" borderId="0"/>
    <xf numFmtId="0" fontId="23" fillId="0" borderId="0"/>
    <xf numFmtId="43" fontId="23" fillId="0" borderId="0" applyFont="0" applyFill="0" applyBorder="0" applyAlignment="0" applyProtection="0"/>
    <xf numFmtId="44" fontId="23" fillId="0" borderId="0" applyFont="0" applyFill="0" applyBorder="0" applyAlignment="0" applyProtection="0"/>
    <xf numFmtId="0" fontId="18" fillId="0" borderId="0"/>
    <xf numFmtId="0" fontId="23" fillId="0" borderId="0"/>
    <xf numFmtId="0" fontId="23" fillId="0" borderId="0"/>
    <xf numFmtId="0" fontId="23" fillId="0" borderId="0"/>
    <xf numFmtId="0" fontId="18" fillId="13" borderId="0" applyNumberFormat="0" applyBorder="0" applyAlignment="0" applyProtection="0"/>
    <xf numFmtId="0" fontId="18" fillId="14"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8" fillId="0" borderId="0"/>
    <xf numFmtId="0" fontId="18" fillId="11" borderId="61" applyNumberFormat="0" applyFont="0" applyAlignment="0" applyProtection="0"/>
    <xf numFmtId="0" fontId="18" fillId="0" borderId="0"/>
    <xf numFmtId="0" fontId="18" fillId="11" borderId="61" applyNumberFormat="0" applyFont="0" applyAlignment="0" applyProtection="0"/>
    <xf numFmtId="0" fontId="18" fillId="13" borderId="0" applyNumberFormat="0" applyBorder="0" applyAlignment="0" applyProtection="0"/>
    <xf numFmtId="0" fontId="18" fillId="14"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9" fontId="23" fillId="0" borderId="0" applyFont="0" applyFill="0" applyBorder="0" applyAlignment="0" applyProtection="0"/>
    <xf numFmtId="0" fontId="18" fillId="0" borderId="0"/>
    <xf numFmtId="0" fontId="18" fillId="0" borderId="0"/>
    <xf numFmtId="0" fontId="17" fillId="0" borderId="0"/>
    <xf numFmtId="0" fontId="16" fillId="0" borderId="0"/>
    <xf numFmtId="0" fontId="16" fillId="11" borderId="61" applyNumberFormat="0" applyFont="0" applyAlignment="0" applyProtection="0"/>
    <xf numFmtId="0" fontId="16" fillId="13" borderId="0" applyNumberFormat="0" applyBorder="0" applyAlignment="0" applyProtection="0"/>
    <xf numFmtId="0" fontId="16" fillId="14"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9" borderId="0" applyNumberFormat="0" applyBorder="0" applyAlignment="0" applyProtection="0"/>
    <xf numFmtId="0" fontId="16" fillId="30" borderId="0" applyNumberFormat="0" applyBorder="0" applyAlignment="0" applyProtection="0"/>
    <xf numFmtId="0" fontId="16" fillId="33" borderId="0" applyNumberFormat="0" applyBorder="0" applyAlignment="0" applyProtection="0"/>
    <xf numFmtId="0" fontId="16" fillId="34" borderId="0" applyNumberFormat="0" applyBorder="0" applyAlignment="0" applyProtection="0"/>
    <xf numFmtId="0" fontId="15" fillId="0" borderId="0"/>
    <xf numFmtId="0" fontId="15" fillId="11" borderId="61" applyNumberFormat="0" applyFont="0" applyAlignment="0" applyProtection="0"/>
    <xf numFmtId="0" fontId="15" fillId="13" borderId="0" applyNumberFormat="0" applyBorder="0" applyAlignment="0" applyProtection="0"/>
    <xf numFmtId="0" fontId="15" fillId="14"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5" borderId="0" applyNumberFormat="0" applyBorder="0" applyAlignment="0" applyProtection="0"/>
    <xf numFmtId="0" fontId="15" fillId="26" borderId="0" applyNumberFormat="0" applyBorder="0" applyAlignment="0" applyProtection="0"/>
    <xf numFmtId="0" fontId="15" fillId="29" borderId="0" applyNumberFormat="0" applyBorder="0" applyAlignment="0" applyProtection="0"/>
    <xf numFmtId="0" fontId="15" fillId="30" borderId="0" applyNumberFormat="0" applyBorder="0" applyAlignment="0" applyProtection="0"/>
    <xf numFmtId="0" fontId="15" fillId="33" borderId="0" applyNumberFormat="0" applyBorder="0" applyAlignment="0" applyProtection="0"/>
    <xf numFmtId="0" fontId="15" fillId="34" borderId="0" applyNumberFormat="0" applyBorder="0" applyAlignment="0" applyProtection="0"/>
    <xf numFmtId="0" fontId="14" fillId="0" borderId="0"/>
    <xf numFmtId="0" fontId="14" fillId="11" borderId="61" applyNumberFormat="0" applyFont="0" applyAlignment="0" applyProtection="0"/>
    <xf numFmtId="0" fontId="14" fillId="13" borderId="0" applyNumberFormat="0" applyBorder="0" applyAlignment="0" applyProtection="0"/>
    <xf numFmtId="0" fontId="14" fillId="14"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13" fillId="0" borderId="0"/>
    <xf numFmtId="0" fontId="13" fillId="11" borderId="61" applyNumberFormat="0" applyFont="0" applyAlignment="0" applyProtection="0"/>
    <xf numFmtId="0" fontId="13" fillId="13" borderId="0" applyNumberFormat="0" applyBorder="0" applyAlignment="0" applyProtection="0"/>
    <xf numFmtId="0" fontId="13" fillId="14"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2" fillId="0" borderId="0"/>
    <xf numFmtId="0" fontId="12" fillId="11" borderId="61" applyNumberFormat="0" applyFont="0" applyAlignment="0" applyProtection="0"/>
    <xf numFmtId="0" fontId="12" fillId="13" borderId="0" applyNumberFormat="0" applyBorder="0" applyAlignment="0" applyProtection="0"/>
    <xf numFmtId="0" fontId="12" fillId="14"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1" fillId="0" borderId="0"/>
    <xf numFmtId="0" fontId="11" fillId="11" borderId="61" applyNumberFormat="0" applyFont="0" applyAlignment="0" applyProtection="0"/>
    <xf numFmtId="0" fontId="11" fillId="13" borderId="0" applyNumberFormat="0" applyBorder="0" applyAlignment="0" applyProtection="0"/>
    <xf numFmtId="0" fontId="11" fillId="14"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1" fillId="29" borderId="0" applyNumberFormat="0" applyBorder="0" applyAlignment="0" applyProtection="0"/>
    <xf numFmtId="0" fontId="11" fillId="30" borderId="0" applyNumberFormat="0" applyBorder="0" applyAlignment="0" applyProtection="0"/>
    <xf numFmtId="0" fontId="11" fillId="33" borderId="0" applyNumberFormat="0" applyBorder="0" applyAlignment="0" applyProtection="0"/>
    <xf numFmtId="0" fontId="11" fillId="34" borderId="0" applyNumberFormat="0" applyBorder="0" applyAlignment="0" applyProtection="0"/>
    <xf numFmtId="0" fontId="10" fillId="0" borderId="0"/>
    <xf numFmtId="0" fontId="10" fillId="11" borderId="61"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9" fillId="0" borderId="0"/>
    <xf numFmtId="0" fontId="9" fillId="11" borderId="61" applyNumberFormat="0" applyFont="0" applyAlignment="0" applyProtection="0"/>
    <xf numFmtId="0" fontId="9" fillId="13" borderId="0" applyNumberFormat="0" applyBorder="0" applyAlignment="0" applyProtection="0"/>
    <xf numFmtId="0" fontId="9" fillId="14"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8" fillId="0" borderId="0"/>
    <xf numFmtId="0" fontId="8" fillId="11" borderId="61"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7" fillId="0" borderId="0"/>
    <xf numFmtId="0" fontId="7" fillId="11" borderId="61"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0" borderId="0"/>
    <xf numFmtId="0" fontId="6" fillId="11" borderId="61"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0" borderId="0"/>
    <xf numFmtId="0" fontId="5" fillId="11" borderId="61"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0" fontId="4" fillId="11" borderId="61" applyNumberFormat="0" applyFont="0" applyAlignment="0" applyProtection="0"/>
    <xf numFmtId="0" fontId="4" fillId="13" borderId="0" applyNumberFormat="0" applyBorder="0" applyAlignment="0" applyProtection="0"/>
    <xf numFmtId="0" fontId="4" fillId="14"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 fillId="0" borderId="0"/>
    <xf numFmtId="0" fontId="3" fillId="11" borderId="61" applyNumberFormat="0" applyFont="0" applyAlignment="0" applyProtection="0"/>
    <xf numFmtId="0" fontId="3" fillId="13" borderId="0" applyNumberFormat="0" applyBorder="0" applyAlignment="0" applyProtection="0"/>
    <xf numFmtId="0" fontId="3" fillId="14"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2" fillId="0" borderId="0"/>
    <xf numFmtId="0" fontId="2" fillId="11" borderId="61"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1" fillId="0" borderId="0"/>
    <xf numFmtId="0" fontId="1" fillId="11" borderId="61"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cellStyleXfs>
  <cellXfs count="544">
    <xf numFmtId="0" fontId="0" fillId="0" borderId="0" xfId="0"/>
    <xf numFmtId="0" fontId="2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30" fillId="0" borderId="0" xfId="0" applyFont="1"/>
    <xf numFmtId="0" fontId="25" fillId="0" borderId="8" xfId="0" applyFont="1" applyFill="1" applyBorder="1" applyAlignment="1">
      <alignment horizontal="center"/>
    </xf>
    <xf numFmtId="0" fontId="0" fillId="0" borderId="0" xfId="0" applyFill="1" applyAlignment="1">
      <alignment horizontal="center"/>
    </xf>
    <xf numFmtId="0" fontId="0" fillId="0" borderId="0" xfId="0" applyFill="1"/>
    <xf numFmtId="0" fontId="0" fillId="0" borderId="0" xfId="0" applyFill="1" applyBorder="1"/>
    <xf numFmtId="0" fontId="25" fillId="0" borderId="21" xfId="0" applyFont="1" applyBorder="1" applyAlignment="1">
      <alignment horizontal="center"/>
    </xf>
    <xf numFmtId="0" fontId="25" fillId="0" borderId="22" xfId="0" applyFont="1" applyBorder="1" applyAlignment="1">
      <alignment horizontal="center"/>
    </xf>
    <xf numFmtId="0" fontId="25" fillId="0" borderId="23" xfId="0" applyFont="1" applyBorder="1" applyAlignment="1">
      <alignment horizontal="center"/>
    </xf>
    <xf numFmtId="0" fontId="25" fillId="0" borderId="18" xfId="0" applyFont="1" applyFill="1" applyBorder="1" applyAlignment="1">
      <alignment horizontal="center"/>
    </xf>
    <xf numFmtId="2" fontId="32" fillId="2" borderId="25" xfId="0" applyNumberFormat="1" applyFont="1" applyFill="1" applyBorder="1" applyAlignment="1">
      <alignment horizontal="center"/>
    </xf>
    <xf numFmtId="0" fontId="0" fillId="0" borderId="23" xfId="0" applyBorder="1" applyAlignment="1">
      <alignment horizontal="center"/>
    </xf>
    <xf numFmtId="0" fontId="0" fillId="0" borderId="0" xfId="0" applyAlignment="1">
      <alignment wrapText="1"/>
    </xf>
    <xf numFmtId="0" fontId="25" fillId="0" borderId="17" xfId="0" applyFont="1" applyFill="1" applyBorder="1" applyAlignment="1">
      <alignment horizontal="center" wrapText="1"/>
    </xf>
    <xf numFmtId="0" fontId="25" fillId="0" borderId="9" xfId="0" applyFont="1" applyBorder="1" applyAlignment="1">
      <alignment horizontal="center" wrapText="1"/>
    </xf>
    <xf numFmtId="0" fontId="0" fillId="0" borderId="0" xfId="0" applyBorder="1"/>
    <xf numFmtId="0" fontId="24" fillId="0" borderId="0" xfId="0" applyFont="1" applyFill="1"/>
    <xf numFmtId="0" fontId="25" fillId="0" borderId="18" xfId="0" applyFont="1" applyBorder="1" applyAlignment="1">
      <alignment horizontal="center"/>
    </xf>
    <xf numFmtId="0" fontId="25" fillId="0" borderId="19" xfId="0" applyFont="1" applyBorder="1" applyAlignment="1">
      <alignment horizontal="center"/>
    </xf>
    <xf numFmtId="165" fontId="0" fillId="0" borderId="14" xfId="1" applyNumberFormat="1" applyFont="1" applyBorder="1" applyAlignment="1">
      <alignment horizontal="center"/>
    </xf>
    <xf numFmtId="164" fontId="0" fillId="0" borderId="14" xfId="0" applyNumberFormat="1" applyBorder="1" applyAlignment="1">
      <alignment horizontal="center"/>
    </xf>
    <xf numFmtId="0" fontId="25" fillId="0" borderId="38" xfId="0" applyFont="1" applyBorder="1" applyAlignment="1">
      <alignment horizontal="center"/>
    </xf>
    <xf numFmtId="2" fontId="32" fillId="2" borderId="37" xfId="0" applyNumberFormat="1" applyFont="1" applyFill="1" applyBorder="1" applyAlignment="1">
      <alignment horizontal="center"/>
    </xf>
    <xf numFmtId="0" fontId="25" fillId="0" borderId="16" xfId="0" applyFont="1" applyBorder="1" applyAlignment="1">
      <alignment horizontal="center" vertical="center"/>
    </xf>
    <xf numFmtId="0" fontId="29" fillId="0" borderId="11" xfId="0" applyFont="1" applyBorder="1" applyAlignment="1">
      <alignment horizontal="center"/>
    </xf>
    <xf numFmtId="0" fontId="0" fillId="0" borderId="41" xfId="0" applyBorder="1" applyAlignment="1">
      <alignment horizontal="center"/>
    </xf>
    <xf numFmtId="0" fontId="0" fillId="0" borderId="26" xfId="0" applyBorder="1" applyAlignment="1">
      <alignment horizontal="center"/>
    </xf>
    <xf numFmtId="0" fontId="31" fillId="0" borderId="43" xfId="0" applyFont="1" applyFill="1" applyBorder="1" applyAlignment="1">
      <alignment horizontal="center"/>
    </xf>
    <xf numFmtId="0" fontId="31" fillId="0" borderId="44" xfId="0" applyFont="1" applyFill="1" applyBorder="1" applyAlignment="1">
      <alignment horizontal="center"/>
    </xf>
    <xf numFmtId="0" fontId="31" fillId="0" borderId="45" xfId="0" applyFont="1" applyFill="1" applyBorder="1" applyAlignment="1">
      <alignment horizontal="center"/>
    </xf>
    <xf numFmtId="0" fontId="34" fillId="0" borderId="3" xfId="0" applyFont="1" applyBorder="1" applyAlignment="1">
      <alignment horizontal="center"/>
    </xf>
    <xf numFmtId="0" fontId="34" fillId="0" borderId="14" xfId="0" applyFont="1" applyBorder="1" applyAlignment="1">
      <alignment horizontal="center"/>
    </xf>
    <xf numFmtId="0" fontId="34" fillId="0" borderId="4" xfId="0" applyFont="1" applyBorder="1" applyAlignment="1">
      <alignment horizontal="center"/>
    </xf>
    <xf numFmtId="3" fontId="0" fillId="0" borderId="1" xfId="0" applyNumberFormat="1" applyBorder="1" applyAlignment="1">
      <alignment horizontal="center"/>
    </xf>
    <xf numFmtId="0" fontId="0" fillId="0" borderId="19" xfId="0" applyBorder="1" applyAlignment="1">
      <alignment horizontal="center"/>
    </xf>
    <xf numFmtId="0" fontId="0" fillId="0" borderId="37" xfId="0" applyBorder="1" applyAlignment="1">
      <alignment horizontal="center"/>
    </xf>
    <xf numFmtId="0" fontId="0" fillId="0" borderId="0" xfId="0" applyAlignment="1">
      <alignment wrapText="1"/>
    </xf>
    <xf numFmtId="0" fontId="23" fillId="0" borderId="0" xfId="0" applyFont="1"/>
    <xf numFmtId="0" fontId="0" fillId="0" borderId="0" xfId="0" applyAlignment="1">
      <alignment vertical="center"/>
    </xf>
    <xf numFmtId="0" fontId="0" fillId="0" borderId="0" xfId="0" applyAlignment="1">
      <alignment horizontal="center"/>
    </xf>
    <xf numFmtId="0" fontId="54" fillId="0" borderId="0" xfId="0" applyFont="1"/>
    <xf numFmtId="0" fontId="25" fillId="0" borderId="22" xfId="0" applyFont="1" applyBorder="1" applyAlignment="1">
      <alignment horizontal="center" vertical="center"/>
    </xf>
    <xf numFmtId="0" fontId="25" fillId="0" borderId="2" xfId="0" applyFont="1" applyBorder="1" applyAlignment="1">
      <alignment horizontal="center"/>
    </xf>
    <xf numFmtId="0" fontId="25" fillId="0" borderId="3" xfId="0" applyFont="1" applyBorder="1" applyAlignment="1">
      <alignment horizontal="center"/>
    </xf>
    <xf numFmtId="0" fontId="25" fillId="0" borderId="38" xfId="0" applyFont="1" applyBorder="1" applyAlignment="1">
      <alignment horizontal="center" vertical="center"/>
    </xf>
    <xf numFmtId="9" fontId="25" fillId="0" borderId="36" xfId="65" applyFont="1" applyBorder="1" applyAlignment="1">
      <alignment horizontal="center"/>
    </xf>
    <xf numFmtId="9" fontId="25" fillId="0" borderId="25" xfId="65" applyFont="1" applyBorder="1" applyAlignment="1">
      <alignment horizontal="center"/>
    </xf>
    <xf numFmtId="0" fontId="25" fillId="0" borderId="23" xfId="0" applyFont="1" applyBorder="1" applyAlignment="1">
      <alignment horizontal="center" wrapText="1"/>
    </xf>
    <xf numFmtId="0" fontId="25" fillId="0" borderId="40" xfId="0" applyFont="1" applyBorder="1" applyAlignment="1">
      <alignment horizontal="center" wrapText="1"/>
    </xf>
    <xf numFmtId="9" fontId="25" fillId="0" borderId="4" xfId="65" applyFont="1" applyBorder="1" applyAlignment="1">
      <alignment horizontal="center" vertical="center" wrapText="1"/>
    </xf>
    <xf numFmtId="9" fontId="25" fillId="0" borderId="25" xfId="65" applyFont="1" applyBorder="1" applyAlignment="1">
      <alignment horizontal="center" vertical="center" wrapText="1"/>
    </xf>
    <xf numFmtId="0" fontId="25" fillId="0" borderId="37" xfId="0" applyFont="1" applyBorder="1" applyAlignment="1">
      <alignment horizontal="center" vertical="center" wrapText="1"/>
    </xf>
    <xf numFmtId="0" fontId="0" fillId="0" borderId="15" xfId="0" applyBorder="1" applyAlignment="1">
      <alignment horizontal="center"/>
    </xf>
    <xf numFmtId="9" fontId="0" fillId="0" borderId="35" xfId="65" applyFont="1" applyBorder="1" applyAlignment="1">
      <alignment horizontal="center"/>
    </xf>
    <xf numFmtId="9" fontId="0" fillId="0" borderId="2" xfId="65" applyFont="1" applyBorder="1" applyAlignment="1">
      <alignment horizontal="center"/>
    </xf>
    <xf numFmtId="9" fontId="0" fillId="0" borderId="3" xfId="65" applyFont="1" applyBorder="1" applyAlignment="1">
      <alignment horizontal="center"/>
    </xf>
    <xf numFmtId="9" fontId="0" fillId="0" borderId="1" xfId="65" applyFont="1" applyBorder="1" applyAlignment="1">
      <alignment horizontal="center"/>
    </xf>
    <xf numFmtId="9" fontId="0" fillId="0" borderId="16" xfId="65" applyFont="1" applyBorder="1" applyAlignment="1">
      <alignment horizontal="center"/>
    </xf>
    <xf numFmtId="9" fontId="0" fillId="0" borderId="22" xfId="65" applyFont="1" applyBorder="1" applyAlignment="1">
      <alignment horizontal="center"/>
    </xf>
    <xf numFmtId="9" fontId="0" fillId="0" borderId="36" xfId="65" applyFont="1" applyBorder="1" applyAlignment="1">
      <alignment horizontal="center"/>
    </xf>
    <xf numFmtId="9" fontId="0" fillId="0" borderId="4" xfId="65" applyFont="1" applyBorder="1" applyAlignment="1">
      <alignment horizontal="center"/>
    </xf>
    <xf numFmtId="9" fontId="0" fillId="0" borderId="25" xfId="65" applyFont="1" applyBorder="1" applyAlignment="1">
      <alignment horizontal="center"/>
    </xf>
    <xf numFmtId="165" fontId="0" fillId="0" borderId="2" xfId="0" applyNumberFormat="1" applyBorder="1" applyAlignment="1">
      <alignment horizontal="center"/>
    </xf>
    <xf numFmtId="164" fontId="0" fillId="0" borderId="36" xfId="0" applyNumberFormat="1" applyBorder="1" applyAlignment="1">
      <alignment horizontal="center"/>
    </xf>
    <xf numFmtId="165" fontId="0" fillId="0" borderId="3" xfId="0" applyNumberFormat="1" applyBorder="1" applyAlignment="1">
      <alignment horizontal="center"/>
    </xf>
    <xf numFmtId="164" fontId="0" fillId="0" borderId="25" xfId="0" applyNumberFormat="1" applyBorder="1" applyAlignment="1">
      <alignment horizontal="center"/>
    </xf>
    <xf numFmtId="165" fontId="0" fillId="0" borderId="23" xfId="0" applyNumberFormat="1" applyBorder="1" applyAlignment="1">
      <alignment horizontal="center"/>
    </xf>
    <xf numFmtId="164" fontId="0" fillId="0" borderId="40" xfId="0" applyNumberFormat="1" applyBorder="1" applyAlignment="1">
      <alignment horizontal="center"/>
    </xf>
    <xf numFmtId="0" fontId="23" fillId="0" borderId="25" xfId="0" applyFont="1" applyBorder="1" applyAlignment="1">
      <alignment horizontal="center"/>
    </xf>
    <xf numFmtId="0" fontId="23" fillId="0" borderId="37" xfId="0" applyFont="1" applyBorder="1" applyAlignment="1">
      <alignment horizontal="center"/>
    </xf>
    <xf numFmtId="0" fontId="0" fillId="0" borderId="25" xfId="0" applyBorder="1" applyAlignment="1">
      <alignment horizontal="center"/>
    </xf>
    <xf numFmtId="165" fontId="0" fillId="0" borderId="40" xfId="0" applyNumberFormat="1" applyBorder="1" applyAlignment="1">
      <alignment horizontal="center"/>
    </xf>
    <xf numFmtId="165" fontId="0" fillId="0" borderId="36" xfId="0" applyNumberFormat="1" applyBorder="1" applyAlignment="1">
      <alignment horizontal="center"/>
    </xf>
    <xf numFmtId="165" fontId="0" fillId="0" borderId="25" xfId="0" applyNumberFormat="1" applyBorder="1" applyAlignment="1">
      <alignment horizontal="center"/>
    </xf>
    <xf numFmtId="0" fontId="23" fillId="0" borderId="3" xfId="0" applyFont="1" applyBorder="1" applyAlignment="1">
      <alignment horizontal="center"/>
    </xf>
    <xf numFmtId="3" fontId="0" fillId="0" borderId="23" xfId="0" applyNumberFormat="1" applyBorder="1" applyAlignment="1">
      <alignment horizontal="center"/>
    </xf>
    <xf numFmtId="3" fontId="0" fillId="0" borderId="40" xfId="0" applyNumberFormat="1" applyBorder="1" applyAlignment="1">
      <alignment horizontal="center"/>
    </xf>
    <xf numFmtId="3" fontId="0" fillId="0" borderId="2" xfId="0" applyNumberFormat="1" applyBorder="1" applyAlignment="1">
      <alignment horizontal="center"/>
    </xf>
    <xf numFmtId="3" fontId="0" fillId="0" borderId="3" xfId="0" applyNumberFormat="1" applyBorder="1" applyAlignment="1">
      <alignment horizontal="center"/>
    </xf>
    <xf numFmtId="3" fontId="0" fillId="0" borderId="25" xfId="0" applyNumberFormat="1" applyBorder="1" applyAlignment="1">
      <alignment horizontal="center"/>
    </xf>
    <xf numFmtId="0" fontId="55" fillId="0" borderId="0" xfId="0" applyFont="1"/>
    <xf numFmtId="0" fontId="0" fillId="0" borderId="0" xfId="0" applyAlignment="1">
      <alignment horizontal="left" indent="1"/>
    </xf>
    <xf numFmtId="0" fontId="25" fillId="0" borderId="49" xfId="0" applyFont="1" applyBorder="1" applyAlignment="1">
      <alignment horizontal="center" vertical="center"/>
    </xf>
    <xf numFmtId="9" fontId="25" fillId="0" borderId="36" xfId="65" applyFont="1" applyFill="1" applyBorder="1" applyAlignment="1">
      <alignment horizontal="center"/>
    </xf>
    <xf numFmtId="9" fontId="25" fillId="0" borderId="34" xfId="65" applyFont="1" applyBorder="1" applyAlignment="1">
      <alignment horizontal="center" vertical="center" wrapText="1"/>
    </xf>
    <xf numFmtId="9" fontId="0" fillId="0" borderId="26" xfId="65" applyFont="1" applyBorder="1" applyAlignment="1">
      <alignment horizontal="center"/>
    </xf>
    <xf numFmtId="9" fontId="0" fillId="0" borderId="34" xfId="65" applyFont="1" applyBorder="1" applyAlignment="1">
      <alignment horizontal="center"/>
    </xf>
    <xf numFmtId="0" fontId="25" fillId="0" borderId="2" xfId="0" applyFont="1" applyFill="1" applyBorder="1" applyAlignment="1">
      <alignment horizontal="center"/>
    </xf>
    <xf numFmtId="9" fontId="0" fillId="0" borderId="2" xfId="65" applyFont="1" applyFill="1" applyBorder="1" applyAlignment="1">
      <alignment horizontal="center"/>
    </xf>
    <xf numFmtId="9" fontId="0" fillId="0" borderId="1" xfId="65" applyFont="1" applyFill="1" applyBorder="1" applyAlignment="1">
      <alignment horizontal="center"/>
    </xf>
    <xf numFmtId="9" fontId="0" fillId="0" borderId="26" xfId="65" applyFont="1" applyFill="1" applyBorder="1" applyAlignment="1">
      <alignment horizontal="center"/>
    </xf>
    <xf numFmtId="9" fontId="0" fillId="0" borderId="36" xfId="65" applyFont="1" applyFill="1" applyBorder="1" applyAlignment="1">
      <alignment horizontal="center"/>
    </xf>
    <xf numFmtId="165" fontId="31" fillId="0" borderId="14" xfId="1" applyNumberFormat="1" applyFont="1" applyBorder="1" applyAlignment="1">
      <alignment horizontal="center"/>
    </xf>
    <xf numFmtId="0" fontId="0" fillId="0" borderId="0" xfId="0" applyAlignment="1">
      <alignment vertical="center" wrapText="1"/>
    </xf>
    <xf numFmtId="0" fontId="25" fillId="0" borderId="10" xfId="0" applyFont="1" applyBorder="1" applyAlignment="1">
      <alignment horizontal="center"/>
    </xf>
    <xf numFmtId="0" fontId="59" fillId="0" borderId="0" xfId="0" applyFont="1"/>
    <xf numFmtId="165" fontId="25" fillId="36" borderId="9" xfId="0" applyNumberFormat="1" applyFont="1" applyFill="1" applyBorder="1" applyAlignment="1">
      <alignment horizontal="center" vertical="center" wrapText="1"/>
    </xf>
    <xf numFmtId="165" fontId="25" fillId="36" borderId="29" xfId="0" applyNumberFormat="1" applyFont="1" applyFill="1" applyBorder="1" applyAlignment="1">
      <alignment horizontal="center" vertical="center" wrapText="1"/>
    </xf>
    <xf numFmtId="3" fontId="25" fillId="36" borderId="7" xfId="0" applyNumberFormat="1" applyFont="1" applyFill="1" applyBorder="1" applyAlignment="1">
      <alignment horizontal="center" vertical="center" wrapText="1"/>
    </xf>
    <xf numFmtId="4" fontId="25" fillId="36" borderId="7" xfId="0" applyNumberFormat="1" applyFont="1" applyFill="1" applyBorder="1" applyAlignment="1">
      <alignment horizontal="center" vertical="center" wrapText="1"/>
    </xf>
    <xf numFmtId="4" fontId="25" fillId="36" borderId="17" xfId="0" applyNumberFormat="1" applyFont="1" applyFill="1" applyBorder="1" applyAlignment="1">
      <alignment horizontal="center" vertical="center" wrapText="1"/>
    </xf>
    <xf numFmtId="0" fontId="25" fillId="0" borderId="48" xfId="0" applyFont="1" applyBorder="1" applyAlignment="1">
      <alignment horizontal="center"/>
    </xf>
    <xf numFmtId="0" fontId="17" fillId="0" borderId="0" xfId="106" applyAlignment="1">
      <alignment horizontal="center"/>
    </xf>
    <xf numFmtId="0" fontId="17" fillId="0" borderId="0" xfId="106"/>
    <xf numFmtId="3" fontId="31" fillId="0" borderId="19" xfId="1" applyNumberFormat="1" applyFont="1" applyBorder="1" applyAlignment="1">
      <alignment horizontal="center"/>
    </xf>
    <xf numFmtId="3" fontId="35" fillId="0" borderId="23" xfId="0" applyNumberFormat="1" applyFont="1" applyFill="1" applyBorder="1" applyAlignment="1">
      <alignment horizontal="center"/>
    </xf>
    <xf numFmtId="165" fontId="35" fillId="0" borderId="16" xfId="0" applyNumberFormat="1" applyFont="1" applyFill="1" applyBorder="1" applyAlignment="1">
      <alignment horizontal="center"/>
    </xf>
    <xf numFmtId="0" fontId="34" fillId="0" borderId="1" xfId="0" applyFont="1" applyBorder="1" applyAlignment="1">
      <alignment horizontal="center"/>
    </xf>
    <xf numFmtId="0" fontId="17" fillId="0" borderId="0" xfId="106" applyBorder="1" applyAlignment="1">
      <alignment horizontal="center"/>
    </xf>
    <xf numFmtId="0" fontId="60" fillId="37" borderId="0" xfId="106" applyFont="1" applyFill="1" applyBorder="1" applyAlignment="1">
      <alignment horizontal="center"/>
    </xf>
    <xf numFmtId="0" fontId="51" fillId="37" borderId="0" xfId="106" applyFont="1" applyFill="1" applyBorder="1" applyAlignment="1">
      <alignment horizontal="center"/>
    </xf>
    <xf numFmtId="0" fontId="51" fillId="37" borderId="31" xfId="106" applyFont="1" applyFill="1" applyBorder="1" applyAlignment="1">
      <alignment horizontal="center"/>
    </xf>
    <xf numFmtId="0" fontId="17" fillId="37" borderId="0" xfId="106" applyFill="1" applyBorder="1" applyAlignment="1">
      <alignment horizontal="center"/>
    </xf>
    <xf numFmtId="0" fontId="17" fillId="37" borderId="31" xfId="106" applyFill="1" applyBorder="1" applyAlignment="1">
      <alignment horizontal="center"/>
    </xf>
    <xf numFmtId="0" fontId="17" fillId="0" borderId="0" xfId="106" applyFill="1" applyBorder="1" applyAlignment="1">
      <alignment horizontal="center"/>
    </xf>
    <xf numFmtId="0" fontId="17" fillId="0" borderId="0" xfId="106" applyFill="1" applyAlignment="1">
      <alignment horizontal="center"/>
    </xf>
    <xf numFmtId="2" fontId="32" fillId="2" borderId="64" xfId="0" applyNumberFormat="1" applyFont="1" applyFill="1" applyBorder="1" applyAlignment="1">
      <alignment horizontal="center"/>
    </xf>
    <xf numFmtId="2" fontId="25" fillId="4" borderId="11" xfId="0" applyNumberFormat="1" applyFont="1" applyFill="1" applyBorder="1" applyAlignment="1">
      <alignment horizontal="center"/>
    </xf>
    <xf numFmtId="0" fontId="25" fillId="0" borderId="12" xfId="0" applyFont="1" applyFill="1" applyBorder="1" applyAlignment="1">
      <alignment horizontal="center"/>
    </xf>
    <xf numFmtId="0" fontId="56" fillId="0" borderId="0" xfId="0" applyFont="1" applyAlignment="1">
      <alignment horizontal="left" indent="1"/>
    </xf>
    <xf numFmtId="9" fontId="31" fillId="0" borderId="16" xfId="65" applyFont="1" applyBorder="1" applyAlignment="1">
      <alignment horizontal="center"/>
    </xf>
    <xf numFmtId="9" fontId="25" fillId="36" borderId="12" xfId="65" applyFont="1" applyFill="1" applyBorder="1" applyAlignment="1">
      <alignment horizontal="center" vertical="center" wrapText="1"/>
    </xf>
    <xf numFmtId="0" fontId="28" fillId="0" borderId="0" xfId="0" applyFont="1"/>
    <xf numFmtId="1" fontId="17" fillId="0" borderId="0" xfId="106" applyNumberFormat="1" applyFill="1" applyAlignment="1">
      <alignment horizontal="center"/>
    </xf>
    <xf numFmtId="168" fontId="17" fillId="0" borderId="0" xfId="106" applyNumberFormat="1" applyFill="1" applyAlignment="1">
      <alignment horizontal="center"/>
    </xf>
    <xf numFmtId="40" fontId="0" fillId="0" borderId="0" xfId="0" applyNumberFormat="1"/>
    <xf numFmtId="0" fontId="49" fillId="0" borderId="0" xfId="149" applyFont="1" applyBorder="1" applyAlignment="1">
      <alignment horizontal="center"/>
    </xf>
    <xf numFmtId="0" fontId="51" fillId="0" borderId="0" xfId="106" applyFont="1" applyFill="1" applyBorder="1" applyAlignment="1"/>
    <xf numFmtId="0" fontId="25" fillId="0" borderId="0" xfId="0" applyFont="1" applyBorder="1" applyAlignment="1"/>
    <xf numFmtId="9" fontId="0" fillId="0" borderId="0" xfId="0" applyNumberFormat="1" applyBorder="1" applyAlignment="1"/>
    <xf numFmtId="0" fontId="0" fillId="0" borderId="0" xfId="0" applyBorder="1" applyAlignment="1"/>
    <xf numFmtId="0" fontId="28" fillId="0" borderId="0" xfId="0" applyFont="1" applyFill="1" applyBorder="1" applyAlignment="1">
      <alignment vertical="center"/>
    </xf>
    <xf numFmtId="164" fontId="0" fillId="0" borderId="0" xfId="0" applyNumberFormat="1"/>
    <xf numFmtId="0" fontId="0" fillId="0" borderId="0" xfId="0" applyAlignment="1">
      <alignment horizontal="left"/>
    </xf>
    <xf numFmtId="0" fontId="69" fillId="0" borderId="14" xfId="0" applyFont="1" applyBorder="1" applyAlignment="1">
      <alignment horizontal="center"/>
    </xf>
    <xf numFmtId="0" fontId="69" fillId="0" borderId="14" xfId="0" applyFont="1" applyBorder="1" applyAlignment="1">
      <alignment horizontal="left"/>
    </xf>
    <xf numFmtId="0" fontId="69" fillId="45" borderId="1" xfId="0" applyFont="1" applyFill="1" applyBorder="1" applyAlignment="1">
      <alignment horizontal="center"/>
    </xf>
    <xf numFmtId="0" fontId="69" fillId="0" borderId="1" xfId="0" applyFont="1" applyBorder="1" applyAlignment="1">
      <alignment horizontal="center"/>
    </xf>
    <xf numFmtId="0" fontId="69" fillId="0" borderId="1" xfId="0" applyFont="1" applyBorder="1" applyAlignment="1">
      <alignment horizontal="left"/>
    </xf>
    <xf numFmtId="0" fontId="70" fillId="0" borderId="4" xfId="0" applyFont="1" applyBorder="1" applyAlignment="1">
      <alignment horizontal="left" vertical="center"/>
    </xf>
    <xf numFmtId="0" fontId="70" fillId="0" borderId="4" xfId="0" applyFont="1" applyBorder="1" applyAlignment="1">
      <alignment horizontal="center" vertical="center"/>
    </xf>
    <xf numFmtId="0" fontId="0" fillId="0" borderId="68" xfId="0" applyBorder="1" applyAlignment="1">
      <alignment horizontal="center"/>
    </xf>
    <xf numFmtId="0" fontId="0" fillId="0" borderId="69" xfId="0" applyBorder="1" applyAlignment="1">
      <alignment horizontal="center"/>
    </xf>
    <xf numFmtId="0" fontId="31" fillId="0" borderId="70" xfId="0" applyFont="1" applyFill="1" applyBorder="1" applyAlignment="1">
      <alignment horizontal="center"/>
    </xf>
    <xf numFmtId="0" fontId="31" fillId="0" borderId="1" xfId="0" applyFont="1" applyFill="1" applyBorder="1" applyAlignment="1">
      <alignment horizontal="center"/>
    </xf>
    <xf numFmtId="0" fontId="25" fillId="0" borderId="49" xfId="0" applyFont="1" applyBorder="1" applyAlignment="1">
      <alignment horizontal="center"/>
    </xf>
    <xf numFmtId="2" fontId="32" fillId="2" borderId="34" xfId="0" applyNumberFormat="1" applyFont="1" applyFill="1" applyBorder="1" applyAlignment="1">
      <alignment horizontal="center"/>
    </xf>
    <xf numFmtId="0" fontId="25" fillId="0" borderId="47" xfId="0" applyFont="1" applyBorder="1" applyAlignment="1">
      <alignment horizontal="center"/>
    </xf>
    <xf numFmtId="2" fontId="32" fillId="2" borderId="45" xfId="0" applyNumberFormat="1" applyFont="1" applyFill="1" applyBorder="1" applyAlignment="1">
      <alignment horizontal="center"/>
    </xf>
    <xf numFmtId="0" fontId="0" fillId="0" borderId="67" xfId="0" applyBorder="1"/>
    <xf numFmtId="165" fontId="0" fillId="0" borderId="40" xfId="1" applyNumberFormat="1" applyFont="1" applyBorder="1" applyAlignment="1">
      <alignment horizontal="center"/>
    </xf>
    <xf numFmtId="0" fontId="31" fillId="0" borderId="47" xfId="0" applyFont="1" applyFill="1" applyBorder="1" applyAlignment="1">
      <alignment horizontal="center"/>
    </xf>
    <xf numFmtId="0" fontId="31" fillId="0" borderId="35" xfId="0" applyFont="1" applyFill="1" applyBorder="1" applyAlignment="1">
      <alignment horizontal="center"/>
    </xf>
    <xf numFmtId="0" fontId="31" fillId="0" borderId="2" xfId="0" applyFont="1" applyFill="1" applyBorder="1" applyAlignment="1">
      <alignment horizontal="center"/>
    </xf>
    <xf numFmtId="0" fontId="31" fillId="0" borderId="23" xfId="0" applyFont="1" applyFill="1" applyBorder="1" applyAlignment="1">
      <alignment horizontal="center"/>
    </xf>
    <xf numFmtId="0" fontId="31" fillId="0" borderId="68" xfId="0" applyFont="1" applyFill="1" applyBorder="1" applyAlignment="1">
      <alignment horizontal="center"/>
    </xf>
    <xf numFmtId="0" fontId="25" fillId="0" borderId="21" xfId="0" applyFont="1" applyFill="1" applyBorder="1" applyAlignment="1">
      <alignment horizontal="center" vertical="center" wrapText="1"/>
    </xf>
    <xf numFmtId="0" fontId="25" fillId="0" borderId="11" xfId="0" applyFont="1" applyFill="1" applyBorder="1" applyAlignment="1">
      <alignment horizontal="center" vertical="center" wrapText="1"/>
    </xf>
    <xf numFmtId="0" fontId="25" fillId="0" borderId="52" xfId="0" applyFont="1" applyFill="1" applyBorder="1" applyAlignment="1">
      <alignment horizontal="center" vertical="center" wrapText="1"/>
    </xf>
    <xf numFmtId="0" fontId="25" fillId="0" borderId="42" xfId="0" applyFont="1" applyFill="1" applyBorder="1" applyAlignment="1">
      <alignment horizontal="center" vertical="center" wrapText="1"/>
    </xf>
    <xf numFmtId="0" fontId="0" fillId="0" borderId="11" xfId="0" applyFill="1" applyBorder="1" applyAlignment="1">
      <alignment horizontal="center"/>
    </xf>
    <xf numFmtId="0" fontId="25" fillId="0" borderId="11" xfId="0" applyFont="1" applyFill="1" applyBorder="1" applyAlignment="1">
      <alignment horizontal="center" vertical="center"/>
    </xf>
    <xf numFmtId="0" fontId="0" fillId="0" borderId="4" xfId="0" applyBorder="1" applyAlignment="1">
      <alignment horizontal="center"/>
    </xf>
    <xf numFmtId="0" fontId="31" fillId="0" borderId="4" xfId="0" applyFont="1" applyFill="1" applyBorder="1" applyAlignment="1">
      <alignment horizontal="center"/>
    </xf>
    <xf numFmtId="0" fontId="25" fillId="0" borderId="16" xfId="0" applyFont="1" applyBorder="1" applyAlignment="1">
      <alignment horizontal="center"/>
    </xf>
    <xf numFmtId="2" fontId="32" fillId="2" borderId="4" xfId="0" applyNumberFormat="1" applyFont="1" applyFill="1" applyBorder="1" applyAlignment="1">
      <alignment horizontal="center"/>
    </xf>
    <xf numFmtId="0" fontId="25" fillId="0" borderId="11" xfId="0" applyFont="1" applyBorder="1" applyAlignment="1">
      <alignment horizontal="center"/>
    </xf>
    <xf numFmtId="0" fontId="0" fillId="0" borderId="6" xfId="0" applyBorder="1" applyAlignment="1">
      <alignment horizontal="center"/>
    </xf>
    <xf numFmtId="168" fontId="13" fillId="0" borderId="1" xfId="149" applyNumberFormat="1" applyBorder="1" applyAlignment="1">
      <alignment horizontal="center"/>
    </xf>
    <xf numFmtId="1" fontId="13" fillId="0" borderId="35" xfId="149" applyNumberFormat="1" applyBorder="1" applyAlignment="1">
      <alignment horizontal="center"/>
    </xf>
    <xf numFmtId="168" fontId="13" fillId="0" borderId="16" xfId="149" applyNumberFormat="1" applyBorder="1" applyAlignment="1">
      <alignment horizontal="center"/>
    </xf>
    <xf numFmtId="1" fontId="13" fillId="0" borderId="2" xfId="149" applyNumberFormat="1" applyBorder="1" applyAlignment="1">
      <alignment horizontal="center"/>
    </xf>
    <xf numFmtId="1" fontId="13" fillId="0" borderId="3" xfId="149" applyNumberFormat="1" applyBorder="1" applyAlignment="1">
      <alignment horizontal="center"/>
    </xf>
    <xf numFmtId="0" fontId="0" fillId="0" borderId="5" xfId="0" applyBorder="1" applyAlignment="1">
      <alignment horizontal="center"/>
    </xf>
    <xf numFmtId="0" fontId="0" fillId="0" borderId="33" xfId="0" applyBorder="1"/>
    <xf numFmtId="0" fontId="25" fillId="0" borderId="21" xfId="0" applyFont="1" applyFill="1" applyBorder="1" applyAlignment="1">
      <alignment horizontal="center" wrapText="1"/>
    </xf>
    <xf numFmtId="1" fontId="51" fillId="0" borderId="10" xfId="106" applyNumberFormat="1" applyFont="1" applyFill="1" applyBorder="1" applyAlignment="1">
      <alignment horizontal="center"/>
    </xf>
    <xf numFmtId="1" fontId="51" fillId="0" borderId="12" xfId="106" applyNumberFormat="1" applyFont="1" applyFill="1" applyBorder="1" applyAlignment="1">
      <alignment horizontal="center"/>
    </xf>
    <xf numFmtId="3" fontId="35" fillId="0" borderId="16" xfId="0" applyNumberFormat="1" applyFont="1" applyFill="1" applyBorder="1" applyAlignment="1">
      <alignment horizontal="center"/>
    </xf>
    <xf numFmtId="3" fontId="35" fillId="0" borderId="14" xfId="0" applyNumberFormat="1" applyFont="1" applyFill="1" applyBorder="1" applyAlignment="1">
      <alignment horizontal="center"/>
    </xf>
    <xf numFmtId="0" fontId="0" fillId="0" borderId="20" xfId="0" applyBorder="1" applyAlignment="1">
      <alignment horizontal="center"/>
    </xf>
    <xf numFmtId="165" fontId="35" fillId="0" borderId="35" xfId="0" applyNumberFormat="1" applyFont="1" applyFill="1" applyBorder="1" applyAlignment="1">
      <alignment horizontal="center"/>
    </xf>
    <xf numFmtId="165" fontId="31" fillId="0" borderId="31" xfId="1" applyNumberFormat="1" applyFont="1" applyBorder="1" applyAlignment="1">
      <alignment horizontal="center"/>
    </xf>
    <xf numFmtId="165" fontId="31" fillId="0" borderId="35" xfId="1" applyNumberFormat="1" applyFont="1" applyBorder="1" applyAlignment="1">
      <alignment horizontal="center"/>
    </xf>
    <xf numFmtId="3" fontId="31" fillId="0" borderId="16" xfId="1" applyNumberFormat="1" applyFont="1" applyBorder="1" applyAlignment="1">
      <alignment horizontal="center"/>
    </xf>
    <xf numFmtId="0" fontId="62" fillId="0" borderId="0" xfId="106" applyFont="1" applyFill="1" applyBorder="1" applyAlignment="1">
      <alignment horizontal="center"/>
    </xf>
    <xf numFmtId="0" fontId="25" fillId="0" borderId="0" xfId="0" applyFont="1" applyFill="1" applyBorder="1" applyAlignment="1">
      <alignment horizontal="center"/>
    </xf>
    <xf numFmtId="164" fontId="25" fillId="0" borderId="0" xfId="0" applyNumberFormat="1" applyFont="1" applyFill="1" applyBorder="1" applyAlignment="1">
      <alignment horizontal="center"/>
    </xf>
    <xf numFmtId="2" fontId="63" fillId="0" borderId="0" xfId="106" applyNumberFormat="1" applyFont="1" applyFill="1" applyBorder="1" applyAlignment="1">
      <alignment horizontal="center"/>
    </xf>
    <xf numFmtId="0" fontId="25" fillId="0" borderId="0" xfId="0" applyFont="1" applyFill="1" applyBorder="1" applyAlignment="1">
      <alignment vertical="center" wrapText="1"/>
    </xf>
    <xf numFmtId="0" fontId="23" fillId="0" borderId="14" xfId="0" applyFont="1" applyBorder="1" applyAlignment="1">
      <alignment horizontal="center"/>
    </xf>
    <xf numFmtId="0" fontId="23" fillId="0" borderId="40" xfId="0" applyFont="1" applyBorder="1" applyAlignment="1">
      <alignment horizontal="center"/>
    </xf>
    <xf numFmtId="0" fontId="25" fillId="0" borderId="2" xfId="0" applyFont="1" applyBorder="1"/>
    <xf numFmtId="0" fontId="25" fillId="0" borderId="3" xfId="0" applyFont="1" applyBorder="1"/>
    <xf numFmtId="2" fontId="0" fillId="0" borderId="47" xfId="0" applyNumberFormat="1" applyFill="1" applyBorder="1" applyAlignment="1">
      <alignment horizontal="center"/>
    </xf>
    <xf numFmtId="2" fontId="0" fillId="0" borderId="45" xfId="0" applyNumberFormat="1" applyFill="1" applyBorder="1" applyAlignment="1">
      <alignment horizontal="center"/>
    </xf>
    <xf numFmtId="0" fontId="51" fillId="0" borderId="21" xfId="106" applyFont="1" applyFill="1" applyBorder="1" applyAlignment="1">
      <alignment horizontal="center"/>
    </xf>
    <xf numFmtId="0" fontId="51" fillId="0" borderId="11" xfId="106" applyFont="1" applyFill="1" applyBorder="1" applyAlignment="1">
      <alignment horizontal="center" vertical="center"/>
    </xf>
    <xf numFmtId="2" fontId="8" fillId="0" borderId="1" xfId="219" applyNumberFormat="1" applyBorder="1" applyAlignment="1">
      <alignment horizontal="center"/>
    </xf>
    <xf numFmtId="0" fontId="51" fillId="0" borderId="11" xfId="106" applyFont="1" applyFill="1" applyBorder="1" applyAlignment="1">
      <alignment horizontal="center"/>
    </xf>
    <xf numFmtId="2" fontId="76" fillId="0" borderId="0" xfId="0" applyNumberFormat="1" applyFont="1" applyFill="1" applyBorder="1" applyAlignment="1">
      <alignment horizontal="center"/>
    </xf>
    <xf numFmtId="3" fontId="25" fillId="0" borderId="0" xfId="0" applyNumberFormat="1" applyFont="1" applyFill="1" applyBorder="1" applyAlignment="1">
      <alignment horizontal="center"/>
    </xf>
    <xf numFmtId="167" fontId="25" fillId="0" borderId="0" xfId="0" applyNumberFormat="1" applyFont="1" applyFill="1" applyBorder="1" applyAlignment="1">
      <alignment horizontal="center"/>
    </xf>
    <xf numFmtId="2" fontId="0" fillId="0" borderId="0" xfId="0" applyNumberFormat="1" applyFill="1" applyBorder="1" applyAlignment="1">
      <alignment horizontal="center" wrapText="1"/>
    </xf>
    <xf numFmtId="2" fontId="26" fillId="0" borderId="45" xfId="65" applyNumberFormat="1" applyFont="1" applyFill="1" applyBorder="1" applyAlignment="1">
      <alignment horizontal="center"/>
    </xf>
    <xf numFmtId="3" fontId="25" fillId="44" borderId="35" xfId="3" applyNumberFormat="1" applyFont="1" applyFill="1" applyBorder="1" applyAlignment="1">
      <alignment horizontal="center"/>
    </xf>
    <xf numFmtId="3" fontId="25" fillId="44" borderId="22" xfId="3" applyNumberFormat="1" applyFont="1" applyFill="1" applyBorder="1" applyAlignment="1">
      <alignment horizontal="center"/>
    </xf>
    <xf numFmtId="169" fontId="0" fillId="0" borderId="36" xfId="0" applyNumberFormat="1" applyBorder="1" applyAlignment="1">
      <alignment horizontal="center"/>
    </xf>
    <xf numFmtId="0" fontId="23" fillId="0" borderId="36" xfId="0" applyFont="1" applyFill="1" applyBorder="1" applyAlignment="1">
      <alignment horizontal="center"/>
    </xf>
    <xf numFmtId="0" fontId="23" fillId="0" borderId="25" xfId="0" applyFont="1" applyFill="1" applyBorder="1" applyAlignment="1">
      <alignment horizontal="center"/>
    </xf>
    <xf numFmtId="165" fontId="32" fillId="2" borderId="3" xfId="0" applyNumberFormat="1" applyFont="1" applyFill="1" applyBorder="1" applyAlignment="1">
      <alignment horizontal="center"/>
    </xf>
    <xf numFmtId="165" fontId="32" fillId="2" borderId="37" xfId="0" applyNumberFormat="1" applyFont="1" applyFill="1" applyBorder="1" applyAlignment="1">
      <alignment horizontal="center"/>
    </xf>
    <xf numFmtId="0" fontId="25" fillId="0" borderId="50" xfId="0" applyFont="1" applyFill="1" applyBorder="1" applyAlignment="1">
      <alignment horizontal="center"/>
    </xf>
    <xf numFmtId="0" fontId="25" fillId="0" borderId="24" xfId="0" applyFont="1" applyBorder="1" applyAlignment="1">
      <alignment horizontal="center"/>
    </xf>
    <xf numFmtId="0" fontId="25" fillId="0" borderId="29" xfId="0" applyFont="1" applyBorder="1" applyAlignment="1">
      <alignment horizontal="center" wrapText="1"/>
    </xf>
    <xf numFmtId="0" fontId="34" fillId="0" borderId="23" xfId="0" applyFont="1" applyBorder="1" applyAlignment="1">
      <alignment horizontal="center"/>
    </xf>
    <xf numFmtId="0" fontId="25" fillId="0" borderId="28" xfId="0" applyFont="1" applyFill="1" applyBorder="1" applyAlignment="1">
      <alignment horizontal="center" wrapText="1"/>
    </xf>
    <xf numFmtId="0" fontId="23" fillId="0" borderId="0" xfId="0" applyFont="1" applyFill="1" applyBorder="1"/>
    <xf numFmtId="0" fontId="23" fillId="0" borderId="0" xfId="0" applyFont="1" applyFill="1"/>
    <xf numFmtId="164" fontId="23" fillId="0" borderId="19" xfId="0" applyNumberFormat="1" applyFont="1" applyFill="1" applyBorder="1" applyAlignment="1">
      <alignment horizontal="center"/>
    </xf>
    <xf numFmtId="164" fontId="73" fillId="0" borderId="0" xfId="0" applyNumberFormat="1" applyFont="1" applyFill="1" applyBorder="1" applyAlignment="1">
      <alignment horizontal="center"/>
    </xf>
    <xf numFmtId="0" fontId="25" fillId="0" borderId="76" xfId="0" applyFont="1" applyFill="1" applyBorder="1" applyAlignment="1">
      <alignment horizontal="center"/>
    </xf>
    <xf numFmtId="0" fontId="25" fillId="0" borderId="77" xfId="0" applyFont="1" applyFill="1" applyBorder="1" applyAlignment="1">
      <alignment horizontal="center" wrapText="1"/>
    </xf>
    <xf numFmtId="164" fontId="31" fillId="0" borderId="41" xfId="0" applyNumberFormat="1" applyFont="1" applyBorder="1" applyAlignment="1">
      <alignment horizontal="center"/>
    </xf>
    <xf numFmtId="0" fontId="25" fillId="0" borderId="10" xfId="0" applyFont="1" applyFill="1" applyBorder="1" applyAlignment="1">
      <alignment horizontal="center"/>
    </xf>
    <xf numFmtId="0" fontId="25" fillId="0" borderId="12" xfId="0" applyFont="1" applyFill="1" applyBorder="1" applyAlignment="1">
      <alignment horizontal="center" wrapText="1"/>
    </xf>
    <xf numFmtId="0" fontId="17" fillId="0" borderId="0" xfId="106" applyBorder="1"/>
    <xf numFmtId="0" fontId="71" fillId="0" borderId="1" xfId="106" applyFont="1" applyBorder="1" applyAlignment="1">
      <alignment horizontal="center"/>
    </xf>
    <xf numFmtId="0" fontId="17" fillId="0" borderId="1" xfId="106" applyBorder="1" applyAlignment="1">
      <alignment horizontal="center"/>
    </xf>
    <xf numFmtId="166" fontId="17" fillId="0" borderId="1" xfId="106" applyNumberFormat="1" applyBorder="1" applyAlignment="1">
      <alignment horizontal="center"/>
    </xf>
    <xf numFmtId="3" fontId="35" fillId="0" borderId="41" xfId="0" applyNumberFormat="1" applyFont="1" applyFill="1" applyBorder="1" applyAlignment="1">
      <alignment horizontal="center"/>
    </xf>
    <xf numFmtId="165" fontId="35" fillId="0" borderId="1" xfId="0" applyNumberFormat="1" applyFont="1" applyFill="1" applyBorder="1" applyAlignment="1">
      <alignment horizontal="center"/>
    </xf>
    <xf numFmtId="165" fontId="35" fillId="0" borderId="22" xfId="0" applyNumberFormat="1" applyFont="1" applyFill="1" applyBorder="1" applyAlignment="1">
      <alignment horizontal="center"/>
    </xf>
    <xf numFmtId="165" fontId="35" fillId="0" borderId="2" xfId="0" applyNumberFormat="1" applyFont="1" applyFill="1" applyBorder="1" applyAlignment="1">
      <alignment horizontal="center"/>
    </xf>
    <xf numFmtId="165" fontId="35" fillId="0" borderId="36" xfId="0" applyNumberFormat="1" applyFont="1" applyFill="1" applyBorder="1" applyAlignment="1">
      <alignment horizontal="center"/>
    </xf>
    <xf numFmtId="165" fontId="35" fillId="0" borderId="3" xfId="0" applyNumberFormat="1" applyFont="1" applyFill="1" applyBorder="1" applyAlignment="1">
      <alignment horizontal="center"/>
    </xf>
    <xf numFmtId="165" fontId="35" fillId="0" borderId="4" xfId="0" applyNumberFormat="1" applyFont="1" applyFill="1" applyBorder="1" applyAlignment="1">
      <alignment horizontal="center"/>
    </xf>
    <xf numFmtId="165" fontId="35" fillId="0" borderId="25" xfId="0" applyNumberFormat="1" applyFont="1" applyFill="1" applyBorder="1" applyAlignment="1">
      <alignment horizontal="center"/>
    </xf>
    <xf numFmtId="3" fontId="31" fillId="0" borderId="78" xfId="1" applyNumberFormat="1" applyFont="1" applyBorder="1" applyAlignment="1">
      <alignment horizontal="center"/>
    </xf>
    <xf numFmtId="3" fontId="31" fillId="0" borderId="5" xfId="1" applyNumberFormat="1" applyFont="1" applyBorder="1" applyAlignment="1">
      <alignment horizontal="center"/>
    </xf>
    <xf numFmtId="3" fontId="31" fillId="0" borderId="6" xfId="1" applyNumberFormat="1" applyFont="1" applyBorder="1" applyAlignment="1">
      <alignment horizontal="center"/>
    </xf>
    <xf numFmtId="3" fontId="31" fillId="0" borderId="74" xfId="1" applyNumberFormat="1" applyFont="1" applyBorder="1" applyAlignment="1">
      <alignment horizontal="center"/>
    </xf>
    <xf numFmtId="3" fontId="31" fillId="0" borderId="75" xfId="1" applyNumberFormat="1" applyFont="1" applyBorder="1" applyAlignment="1">
      <alignment horizontal="center"/>
    </xf>
    <xf numFmtId="3" fontId="31" fillId="0" borderId="1" xfId="1" applyNumberFormat="1" applyFont="1" applyBorder="1" applyAlignment="1">
      <alignment horizontal="center"/>
    </xf>
    <xf numFmtId="9" fontId="31" fillId="0" borderId="1" xfId="65" applyFont="1" applyBorder="1" applyAlignment="1">
      <alignment horizontal="center"/>
    </xf>
    <xf numFmtId="3" fontId="35" fillId="0" borderId="1" xfId="0" applyNumberFormat="1" applyFont="1" applyFill="1" applyBorder="1" applyAlignment="1">
      <alignment horizontal="center"/>
    </xf>
    <xf numFmtId="165" fontId="31" fillId="0" borderId="2" xfId="1" applyNumberFormat="1" applyFont="1" applyBorder="1" applyAlignment="1">
      <alignment horizontal="center"/>
    </xf>
    <xf numFmtId="165" fontId="31" fillId="0" borderId="3" xfId="1" applyNumberFormat="1" applyFont="1" applyBorder="1" applyAlignment="1">
      <alignment horizontal="center"/>
    </xf>
    <xf numFmtId="3" fontId="31" fillId="0" borderId="4" xfId="1" applyNumberFormat="1" applyFont="1" applyBorder="1" applyAlignment="1">
      <alignment horizontal="center"/>
    </xf>
    <xf numFmtId="9" fontId="31" fillId="0" borderId="4" xfId="65" applyFont="1" applyBorder="1" applyAlignment="1">
      <alignment horizontal="center"/>
    </xf>
    <xf numFmtId="3" fontId="35" fillId="0" borderId="4" xfId="0" applyNumberFormat="1" applyFont="1" applyFill="1" applyBorder="1" applyAlignment="1">
      <alignment horizontal="center"/>
    </xf>
    <xf numFmtId="3" fontId="0" fillId="0" borderId="49" xfId="0" applyNumberFormat="1" applyBorder="1" applyAlignment="1">
      <alignment horizontal="center"/>
    </xf>
    <xf numFmtId="3" fontId="0" fillId="0" borderId="26" xfId="0" applyNumberFormat="1" applyBorder="1" applyAlignment="1">
      <alignment horizontal="center"/>
    </xf>
    <xf numFmtId="3" fontId="0" fillId="0" borderId="34" xfId="0" applyNumberFormat="1" applyBorder="1" applyAlignment="1">
      <alignment horizontal="center"/>
    </xf>
    <xf numFmtId="167" fontId="0" fillId="0" borderId="35" xfId="0" applyNumberFormat="1" applyBorder="1" applyAlignment="1">
      <alignment horizontal="center"/>
    </xf>
    <xf numFmtId="167" fontId="0" fillId="0" borderId="2" xfId="0" applyNumberFormat="1" applyBorder="1" applyAlignment="1">
      <alignment horizontal="center"/>
    </xf>
    <xf numFmtId="167" fontId="0" fillId="0" borderId="3" xfId="0" applyNumberFormat="1" applyBorder="1" applyAlignment="1">
      <alignment horizontal="center"/>
    </xf>
    <xf numFmtId="3" fontId="35" fillId="0" borderId="3" xfId="0" applyNumberFormat="1" applyFont="1" applyFill="1" applyBorder="1" applyAlignment="1">
      <alignment horizontal="center"/>
    </xf>
    <xf numFmtId="3" fontId="31" fillId="0" borderId="37" xfId="1" applyNumberFormat="1" applyFont="1" applyBorder="1" applyAlignment="1">
      <alignment horizontal="center"/>
    </xf>
    <xf numFmtId="165" fontId="31" fillId="0" borderId="64" xfId="1" applyNumberFormat="1" applyFont="1" applyBorder="1" applyAlignment="1">
      <alignment horizontal="center"/>
    </xf>
    <xf numFmtId="164" fontId="73" fillId="0" borderId="78" xfId="0" applyNumberFormat="1" applyFont="1" applyFill="1" applyBorder="1" applyAlignment="1">
      <alignment horizontal="center"/>
    </xf>
    <xf numFmtId="164" fontId="73" fillId="0" borderId="5" xfId="0" applyNumberFormat="1" applyFont="1" applyFill="1" applyBorder="1" applyAlignment="1">
      <alignment horizontal="center"/>
    </xf>
    <xf numFmtId="164" fontId="73" fillId="0" borderId="6" xfId="0" applyNumberFormat="1" applyFont="1" applyFill="1" applyBorder="1" applyAlignment="1">
      <alignment horizontal="center"/>
    </xf>
    <xf numFmtId="165" fontId="0" fillId="0" borderId="1" xfId="1" applyNumberFormat="1" applyFont="1" applyBorder="1" applyAlignment="1">
      <alignment horizontal="center"/>
    </xf>
    <xf numFmtId="165" fontId="0" fillId="0" borderId="36" xfId="1" applyNumberFormat="1" applyFont="1" applyBorder="1" applyAlignment="1">
      <alignment horizontal="center"/>
    </xf>
    <xf numFmtId="165" fontId="0" fillId="0" borderId="9" xfId="1" applyNumberFormat="1" applyFont="1" applyBorder="1" applyAlignment="1">
      <alignment horizontal="center"/>
    </xf>
    <xf numFmtId="165" fontId="0" fillId="0" borderId="29" xfId="1" applyNumberFormat="1" applyFont="1" applyBorder="1" applyAlignment="1">
      <alignment horizontal="center"/>
    </xf>
    <xf numFmtId="164" fontId="0" fillId="0" borderId="4" xfId="0" applyNumberFormat="1" applyBorder="1" applyAlignment="1">
      <alignment horizontal="center"/>
    </xf>
    <xf numFmtId="164" fontId="23" fillId="0" borderId="37" xfId="0" applyNumberFormat="1" applyFont="1" applyFill="1" applyBorder="1" applyAlignment="1">
      <alignment horizontal="center"/>
    </xf>
    <xf numFmtId="165" fontId="31" fillId="0" borderId="4" xfId="1" applyNumberFormat="1" applyFont="1" applyBorder="1" applyAlignment="1">
      <alignment horizontal="center"/>
    </xf>
    <xf numFmtId="164" fontId="31" fillId="0" borderId="34" xfId="0" applyNumberFormat="1" applyFont="1" applyBorder="1" applyAlignment="1">
      <alignment horizontal="center"/>
    </xf>
    <xf numFmtId="9" fontId="31" fillId="0" borderId="14" xfId="65" applyFont="1" applyBorder="1" applyAlignment="1">
      <alignment horizontal="center"/>
    </xf>
    <xf numFmtId="0" fontId="51" fillId="0" borderId="52" xfId="106" applyFont="1" applyFill="1" applyBorder="1" applyAlignment="1">
      <alignment horizontal="center"/>
    </xf>
    <xf numFmtId="0" fontId="17" fillId="38" borderId="8" xfId="106" applyFill="1" applyBorder="1" applyAlignment="1">
      <alignment horizontal="center"/>
    </xf>
    <xf numFmtId="0" fontId="17" fillId="38" borderId="18" xfId="106" applyFill="1" applyBorder="1" applyAlignment="1">
      <alignment horizontal="center"/>
    </xf>
    <xf numFmtId="1" fontId="17" fillId="38" borderId="18" xfId="106" applyNumberFormat="1" applyFill="1" applyBorder="1" applyAlignment="1">
      <alignment horizontal="center"/>
    </xf>
    <xf numFmtId="1" fontId="17" fillId="38" borderId="24" xfId="106" applyNumberFormat="1" applyFill="1" applyBorder="1" applyAlignment="1">
      <alignment horizontal="center"/>
    </xf>
    <xf numFmtId="0" fontId="72" fillId="0" borderId="2" xfId="106" applyFont="1" applyBorder="1" applyAlignment="1">
      <alignment horizontal="center"/>
    </xf>
    <xf numFmtId="3" fontId="17" fillId="0" borderId="36" xfId="106" applyNumberFormat="1" applyBorder="1" applyAlignment="1">
      <alignment horizontal="center"/>
    </xf>
    <xf numFmtId="0" fontId="72" fillId="0" borderId="3" xfId="106" applyFont="1" applyBorder="1" applyAlignment="1">
      <alignment horizontal="center"/>
    </xf>
    <xf numFmtId="0" fontId="71" fillId="0" borderId="4" xfId="106" applyFont="1" applyBorder="1" applyAlignment="1">
      <alignment horizontal="center"/>
    </xf>
    <xf numFmtId="0" fontId="17" fillId="0" borderId="4" xfId="106" applyBorder="1" applyAlignment="1">
      <alignment horizontal="center"/>
    </xf>
    <xf numFmtId="166" fontId="17" fillId="0" borderId="4" xfId="106" applyNumberFormat="1" applyBorder="1" applyAlignment="1">
      <alignment horizontal="center"/>
    </xf>
    <xf numFmtId="3" fontId="17" fillId="0" borderId="25" xfId="106" applyNumberFormat="1" applyBorder="1" applyAlignment="1">
      <alignment horizontal="center"/>
    </xf>
    <xf numFmtId="164" fontId="35" fillId="0" borderId="23" xfId="0" applyNumberFormat="1" applyFont="1" applyFill="1" applyBorder="1" applyAlignment="1">
      <alignment horizontal="center"/>
    </xf>
    <xf numFmtId="164" fontId="35" fillId="0" borderId="14" xfId="0" applyNumberFormat="1" applyFont="1" applyFill="1" applyBorder="1" applyAlignment="1">
      <alignment horizontal="center"/>
    </xf>
    <xf numFmtId="164" fontId="35" fillId="0" borderId="40" xfId="0" applyNumberFormat="1" applyFont="1" applyFill="1" applyBorder="1" applyAlignment="1">
      <alignment horizontal="center"/>
    </xf>
    <xf numFmtId="164" fontId="35" fillId="0" borderId="2" xfId="0" applyNumberFormat="1" applyFont="1" applyFill="1" applyBorder="1" applyAlignment="1">
      <alignment horizontal="center"/>
    </xf>
    <xf numFmtId="164" fontId="35" fillId="0" borderId="1" xfId="0" applyNumberFormat="1" applyFont="1" applyFill="1" applyBorder="1" applyAlignment="1">
      <alignment horizontal="center"/>
    </xf>
    <xf numFmtId="164" fontId="35" fillId="0" borderId="36" xfId="0" applyNumberFormat="1" applyFont="1" applyFill="1" applyBorder="1" applyAlignment="1">
      <alignment horizontal="center"/>
    </xf>
    <xf numFmtId="164" fontId="35" fillId="0" borderId="3" xfId="0" applyNumberFormat="1" applyFont="1" applyFill="1" applyBorder="1" applyAlignment="1">
      <alignment horizontal="center"/>
    </xf>
    <xf numFmtId="164" fontId="35" fillId="0" borderId="4" xfId="0" applyNumberFormat="1" applyFont="1" applyFill="1" applyBorder="1" applyAlignment="1">
      <alignment horizontal="center"/>
    </xf>
    <xf numFmtId="164" fontId="35" fillId="0" borderId="25" xfId="0" applyNumberFormat="1" applyFont="1" applyFill="1" applyBorder="1" applyAlignment="1">
      <alignment horizontal="center"/>
    </xf>
    <xf numFmtId="3" fontId="35" fillId="0" borderId="25" xfId="0" applyNumberFormat="1" applyFont="1" applyFill="1" applyBorder="1" applyAlignment="1">
      <alignment horizontal="center"/>
    </xf>
    <xf numFmtId="2" fontId="51" fillId="0" borderId="10" xfId="106" applyNumberFormat="1" applyFont="1" applyFill="1" applyBorder="1" applyAlignment="1">
      <alignment horizontal="center"/>
    </xf>
    <xf numFmtId="2" fontId="51" fillId="0" borderId="0" xfId="106" applyNumberFormat="1" applyFont="1" applyFill="1" applyBorder="1" applyAlignment="1">
      <alignment horizontal="center"/>
    </xf>
    <xf numFmtId="2" fontId="51" fillId="0" borderId="20" xfId="106" applyNumberFormat="1" applyFont="1" applyFill="1" applyBorder="1" applyAlignment="1">
      <alignment horizontal="center"/>
    </xf>
    <xf numFmtId="2" fontId="51" fillId="0" borderId="31" xfId="106" applyNumberFormat="1" applyFont="1" applyFill="1" applyBorder="1" applyAlignment="1">
      <alignment horizontal="center"/>
    </xf>
    <xf numFmtId="2" fontId="17" fillId="0" borderId="0" xfId="106" applyNumberFormat="1" applyAlignment="1">
      <alignment horizontal="center"/>
    </xf>
    <xf numFmtId="2" fontId="0" fillId="0" borderId="1" xfId="0" applyNumberFormat="1" applyBorder="1" applyAlignment="1">
      <alignment horizontal="center"/>
    </xf>
    <xf numFmtId="164" fontId="0" fillId="0" borderId="0" xfId="0" applyNumberFormat="1" applyAlignment="1">
      <alignment horizontal="center"/>
    </xf>
    <xf numFmtId="164" fontId="0" fillId="0" borderId="16" xfId="0" applyNumberFormat="1" applyBorder="1" applyAlignment="1">
      <alignment horizontal="center"/>
    </xf>
    <xf numFmtId="164" fontId="0" fillId="0" borderId="1" xfId="0" applyNumberFormat="1" applyBorder="1" applyAlignment="1">
      <alignment horizontal="center"/>
    </xf>
    <xf numFmtId="164" fontId="77" fillId="0" borderId="11" xfId="0" applyNumberFormat="1" applyFont="1" applyFill="1" applyBorder="1" applyAlignment="1">
      <alignment horizontal="center" vertical="center" wrapText="1"/>
    </xf>
    <xf numFmtId="3" fontId="77" fillId="0" borderId="11" xfId="0" applyNumberFormat="1" applyFont="1" applyFill="1" applyBorder="1" applyAlignment="1">
      <alignment horizontal="center" vertical="center" wrapText="1"/>
    </xf>
    <xf numFmtId="3" fontId="77" fillId="0" borderId="10" xfId="0" applyNumberFormat="1" applyFont="1" applyFill="1" applyBorder="1" applyAlignment="1">
      <alignment horizontal="center" vertical="center" wrapText="1"/>
    </xf>
    <xf numFmtId="3" fontId="77" fillId="0" borderId="66" xfId="0" applyNumberFormat="1" applyFont="1" applyFill="1" applyBorder="1" applyAlignment="1">
      <alignment horizontal="center" vertical="center" wrapText="1"/>
    </xf>
    <xf numFmtId="3" fontId="77" fillId="0" borderId="8" xfId="0" applyNumberFormat="1" applyFont="1" applyFill="1" applyBorder="1" applyAlignment="1">
      <alignment horizontal="center" vertical="center" wrapText="1"/>
    </xf>
    <xf numFmtId="3" fontId="77" fillId="0" borderId="42" xfId="0" applyNumberFormat="1" applyFont="1" applyFill="1" applyBorder="1" applyAlignment="1">
      <alignment horizontal="center" vertical="center" wrapText="1"/>
    </xf>
    <xf numFmtId="165" fontId="77" fillId="0" borderId="10" xfId="0" applyNumberFormat="1" applyFont="1" applyFill="1" applyBorder="1" applyAlignment="1">
      <alignment horizontal="center" vertical="center" wrapText="1"/>
    </xf>
    <xf numFmtId="9" fontId="77" fillId="0" borderId="10" xfId="65" applyFont="1" applyFill="1" applyBorder="1" applyAlignment="1">
      <alignment horizontal="center" vertical="center" wrapText="1"/>
    </xf>
    <xf numFmtId="9" fontId="77" fillId="0" borderId="11" xfId="65" applyFont="1" applyBorder="1" applyAlignment="1">
      <alignment horizontal="center" vertical="center"/>
    </xf>
    <xf numFmtId="3" fontId="77" fillId="0" borderId="13" xfId="0" applyNumberFormat="1" applyFont="1" applyFill="1" applyBorder="1" applyAlignment="1">
      <alignment horizontal="center" vertical="center" wrapText="1"/>
    </xf>
    <xf numFmtId="3" fontId="77" fillId="0" borderId="10" xfId="0" applyNumberFormat="1" applyFont="1" applyBorder="1" applyAlignment="1">
      <alignment horizontal="center" vertical="center"/>
    </xf>
    <xf numFmtId="167" fontId="77" fillId="0" borderId="10" xfId="0" applyNumberFormat="1" applyFont="1" applyBorder="1" applyAlignment="1">
      <alignment horizontal="center" vertical="center"/>
    </xf>
    <xf numFmtId="164" fontId="77" fillId="0" borderId="10" xfId="0" applyNumberFormat="1" applyFont="1" applyBorder="1" applyAlignment="1">
      <alignment horizontal="center" vertical="center"/>
    </xf>
    <xf numFmtId="0" fontId="0" fillId="0" borderId="35" xfId="0" applyBorder="1" applyAlignment="1">
      <alignment horizontal="center"/>
    </xf>
    <xf numFmtId="0" fontId="0" fillId="0" borderId="22" xfId="0" applyBorder="1" applyAlignment="1">
      <alignment horizontal="center"/>
    </xf>
    <xf numFmtId="0" fontId="74" fillId="4" borderId="48" xfId="0" applyFont="1" applyFill="1" applyBorder="1" applyAlignment="1">
      <alignment horizontal="center"/>
    </xf>
    <xf numFmtId="2" fontId="0" fillId="0" borderId="27" xfId="0" applyNumberFormat="1" applyBorder="1" applyAlignment="1">
      <alignment horizontal="center"/>
    </xf>
    <xf numFmtId="2" fontId="0" fillId="0" borderId="64" xfId="0" applyNumberFormat="1" applyBorder="1" applyAlignment="1">
      <alignment horizontal="center"/>
    </xf>
    <xf numFmtId="0" fontId="25" fillId="54" borderId="10" xfId="0" applyFont="1" applyFill="1" applyBorder="1" applyAlignment="1">
      <alignment horizontal="center"/>
    </xf>
    <xf numFmtId="0" fontId="0" fillId="0" borderId="36" xfId="0" applyBorder="1" applyAlignment="1">
      <alignment horizontal="center"/>
    </xf>
    <xf numFmtId="2" fontId="67" fillId="40" borderId="1" xfId="0" applyNumberFormat="1" applyFont="1" applyFill="1" applyBorder="1" applyAlignment="1">
      <alignment horizontal="center"/>
    </xf>
    <xf numFmtId="2" fontId="25" fillId="48" borderId="1" xfId="0" applyNumberFormat="1" applyFont="1" applyFill="1" applyBorder="1" applyAlignment="1">
      <alignment horizontal="center"/>
    </xf>
    <xf numFmtId="2" fontId="23" fillId="0" borderId="1" xfId="0" applyNumberFormat="1" applyFont="1" applyBorder="1" applyAlignment="1">
      <alignment horizontal="center"/>
    </xf>
    <xf numFmtId="2" fontId="23" fillId="0" borderId="26" xfId="0" applyNumberFormat="1" applyFont="1" applyFill="1" applyBorder="1" applyAlignment="1">
      <alignment horizontal="center"/>
    </xf>
    <xf numFmtId="2" fontId="23" fillId="0" borderId="26" xfId="0" applyNumberFormat="1" applyFont="1" applyBorder="1" applyAlignment="1">
      <alignment horizontal="center"/>
    </xf>
    <xf numFmtId="2" fontId="0" fillId="0" borderId="26" xfId="0" applyNumberFormat="1" applyBorder="1" applyAlignment="1">
      <alignment horizontal="center"/>
    </xf>
    <xf numFmtId="2" fontId="0" fillId="0" borderId="0" xfId="0" applyNumberFormat="1" applyAlignment="1">
      <alignment horizontal="center"/>
    </xf>
    <xf numFmtId="170" fontId="25" fillId="49" borderId="26" xfId="0" applyNumberFormat="1" applyFont="1" applyFill="1" applyBorder="1" applyAlignment="1">
      <alignment horizontal="center"/>
    </xf>
    <xf numFmtId="170" fontId="23" fillId="0" borderId="26" xfId="0" applyNumberFormat="1" applyFont="1" applyFill="1" applyBorder="1" applyAlignment="1">
      <alignment horizontal="center"/>
    </xf>
    <xf numFmtId="170" fontId="23" fillId="0" borderId="26" xfId="0" applyNumberFormat="1" applyFont="1" applyBorder="1" applyAlignment="1">
      <alignment horizontal="center"/>
    </xf>
    <xf numFmtId="170" fontId="0" fillId="0" borderId="26" xfId="0" applyNumberFormat="1" applyBorder="1" applyAlignment="1">
      <alignment horizontal="center"/>
    </xf>
    <xf numFmtId="170" fontId="0" fillId="0" borderId="0" xfId="0" applyNumberFormat="1" applyBorder="1" applyAlignment="1">
      <alignment horizontal="center"/>
    </xf>
    <xf numFmtId="170" fontId="26" fillId="0" borderId="3" xfId="65" applyNumberFormat="1" applyFont="1" applyFill="1" applyBorder="1" applyAlignment="1">
      <alignment horizontal="center"/>
    </xf>
    <xf numFmtId="2" fontId="25" fillId="55" borderId="26" xfId="0" applyNumberFormat="1" applyFont="1" applyFill="1" applyBorder="1" applyAlignment="1">
      <alignment horizontal="center"/>
    </xf>
    <xf numFmtId="0" fontId="25" fillId="56" borderId="53" xfId="0" applyFont="1" applyFill="1" applyBorder="1" applyAlignment="1">
      <alignment horizontal="center"/>
    </xf>
    <xf numFmtId="2" fontId="0" fillId="0" borderId="11" xfId="0" applyNumberFormat="1" applyBorder="1" applyAlignment="1">
      <alignment horizontal="center"/>
    </xf>
    <xf numFmtId="3" fontId="35" fillId="0" borderId="14" xfId="68" applyNumberFormat="1" applyFont="1" applyFill="1" applyBorder="1" applyAlignment="1">
      <alignment horizontal="center"/>
    </xf>
    <xf numFmtId="3" fontId="77" fillId="0" borderId="11" xfId="68" applyNumberFormat="1" applyFont="1" applyFill="1" applyBorder="1" applyAlignment="1">
      <alignment horizontal="center" vertical="center" wrapText="1"/>
    </xf>
    <xf numFmtId="164" fontId="0" fillId="0" borderId="26" xfId="0" applyNumberFormat="1" applyBorder="1" applyAlignment="1">
      <alignment horizontal="center"/>
    </xf>
    <xf numFmtId="2" fontId="74" fillId="47" borderId="8" xfId="0" applyNumberFormat="1" applyFont="1" applyFill="1" applyBorder="1" applyAlignment="1">
      <alignment horizontal="center"/>
    </xf>
    <xf numFmtId="2" fontId="76" fillId="47" borderId="35" xfId="0" applyNumberFormat="1" applyFont="1" applyFill="1" applyBorder="1" applyAlignment="1">
      <alignment horizontal="center"/>
    </xf>
    <xf numFmtId="2" fontId="76" fillId="47" borderId="2" xfId="0" applyNumberFormat="1" applyFont="1" applyFill="1" applyBorder="1" applyAlignment="1">
      <alignment horizontal="center"/>
    </xf>
    <xf numFmtId="2" fontId="76" fillId="47" borderId="3" xfId="0" applyNumberFormat="1" applyFont="1" applyFill="1" applyBorder="1" applyAlignment="1">
      <alignment horizontal="center"/>
    </xf>
    <xf numFmtId="2" fontId="74" fillId="46" borderId="30" xfId="0" applyNumberFormat="1" applyFont="1" applyFill="1" applyBorder="1" applyAlignment="1">
      <alignment horizontal="center"/>
    </xf>
    <xf numFmtId="2" fontId="75" fillId="0" borderId="0" xfId="0" applyNumberFormat="1" applyFont="1" applyFill="1" applyBorder="1" applyAlignment="1">
      <alignment horizontal="center"/>
    </xf>
    <xf numFmtId="2" fontId="59" fillId="0" borderId="0" xfId="0" applyNumberFormat="1" applyFont="1" applyFill="1" applyBorder="1" applyAlignment="1">
      <alignment horizontal="center"/>
    </xf>
    <xf numFmtId="0" fontId="75" fillId="0" borderId="0" xfId="0" applyFont="1" applyFill="1" applyBorder="1" applyAlignment="1">
      <alignment horizontal="center"/>
    </xf>
    <xf numFmtId="167" fontId="75" fillId="0" borderId="0" xfId="0" applyNumberFormat="1" applyFont="1" applyFill="1" applyBorder="1" applyAlignment="1">
      <alignment horizontal="center"/>
    </xf>
    <xf numFmtId="0" fontId="59" fillId="0" borderId="0" xfId="0" applyFont="1" applyFill="1" applyBorder="1" applyAlignment="1">
      <alignment horizontal="center"/>
    </xf>
    <xf numFmtId="167" fontId="59" fillId="0" borderId="0" xfId="0" applyNumberFormat="1" applyFont="1" applyFill="1" applyBorder="1" applyAlignment="1">
      <alignment horizontal="center"/>
    </xf>
    <xf numFmtId="2" fontId="76" fillId="46" borderId="1" xfId="0" applyNumberFormat="1" applyFont="1" applyFill="1" applyBorder="1" applyAlignment="1">
      <alignment horizontal="center"/>
    </xf>
    <xf numFmtId="2" fontId="76" fillId="46" borderId="16" xfId="0" applyNumberFormat="1" applyFont="1" applyFill="1" applyBorder="1" applyAlignment="1">
      <alignment horizontal="center"/>
    </xf>
    <xf numFmtId="2" fontId="76" fillId="46" borderId="4" xfId="0" applyNumberFormat="1" applyFont="1" applyFill="1" applyBorder="1" applyAlignment="1">
      <alignment horizontal="center"/>
    </xf>
    <xf numFmtId="2" fontId="35" fillId="41" borderId="36" xfId="0" applyNumberFormat="1" applyFont="1" applyFill="1" applyBorder="1" applyAlignment="1">
      <alignment horizontal="center"/>
    </xf>
    <xf numFmtId="2" fontId="35" fillId="41" borderId="25" xfId="0" applyNumberFormat="1" applyFont="1" applyFill="1" applyBorder="1" applyAlignment="1">
      <alignment horizontal="center"/>
    </xf>
    <xf numFmtId="2" fontId="35" fillId="0" borderId="0" xfId="0" applyNumberFormat="1" applyFont="1" applyBorder="1" applyAlignment="1">
      <alignment horizontal="center"/>
    </xf>
    <xf numFmtId="2" fontId="81" fillId="41" borderId="22" xfId="0" applyNumberFormat="1" applyFont="1" applyFill="1" applyBorder="1" applyAlignment="1">
      <alignment horizontal="center"/>
    </xf>
    <xf numFmtId="2" fontId="81" fillId="41" borderId="36" xfId="0" applyNumberFormat="1" applyFont="1" applyFill="1" applyBorder="1" applyAlignment="1">
      <alignment horizontal="center"/>
    </xf>
    <xf numFmtId="2" fontId="82" fillId="41" borderId="11" xfId="0" applyNumberFormat="1" applyFont="1" applyFill="1" applyBorder="1" applyAlignment="1">
      <alignment horizontal="center"/>
    </xf>
    <xf numFmtId="1" fontId="79" fillId="0" borderId="11" xfId="0" applyNumberFormat="1" applyFont="1" applyBorder="1" applyAlignment="1">
      <alignment horizontal="center" vertical="center"/>
    </xf>
    <xf numFmtId="164" fontId="0" fillId="0" borderId="49" xfId="0" applyNumberFormat="1" applyBorder="1" applyAlignment="1">
      <alignment horizontal="center"/>
    </xf>
    <xf numFmtId="164" fontId="0" fillId="0" borderId="34" xfId="0" applyNumberFormat="1" applyBorder="1" applyAlignment="1">
      <alignment horizontal="center"/>
    </xf>
    <xf numFmtId="1" fontId="0" fillId="0" borderId="23" xfId="0" applyNumberFormat="1" applyBorder="1" applyAlignment="1">
      <alignment horizontal="center"/>
    </xf>
    <xf numFmtId="10" fontId="0" fillId="0" borderId="0" xfId="0" applyNumberFormat="1" applyAlignment="1">
      <alignment horizontal="center"/>
    </xf>
    <xf numFmtId="164" fontId="77" fillId="0" borderId="8" xfId="0" applyNumberFormat="1" applyFont="1" applyBorder="1" applyAlignment="1">
      <alignment horizontal="center" vertical="center"/>
    </xf>
    <xf numFmtId="10" fontId="0" fillId="0" borderId="14" xfId="0" applyNumberFormat="1" applyBorder="1" applyAlignment="1">
      <alignment horizontal="center"/>
    </xf>
    <xf numFmtId="10" fontId="79" fillId="0" borderId="52" xfId="0" applyNumberFormat="1" applyFont="1" applyBorder="1" applyAlignment="1">
      <alignment horizontal="center" vertical="center"/>
    </xf>
    <xf numFmtId="3" fontId="0" fillId="0" borderId="0" xfId="0" applyNumberFormat="1" applyAlignment="1">
      <alignment horizontal="center"/>
    </xf>
    <xf numFmtId="3" fontId="79" fillId="0" borderId="11" xfId="0" applyNumberFormat="1" applyFont="1" applyBorder="1" applyAlignment="1">
      <alignment horizontal="center" vertical="center"/>
    </xf>
    <xf numFmtId="3" fontId="0" fillId="0" borderId="41" xfId="0" applyNumberFormat="1" applyBorder="1" applyAlignment="1">
      <alignment horizontal="center"/>
    </xf>
    <xf numFmtId="3" fontId="23" fillId="0" borderId="40" xfId="0" applyNumberFormat="1" applyFont="1" applyBorder="1" applyAlignment="1">
      <alignment horizontal="center"/>
    </xf>
    <xf numFmtId="2" fontId="25" fillId="36" borderId="11" xfId="0" applyNumberFormat="1" applyFont="1" applyFill="1" applyBorder="1" applyAlignment="1">
      <alignment horizontal="center"/>
    </xf>
    <xf numFmtId="164" fontId="0" fillId="0" borderId="11" xfId="0" applyNumberFormat="1" applyBorder="1" applyAlignment="1">
      <alignment horizontal="center"/>
    </xf>
    <xf numFmtId="164" fontId="28" fillId="57" borderId="0" xfId="0" applyNumberFormat="1" applyFont="1" applyFill="1" applyBorder="1" applyAlignment="1">
      <alignment horizontal="center"/>
    </xf>
    <xf numFmtId="164" fontId="25" fillId="57" borderId="0" xfId="0" applyNumberFormat="1" applyFont="1" applyFill="1" applyBorder="1" applyAlignment="1">
      <alignment horizontal="center" wrapText="1"/>
    </xf>
    <xf numFmtId="164" fontId="0" fillId="57" borderId="0" xfId="0" applyNumberFormat="1" applyFill="1" applyBorder="1" applyAlignment="1">
      <alignment horizontal="center"/>
    </xf>
    <xf numFmtId="164" fontId="0" fillId="57" borderId="0" xfId="0" applyNumberFormat="1" applyFill="1" applyBorder="1"/>
    <xf numFmtId="164" fontId="25" fillId="57" borderId="0" xfId="0" applyNumberFormat="1" applyFont="1" applyFill="1" applyBorder="1" applyAlignment="1">
      <alignment horizontal="center" vertical="center" wrapText="1"/>
    </xf>
    <xf numFmtId="0" fontId="17" fillId="0" borderId="32" xfId="106" applyBorder="1" applyAlignment="1">
      <alignment horizontal="center"/>
    </xf>
    <xf numFmtId="0" fontId="17" fillId="0" borderId="0" xfId="106" applyBorder="1" applyAlignment="1">
      <alignment horizontal="center"/>
    </xf>
    <xf numFmtId="0" fontId="61" fillId="0" borderId="65" xfId="106" applyFont="1" applyBorder="1" applyAlignment="1">
      <alignment horizontal="center" vertical="center" wrapText="1"/>
    </xf>
    <xf numFmtId="0" fontId="51" fillId="40" borderId="10" xfId="106" applyFont="1" applyFill="1" applyBorder="1" applyAlignment="1">
      <alignment horizontal="center" vertical="center" wrapText="1"/>
    </xf>
    <xf numFmtId="0" fontId="51" fillId="40" borderId="30" xfId="106" applyFont="1" applyFill="1" applyBorder="1" applyAlignment="1">
      <alignment horizontal="center" vertical="center" wrapText="1"/>
    </xf>
    <xf numFmtId="0" fontId="51" fillId="41" borderId="10" xfId="106" applyFont="1" applyFill="1" applyBorder="1" applyAlignment="1">
      <alignment horizontal="center" vertical="center" wrapText="1"/>
    </xf>
    <xf numFmtId="0" fontId="51" fillId="41" borderId="30" xfId="106" applyFont="1" applyFill="1" applyBorder="1" applyAlignment="1">
      <alignment horizontal="center" vertical="center" wrapText="1"/>
    </xf>
    <xf numFmtId="0" fontId="51" fillId="42" borderId="53" xfId="106" applyFont="1" applyFill="1" applyBorder="1" applyAlignment="1">
      <alignment horizontal="center" vertical="center" wrapText="1"/>
    </xf>
    <xf numFmtId="0" fontId="51" fillId="42" borderId="67" xfId="106" applyFont="1" applyFill="1" applyBorder="1" applyAlignment="1">
      <alignment horizontal="center" vertical="center" wrapText="1"/>
    </xf>
    <xf numFmtId="168" fontId="51" fillId="0" borderId="10" xfId="106" applyNumberFormat="1" applyFont="1" applyFill="1" applyBorder="1" applyAlignment="1">
      <alignment horizontal="center" vertical="center"/>
    </xf>
    <xf numFmtId="168" fontId="51" fillId="0" borderId="12" xfId="106" applyNumberFormat="1" applyFont="1" applyFill="1" applyBorder="1" applyAlignment="1">
      <alignment horizontal="center" vertical="center"/>
    </xf>
    <xf numFmtId="2" fontId="60" fillId="36" borderId="21" xfId="106" applyNumberFormat="1" applyFont="1" applyFill="1" applyBorder="1" applyAlignment="1">
      <alignment horizontal="center"/>
    </xf>
    <xf numFmtId="2" fontId="60" fillId="36" borderId="52" xfId="106" applyNumberFormat="1" applyFont="1" applyFill="1" applyBorder="1" applyAlignment="1">
      <alignment horizontal="center"/>
    </xf>
    <xf numFmtId="2" fontId="60" fillId="36" borderId="42" xfId="106" applyNumberFormat="1" applyFont="1" applyFill="1" applyBorder="1" applyAlignment="1">
      <alignment horizontal="center"/>
    </xf>
    <xf numFmtId="2" fontId="60" fillId="44" borderId="21" xfId="106" applyNumberFormat="1" applyFont="1" applyFill="1" applyBorder="1" applyAlignment="1">
      <alignment horizontal="center"/>
    </xf>
    <xf numFmtId="2" fontId="60" fillId="44" borderId="42" xfId="106" applyNumberFormat="1" applyFont="1" applyFill="1" applyBorder="1" applyAlignment="1">
      <alignment horizontal="center"/>
    </xf>
    <xf numFmtId="0" fontId="61" fillId="0" borderId="0" xfId="106" applyFont="1" applyBorder="1" applyAlignment="1">
      <alignment horizontal="center" vertical="center"/>
    </xf>
    <xf numFmtId="0" fontId="61" fillId="0" borderId="65" xfId="106" applyFont="1" applyBorder="1" applyAlignment="1">
      <alignment horizontal="center" vertical="center"/>
    </xf>
    <xf numFmtId="0" fontId="51" fillId="39" borderId="10" xfId="106" applyFont="1" applyFill="1" applyBorder="1" applyAlignment="1">
      <alignment horizontal="center" vertical="center" wrapText="1"/>
    </xf>
    <xf numFmtId="0" fontId="51" fillId="39" borderId="30" xfId="106" applyFont="1" applyFill="1" applyBorder="1" applyAlignment="1">
      <alignment horizontal="center" vertical="center" wrapText="1"/>
    </xf>
    <xf numFmtId="0" fontId="60" fillId="0" borderId="31" xfId="106" applyFont="1" applyBorder="1" applyAlignment="1">
      <alignment horizontal="center"/>
    </xf>
    <xf numFmtId="0" fontId="60" fillId="0" borderId="19" xfId="106" applyFont="1" applyBorder="1" applyAlignment="1">
      <alignment horizontal="center"/>
    </xf>
    <xf numFmtId="10" fontId="25" fillId="0" borderId="10" xfId="0" applyNumberFormat="1" applyFont="1" applyBorder="1" applyAlignment="1">
      <alignment horizontal="center" vertical="center" wrapText="1"/>
    </xf>
    <xf numFmtId="10" fontId="25" fillId="0" borderId="30" xfId="0" applyNumberFormat="1" applyFont="1" applyBorder="1" applyAlignment="1">
      <alignment horizontal="center" vertical="center" wrapText="1"/>
    </xf>
    <xf numFmtId="3" fontId="25" fillId="0" borderId="10" xfId="0" applyNumberFormat="1" applyFont="1" applyBorder="1" applyAlignment="1">
      <alignment horizontal="center" vertical="center" wrapText="1"/>
    </xf>
    <xf numFmtId="3" fontId="25" fillId="0" borderId="30" xfId="0" applyNumberFormat="1" applyFont="1" applyBorder="1" applyAlignment="1">
      <alignment horizontal="center" vertical="center" wrapText="1"/>
    </xf>
    <xf numFmtId="3" fontId="25" fillId="0" borderId="10" xfId="0" applyNumberFormat="1" applyFont="1" applyFill="1" applyBorder="1" applyAlignment="1">
      <alignment horizontal="center" vertical="center" wrapText="1"/>
    </xf>
    <xf numFmtId="3" fontId="25" fillId="0" borderId="12" xfId="0" applyNumberFormat="1" applyFont="1" applyFill="1" applyBorder="1" applyAlignment="1">
      <alignment horizontal="center" vertical="center" wrapText="1"/>
    </xf>
    <xf numFmtId="0" fontId="0" fillId="0" borderId="33" xfId="0" applyBorder="1" applyAlignment="1">
      <alignment horizontal="center"/>
    </xf>
    <xf numFmtId="0" fontId="0" fillId="0" borderId="39" xfId="0" applyBorder="1" applyAlignment="1">
      <alignment horizontal="center"/>
    </xf>
    <xf numFmtId="0" fontId="74" fillId="53" borderId="21" xfId="0" applyFont="1" applyFill="1" applyBorder="1" applyAlignment="1">
      <alignment horizontal="center"/>
    </xf>
    <xf numFmtId="0" fontId="74" fillId="53" borderId="52" xfId="0" applyFont="1" applyFill="1" applyBorder="1" applyAlignment="1">
      <alignment horizontal="center"/>
    </xf>
    <xf numFmtId="0" fontId="74" fillId="53" borderId="42" xfId="0" applyFont="1" applyFill="1" applyBorder="1" applyAlignment="1">
      <alignment horizontal="center"/>
    </xf>
    <xf numFmtId="0" fontId="25" fillId="0" borderId="74" xfId="0" applyFont="1" applyFill="1" applyBorder="1" applyAlignment="1">
      <alignment horizontal="left"/>
    </xf>
    <xf numFmtId="0" fontId="25" fillId="0" borderId="47" xfId="0" applyFont="1" applyFill="1" applyBorder="1" applyAlignment="1">
      <alignment horizontal="left"/>
    </xf>
    <xf numFmtId="0" fontId="83" fillId="36" borderId="10" xfId="0" applyFont="1" applyFill="1" applyBorder="1" applyAlignment="1">
      <alignment horizontal="center" vertical="center" wrapText="1"/>
    </xf>
    <xf numFmtId="0" fontId="83" fillId="36" borderId="12" xfId="0" applyFont="1" applyFill="1" applyBorder="1" applyAlignment="1">
      <alignment horizontal="center" vertical="center" wrapText="1"/>
    </xf>
    <xf numFmtId="0" fontId="25" fillId="0" borderId="10" xfId="0" applyFont="1" applyFill="1" applyBorder="1" applyAlignment="1">
      <alignment horizontal="center" vertical="center" wrapText="1"/>
    </xf>
    <xf numFmtId="0" fontId="25" fillId="0" borderId="12" xfId="0" applyFont="1" applyFill="1" applyBorder="1" applyAlignment="1">
      <alignment horizontal="center" vertical="center" wrapText="1"/>
    </xf>
    <xf numFmtId="3" fontId="28" fillId="3" borderId="10" xfId="3" applyNumberFormat="1" applyFont="1" applyFill="1" applyBorder="1" applyAlignment="1">
      <alignment horizontal="center" wrapText="1"/>
    </xf>
    <xf numFmtId="3" fontId="28" fillId="3" borderId="12" xfId="3" applyNumberFormat="1" applyFont="1" applyFill="1" applyBorder="1" applyAlignment="1">
      <alignment horizontal="center" wrapText="1"/>
    </xf>
    <xf numFmtId="0" fontId="25" fillId="0" borderId="21" xfId="0" applyFont="1" applyBorder="1" applyAlignment="1">
      <alignment horizontal="left"/>
    </xf>
    <xf numFmtId="0" fontId="25" fillId="0" borderId="42" xfId="0" applyFont="1" applyBorder="1" applyAlignment="1">
      <alignment horizontal="left"/>
    </xf>
    <xf numFmtId="0" fontId="25" fillId="0" borderId="21" xfId="0" applyFont="1" applyFill="1" applyBorder="1" applyAlignment="1">
      <alignment horizontal="center" vertical="center"/>
    </xf>
    <xf numFmtId="0" fontId="25" fillId="0" borderId="66" xfId="0" applyFont="1" applyFill="1" applyBorder="1" applyAlignment="1">
      <alignment horizontal="center" vertical="center"/>
    </xf>
    <xf numFmtId="0" fontId="25" fillId="0" borderId="53" xfId="0" applyFont="1" applyFill="1" applyBorder="1" applyAlignment="1">
      <alignment horizontal="center" vertical="center"/>
    </xf>
    <xf numFmtId="0" fontId="25" fillId="0" borderId="8" xfId="0" applyFont="1" applyFill="1" applyBorder="1" applyAlignment="1">
      <alignment horizontal="center" vertical="center"/>
    </xf>
    <xf numFmtId="0" fontId="0" fillId="0" borderId="53" xfId="0" applyFont="1" applyFill="1" applyBorder="1" applyAlignment="1">
      <alignment horizontal="center" vertical="center"/>
    </xf>
    <xf numFmtId="3" fontId="28" fillId="3" borderId="8" xfId="3" applyNumberFormat="1" applyFont="1" applyFill="1" applyBorder="1" applyAlignment="1">
      <alignment horizontal="center" wrapText="1"/>
    </xf>
    <xf numFmtId="3" fontId="28" fillId="3" borderId="17" xfId="3" applyNumberFormat="1" applyFont="1" applyFill="1" applyBorder="1" applyAlignment="1">
      <alignment horizontal="center" wrapText="1"/>
    </xf>
    <xf numFmtId="3" fontId="25" fillId="0" borderId="0" xfId="3" applyNumberFormat="1" applyFont="1" applyFill="1" applyBorder="1" applyAlignment="1">
      <alignment horizontal="center"/>
    </xf>
    <xf numFmtId="3" fontId="25" fillId="3" borderId="23" xfId="3" applyNumberFormat="1" applyFont="1" applyFill="1" applyBorder="1" applyAlignment="1">
      <alignment horizontal="left"/>
    </xf>
    <xf numFmtId="3" fontId="25" fillId="3" borderId="14" xfId="3" applyNumberFormat="1" applyFont="1" applyFill="1" applyBorder="1" applyAlignment="1">
      <alignment horizontal="left"/>
    </xf>
    <xf numFmtId="3" fontId="25" fillId="3" borderId="2" xfId="3" applyNumberFormat="1" applyFont="1" applyFill="1" applyBorder="1" applyAlignment="1">
      <alignment horizontal="left"/>
    </xf>
    <xf numFmtId="3" fontId="25" fillId="3" borderId="1" xfId="3" applyNumberFormat="1" applyFont="1" applyFill="1" applyBorder="1" applyAlignment="1">
      <alignment horizontal="left"/>
    </xf>
    <xf numFmtId="0" fontId="56" fillId="0" borderId="10" xfId="0" applyFont="1" applyBorder="1" applyAlignment="1">
      <alignment horizontal="center" vertical="center"/>
    </xf>
    <xf numFmtId="0" fontId="56" fillId="0" borderId="30" xfId="0" applyFont="1" applyBorder="1" applyAlignment="1">
      <alignment horizontal="center" vertical="center"/>
    </xf>
    <xf numFmtId="0" fontId="56" fillId="0" borderId="12" xfId="0" applyFont="1" applyBorder="1" applyAlignment="1">
      <alignment horizontal="center" vertical="center"/>
    </xf>
    <xf numFmtId="3" fontId="28" fillId="3" borderId="8" xfId="3" applyNumberFormat="1" applyFont="1" applyFill="1" applyBorder="1" applyAlignment="1">
      <alignment horizontal="center"/>
    </xf>
    <xf numFmtId="3" fontId="28" fillId="3" borderId="66" xfId="3" applyNumberFormat="1" applyFont="1" applyFill="1" applyBorder="1" applyAlignment="1">
      <alignment horizontal="center"/>
    </xf>
    <xf numFmtId="0" fontId="74" fillId="50" borderId="71" xfId="0" applyFont="1" applyFill="1" applyBorder="1" applyAlignment="1">
      <alignment horizontal="center"/>
    </xf>
    <xf numFmtId="0" fontId="74" fillId="50" borderId="72" xfId="0" applyFont="1" applyFill="1" applyBorder="1" applyAlignment="1">
      <alignment horizontal="center"/>
    </xf>
    <xf numFmtId="0" fontId="74" fillId="50" borderId="73" xfId="0" applyFont="1" applyFill="1" applyBorder="1" applyAlignment="1">
      <alignment horizontal="center"/>
    </xf>
    <xf numFmtId="0" fontId="0" fillId="0" borderId="0" xfId="0" applyFill="1" applyBorder="1" applyAlignment="1">
      <alignment horizontal="center"/>
    </xf>
    <xf numFmtId="3" fontId="25" fillId="3" borderId="3" xfId="3" applyNumberFormat="1" applyFont="1" applyFill="1" applyBorder="1" applyAlignment="1">
      <alignment horizontal="left"/>
    </xf>
    <xf numFmtId="3" fontId="25" fillId="3" borderId="4" xfId="3" applyNumberFormat="1" applyFont="1" applyFill="1" applyBorder="1" applyAlignment="1">
      <alignment horizontal="left"/>
    </xf>
    <xf numFmtId="0" fontId="25" fillId="0" borderId="10" xfId="0" applyFont="1" applyBorder="1" applyAlignment="1">
      <alignment horizontal="center" vertical="center" wrapText="1"/>
    </xf>
    <xf numFmtId="0" fontId="25" fillId="0" borderId="30" xfId="0" applyFont="1" applyBorder="1" applyAlignment="1">
      <alignment horizontal="center" vertical="center" wrapText="1"/>
    </xf>
    <xf numFmtId="164" fontId="25" fillId="0" borderId="10" xfId="0" applyNumberFormat="1" applyFont="1" applyBorder="1" applyAlignment="1">
      <alignment horizontal="center" vertical="center" wrapText="1"/>
    </xf>
    <xf numFmtId="164" fontId="25" fillId="0" borderId="12" xfId="0" applyNumberFormat="1" applyFont="1" applyBorder="1" applyAlignment="1">
      <alignment horizontal="center" vertical="center" wrapText="1"/>
    </xf>
    <xf numFmtId="0" fontId="74" fillId="52" borderId="35" xfId="0" applyFont="1" applyFill="1" applyBorder="1" applyAlignment="1">
      <alignment horizontal="center"/>
    </xf>
    <xf numFmtId="0" fontId="74" fillId="52" borderId="22" xfId="0" applyFont="1" applyFill="1" applyBorder="1" applyAlignment="1">
      <alignment horizontal="center"/>
    </xf>
    <xf numFmtId="0" fontId="25" fillId="0" borderId="12" xfId="0" applyFont="1" applyBorder="1" applyAlignment="1">
      <alignment horizontal="center" vertical="center" wrapText="1"/>
    </xf>
    <xf numFmtId="0" fontId="25" fillId="0" borderId="10" xfId="68" applyFont="1" applyFill="1" applyBorder="1" applyAlignment="1">
      <alignment horizontal="center" vertical="center" wrapText="1"/>
    </xf>
    <xf numFmtId="0" fontId="25" fillId="0" borderId="30" xfId="68" applyFont="1" applyFill="1" applyBorder="1" applyAlignment="1">
      <alignment horizontal="center" vertical="center" wrapText="1"/>
    </xf>
    <xf numFmtId="0" fontId="25" fillId="0" borderId="3" xfId="0" applyFont="1" applyBorder="1" applyAlignment="1">
      <alignment horizontal="left"/>
    </xf>
    <xf numFmtId="0" fontId="25" fillId="0" borderId="25" xfId="0" applyFont="1" applyBorder="1" applyAlignment="1">
      <alignment horizontal="left"/>
    </xf>
    <xf numFmtId="0" fontId="51" fillId="0" borderId="10" xfId="106" applyFont="1" applyBorder="1" applyAlignment="1">
      <alignment horizontal="center" vertical="center" wrapText="1"/>
    </xf>
    <xf numFmtId="0" fontId="51" fillId="0" borderId="12" xfId="106" applyFont="1" applyBorder="1" applyAlignment="1">
      <alignment horizontal="center" vertical="center" wrapText="1"/>
    </xf>
    <xf numFmtId="0" fontId="25" fillId="0" borderId="8" xfId="0" applyFont="1" applyBorder="1" applyAlignment="1">
      <alignment horizontal="center"/>
    </xf>
    <xf numFmtId="0" fontId="25" fillId="0" borderId="53" xfId="0" applyFont="1" applyBorder="1" applyAlignment="1">
      <alignment horizontal="center"/>
    </xf>
    <xf numFmtId="0" fontId="25" fillId="0" borderId="17" xfId="0" applyFont="1" applyBorder="1" applyAlignment="1">
      <alignment horizontal="center"/>
    </xf>
    <xf numFmtId="0" fontId="25" fillId="0" borderId="39" xfId="0" applyFont="1" applyBorder="1" applyAlignment="1">
      <alignment horizontal="center"/>
    </xf>
    <xf numFmtId="0" fontId="25" fillId="0" borderId="24" xfId="0" applyFont="1" applyFill="1" applyBorder="1" applyAlignment="1">
      <alignment horizontal="center" vertical="center" wrapText="1"/>
    </xf>
    <xf numFmtId="0" fontId="25" fillId="0" borderId="29" xfId="0" applyFont="1" applyFill="1" applyBorder="1" applyAlignment="1">
      <alignment horizontal="center" vertical="center" wrapText="1"/>
    </xf>
    <xf numFmtId="0" fontId="25" fillId="0" borderId="8" xfId="0" applyFont="1" applyFill="1" applyBorder="1" applyAlignment="1">
      <alignment horizontal="center" vertical="center" wrapText="1"/>
    </xf>
    <xf numFmtId="0" fontId="25" fillId="0" borderId="53" xfId="0" applyFont="1" applyFill="1" applyBorder="1" applyAlignment="1">
      <alignment horizontal="center" vertical="center" wrapText="1"/>
    </xf>
    <xf numFmtId="0" fontId="25" fillId="0" borderId="17" xfId="0" applyFont="1" applyFill="1" applyBorder="1" applyAlignment="1">
      <alignment horizontal="center" vertical="center" wrapText="1"/>
    </xf>
    <xf numFmtId="0" fontId="25" fillId="0" borderId="39" xfId="0" applyFont="1" applyFill="1" applyBorder="1" applyAlignment="1">
      <alignment horizontal="center" vertical="center" wrapText="1"/>
    </xf>
    <xf numFmtId="0" fontId="25" fillId="0" borderId="49" xfId="0" applyFont="1" applyFill="1" applyBorder="1" applyAlignment="1">
      <alignment horizontal="center" vertical="center"/>
    </xf>
    <xf numFmtId="0" fontId="0" fillId="0" borderId="47" xfId="0" applyFont="1" applyFill="1" applyBorder="1" applyAlignment="1">
      <alignment horizontal="center" vertical="center"/>
    </xf>
    <xf numFmtId="0" fontId="25" fillId="0" borderId="21" xfId="0" applyFont="1" applyBorder="1" applyAlignment="1">
      <alignment horizontal="center"/>
    </xf>
    <xf numFmtId="0" fontId="25" fillId="0" borderId="52" xfId="0" applyFont="1" applyBorder="1" applyAlignment="1">
      <alignment horizontal="center"/>
    </xf>
    <xf numFmtId="0" fontId="25" fillId="0" borderId="42" xfId="0" applyFont="1" applyBorder="1" applyAlignment="1">
      <alignment horizontal="center"/>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8"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8" xfId="0" applyFont="1" applyBorder="1" applyAlignment="1">
      <alignment horizontal="center" vertical="center"/>
    </xf>
    <xf numFmtId="0" fontId="25" fillId="0" borderId="53" xfId="0" applyFont="1" applyBorder="1" applyAlignment="1">
      <alignment horizontal="center" vertical="center"/>
    </xf>
    <xf numFmtId="0" fontId="25" fillId="0" borderId="17" xfId="0" applyFont="1" applyBorder="1" applyAlignment="1">
      <alignment horizontal="center" vertical="center"/>
    </xf>
    <xf numFmtId="0" fontId="25" fillId="0" borderId="39" xfId="0" applyFont="1" applyBorder="1" applyAlignment="1">
      <alignment horizontal="center" vertical="center"/>
    </xf>
    <xf numFmtId="0" fontId="24" fillId="0" borderId="8" xfId="0" applyFont="1" applyBorder="1" applyAlignment="1">
      <alignment horizontal="center" vertical="center" textRotation="90"/>
    </xf>
    <xf numFmtId="0" fontId="24" fillId="0" borderId="51" xfId="0" applyFont="1" applyBorder="1" applyAlignment="1">
      <alignment horizontal="center" vertical="center" textRotation="90"/>
    </xf>
    <xf numFmtId="0" fontId="24" fillId="0" borderId="17" xfId="0" applyFont="1" applyBorder="1" applyAlignment="1">
      <alignment horizontal="center" vertical="center" textRotation="90"/>
    </xf>
    <xf numFmtId="0" fontId="24" fillId="0" borderId="63" xfId="0" applyFont="1" applyBorder="1" applyAlignment="1">
      <alignment horizontal="center" vertical="center"/>
    </xf>
    <xf numFmtId="0" fontId="24" fillId="0" borderId="52" xfId="0" applyFont="1" applyBorder="1" applyAlignment="1">
      <alignment horizontal="center" vertical="center"/>
    </xf>
    <xf numFmtId="0" fontId="24" fillId="0" borderId="42" xfId="0" applyFont="1" applyBorder="1" applyAlignment="1">
      <alignment horizontal="center" vertical="center"/>
    </xf>
    <xf numFmtId="0" fontId="0" fillId="0" borderId="35" xfId="0" applyBorder="1" applyAlignment="1">
      <alignment horizontal="center"/>
    </xf>
    <xf numFmtId="0" fontId="0" fillId="0" borderId="22" xfId="0" applyBorder="1" applyAlignment="1">
      <alignment horizontal="center"/>
    </xf>
    <xf numFmtId="0" fontId="23" fillId="0" borderId="35" xfId="0" applyFont="1" applyBorder="1" applyAlignment="1">
      <alignment horizontal="center"/>
    </xf>
    <xf numFmtId="0" fontId="23" fillId="0" borderId="38" xfId="0" applyFont="1" applyBorder="1" applyAlignment="1">
      <alignment horizontal="center"/>
    </xf>
    <xf numFmtId="2" fontId="74" fillId="46" borderId="10" xfId="0" applyNumberFormat="1" applyFont="1" applyFill="1" applyBorder="1" applyAlignment="1">
      <alignment horizontal="center" wrapText="1"/>
    </xf>
    <xf numFmtId="2" fontId="74" fillId="46" borderId="12" xfId="0" applyNumberFormat="1" applyFont="1" applyFill="1" applyBorder="1" applyAlignment="1">
      <alignment horizontal="center" wrapText="1"/>
    </xf>
    <xf numFmtId="2" fontId="82" fillId="41" borderId="10" xfId="0" applyNumberFormat="1" applyFont="1" applyFill="1" applyBorder="1" applyAlignment="1">
      <alignment horizontal="center" wrapText="1"/>
    </xf>
    <xf numFmtId="2" fontId="82" fillId="41" borderId="12" xfId="0" applyNumberFormat="1" applyFont="1" applyFill="1" applyBorder="1" applyAlignment="1">
      <alignment horizontal="center" wrapText="1"/>
    </xf>
    <xf numFmtId="0" fontId="25" fillId="51" borderId="46" xfId="0" applyFont="1" applyFill="1" applyBorder="1" applyAlignment="1">
      <alignment horizontal="center" vertical="center"/>
    </xf>
    <xf numFmtId="0" fontId="25" fillId="51" borderId="65" xfId="0" applyFont="1" applyFill="1" applyBorder="1" applyAlignment="1">
      <alignment horizontal="center" vertical="center"/>
    </xf>
    <xf numFmtId="0" fontId="25" fillId="51" borderId="14" xfId="0" applyFont="1" applyFill="1" applyBorder="1" applyAlignment="1">
      <alignment horizontal="center" vertical="center"/>
    </xf>
    <xf numFmtId="2" fontId="67" fillId="46" borderId="26" xfId="0" applyNumberFormat="1" applyFont="1" applyFill="1" applyBorder="1" applyAlignment="1">
      <alignment horizontal="center"/>
    </xf>
    <xf numFmtId="2" fontId="67" fillId="46" borderId="15" xfId="0" applyNumberFormat="1" applyFont="1" applyFill="1" applyBorder="1" applyAlignment="1">
      <alignment horizontal="center"/>
    </xf>
    <xf numFmtId="2" fontId="67" fillId="47" borderId="26" xfId="0" applyNumberFormat="1" applyFont="1" applyFill="1" applyBorder="1" applyAlignment="1">
      <alignment horizontal="center"/>
    </xf>
    <xf numFmtId="2" fontId="67" fillId="47" borderId="27" xfId="0" applyNumberFormat="1" applyFont="1" applyFill="1" applyBorder="1" applyAlignment="1">
      <alignment horizontal="center"/>
    </xf>
    <xf numFmtId="2" fontId="67" fillId="47" borderId="15" xfId="0" applyNumberFormat="1" applyFont="1" applyFill="1" applyBorder="1" applyAlignment="1">
      <alignment horizontal="center"/>
    </xf>
    <xf numFmtId="2" fontId="67" fillId="43" borderId="26" xfId="0" applyNumberFormat="1" applyFont="1" applyFill="1" applyBorder="1" applyAlignment="1">
      <alignment horizontal="center"/>
    </xf>
    <xf numFmtId="2" fontId="67" fillId="43" borderId="27" xfId="0" applyNumberFormat="1" applyFont="1" applyFill="1" applyBorder="1" applyAlignment="1">
      <alignment horizontal="center"/>
    </xf>
    <xf numFmtId="2" fontId="67" fillId="43" borderId="15" xfId="0" applyNumberFormat="1" applyFont="1" applyFill="1" applyBorder="1" applyAlignment="1">
      <alignment horizontal="center"/>
    </xf>
    <xf numFmtId="2" fontId="74" fillId="47" borderId="10" xfId="0" applyNumberFormat="1" applyFont="1" applyFill="1" applyBorder="1" applyAlignment="1">
      <alignment horizontal="center" wrapText="1"/>
    </xf>
    <xf numFmtId="2" fontId="74" fillId="47" borderId="12" xfId="0" applyNumberFormat="1" applyFont="1" applyFill="1" applyBorder="1" applyAlignment="1">
      <alignment horizontal="center" wrapText="1"/>
    </xf>
    <xf numFmtId="164" fontId="28" fillId="0" borderId="21" xfId="0" applyNumberFormat="1" applyFont="1" applyBorder="1" applyAlignment="1">
      <alignment horizontal="center"/>
    </xf>
    <xf numFmtId="164" fontId="28" fillId="0" borderId="52" xfId="0" applyNumberFormat="1" applyFont="1" applyBorder="1" applyAlignment="1">
      <alignment horizontal="center"/>
    </xf>
    <xf numFmtId="164" fontId="28" fillId="0" borderId="42" xfId="0" applyNumberFormat="1" applyFont="1" applyBorder="1" applyAlignment="1">
      <alignment horizontal="center"/>
    </xf>
    <xf numFmtId="164" fontId="28" fillId="0" borderId="8" xfId="0" applyNumberFormat="1" applyFont="1" applyBorder="1" applyAlignment="1">
      <alignment horizontal="center"/>
    </xf>
    <xf numFmtId="164" fontId="28" fillId="0" borderId="66" xfId="0" applyNumberFormat="1" applyFont="1" applyBorder="1" applyAlignment="1">
      <alignment horizontal="center"/>
    </xf>
    <xf numFmtId="164" fontId="28" fillId="0" borderId="53" xfId="0" applyNumberFormat="1" applyFont="1" applyBorder="1" applyAlignment="1">
      <alignment horizontal="center"/>
    </xf>
    <xf numFmtId="164" fontId="25" fillId="4" borderId="10" xfId="0" applyNumberFormat="1" applyFont="1" applyFill="1" applyBorder="1" applyAlignment="1">
      <alignment horizontal="center" vertical="center" wrapText="1"/>
    </xf>
    <xf numFmtId="164" fontId="25" fillId="4" borderId="12" xfId="0" applyNumberFormat="1" applyFont="1" applyFill="1" applyBorder="1" applyAlignment="1">
      <alignment horizontal="center" vertical="center" wrapText="1"/>
    </xf>
    <xf numFmtId="164" fontId="25" fillId="52" borderId="10" xfId="0" applyNumberFormat="1" applyFont="1" applyFill="1" applyBorder="1" applyAlignment="1">
      <alignment horizontal="center" vertical="center" wrapText="1"/>
    </xf>
    <xf numFmtId="164" fontId="25" fillId="52" borderId="12" xfId="0" applyNumberFormat="1" applyFont="1" applyFill="1" applyBorder="1" applyAlignment="1">
      <alignment horizontal="center" vertical="center" wrapText="1"/>
    </xf>
    <xf numFmtId="164" fontId="25" fillId="54" borderId="10" xfId="0" applyNumberFormat="1" applyFont="1" applyFill="1" applyBorder="1" applyAlignment="1">
      <alignment horizontal="center" wrapText="1"/>
    </xf>
    <xf numFmtId="164" fontId="25" fillId="54" borderId="30" xfId="0" applyNumberFormat="1" applyFont="1" applyFill="1" applyBorder="1" applyAlignment="1">
      <alignment horizontal="center" wrapText="1"/>
    </xf>
    <xf numFmtId="164" fontId="25" fillId="37" borderId="10" xfId="0" applyNumberFormat="1" applyFont="1" applyFill="1" applyBorder="1" applyAlignment="1">
      <alignment horizontal="center" wrapText="1"/>
    </xf>
    <xf numFmtId="164" fontId="25" fillId="37" borderId="12" xfId="0" applyNumberFormat="1" applyFont="1" applyFill="1" applyBorder="1" applyAlignment="1">
      <alignment horizontal="center" wrapText="1"/>
    </xf>
    <xf numFmtId="164" fontId="25" fillId="37" borderId="30" xfId="0" applyNumberFormat="1" applyFont="1" applyFill="1" applyBorder="1" applyAlignment="1">
      <alignment horizontal="center" wrapText="1"/>
    </xf>
    <xf numFmtId="164" fontId="25" fillId="4" borderId="10" xfId="0" applyNumberFormat="1" applyFont="1" applyFill="1" applyBorder="1" applyAlignment="1">
      <alignment horizontal="center" wrapText="1"/>
    </xf>
    <xf numFmtId="164" fontId="25" fillId="4" borderId="30" xfId="0" applyNumberFormat="1" applyFont="1" applyFill="1" applyBorder="1" applyAlignment="1">
      <alignment horizontal="center" wrapText="1"/>
    </xf>
    <xf numFmtId="164" fontId="25" fillId="52" borderId="10" xfId="0" applyNumberFormat="1" applyFont="1" applyFill="1" applyBorder="1" applyAlignment="1">
      <alignment horizontal="center" wrapText="1"/>
    </xf>
    <xf numFmtId="164" fontId="25" fillId="52" borderId="30" xfId="0" applyNumberFormat="1" applyFont="1" applyFill="1" applyBorder="1" applyAlignment="1">
      <alignment horizontal="center" wrapText="1"/>
    </xf>
    <xf numFmtId="164" fontId="25" fillId="52" borderId="12" xfId="0" applyNumberFormat="1" applyFont="1" applyFill="1" applyBorder="1" applyAlignment="1">
      <alignment horizontal="center" wrapText="1"/>
    </xf>
    <xf numFmtId="164" fontId="25" fillId="54" borderId="12" xfId="0" applyNumberFormat="1" applyFont="1" applyFill="1" applyBorder="1" applyAlignment="1">
      <alignment horizontal="center" wrapText="1"/>
    </xf>
    <xf numFmtId="164" fontId="25" fillId="54" borderId="78" xfId="0" applyNumberFormat="1" applyFont="1" applyFill="1" applyBorder="1" applyAlignment="1">
      <alignment horizontal="center" wrapText="1"/>
    </xf>
    <xf numFmtId="164" fontId="25" fillId="54" borderId="6" xfId="0" applyNumberFormat="1" applyFont="1" applyFill="1" applyBorder="1" applyAlignment="1">
      <alignment horizontal="center" wrapText="1"/>
    </xf>
    <xf numFmtId="164" fontId="25" fillId="54" borderId="38" xfId="0" applyNumberFormat="1" applyFont="1" applyFill="1" applyBorder="1" applyAlignment="1">
      <alignment horizontal="center" wrapText="1"/>
    </xf>
    <xf numFmtId="164" fontId="25" fillId="54" borderId="37" xfId="0" applyNumberFormat="1" applyFont="1" applyFill="1" applyBorder="1" applyAlignment="1">
      <alignment horizontal="center" wrapText="1"/>
    </xf>
    <xf numFmtId="164" fontId="25" fillId="37" borderId="16" xfId="0" applyNumberFormat="1" applyFont="1" applyFill="1" applyBorder="1" applyAlignment="1">
      <alignment horizontal="center" wrapText="1"/>
    </xf>
    <xf numFmtId="164" fontId="25" fillId="37" borderId="4" xfId="0" applyNumberFormat="1" applyFont="1" applyFill="1" applyBorder="1" applyAlignment="1">
      <alignment horizontal="center" wrapText="1"/>
    </xf>
    <xf numFmtId="164" fontId="25" fillId="37" borderId="22" xfId="0" applyNumberFormat="1" applyFont="1" applyFill="1" applyBorder="1" applyAlignment="1">
      <alignment horizontal="center" wrapText="1"/>
    </xf>
    <xf numFmtId="164" fontId="25" fillId="37" borderId="25" xfId="0" applyNumberFormat="1" applyFont="1" applyFill="1" applyBorder="1" applyAlignment="1">
      <alignment horizontal="center" wrapText="1"/>
    </xf>
  </cellXfs>
  <cellStyles count="331">
    <cellStyle name="20% - Accent1" xfId="26" builtinId="30" customBuiltin="1"/>
    <cellStyle name="20% - Accent1 10" xfId="193" xr:uid="{00000000-0005-0000-0000-000001000000}"/>
    <cellStyle name="20% - Accent1 11" xfId="207" xr:uid="{00000000-0005-0000-0000-000002000000}"/>
    <cellStyle name="20% - Accent1 12" xfId="221" xr:uid="{00000000-0005-0000-0000-000003000000}"/>
    <cellStyle name="20% - Accent1 13" xfId="235" xr:uid="{00000000-0005-0000-0000-000004000000}"/>
    <cellStyle name="20% - Accent1 14" xfId="249" xr:uid="{00000000-0005-0000-0000-000005000000}"/>
    <cellStyle name="20% - Accent1 15" xfId="263" xr:uid="{00000000-0005-0000-0000-000006000000}"/>
    <cellStyle name="20% - Accent1 16" xfId="277" xr:uid="{00000000-0005-0000-0000-000007000000}"/>
    <cellStyle name="20% - Accent1 17" xfId="291" xr:uid="{00000000-0005-0000-0000-000008000000}"/>
    <cellStyle name="20% - Accent1 18" xfId="305" xr:uid="{00000000-0005-0000-0000-000009000000}"/>
    <cellStyle name="20% - Accent1 19" xfId="319" xr:uid="{00000000-0005-0000-0000-00000A000000}"/>
    <cellStyle name="20% - Accent1 2" xfId="53" xr:uid="{00000000-0005-0000-0000-00000B000000}"/>
    <cellStyle name="20% - Accent1 2 2" xfId="91" xr:uid="{00000000-0005-0000-0000-00000C000000}"/>
    <cellStyle name="20% - Accent1 3" xfId="75" xr:uid="{00000000-0005-0000-0000-00000D000000}"/>
    <cellStyle name="20% - Accent1 4" xfId="109" xr:uid="{00000000-0005-0000-0000-00000E000000}"/>
    <cellStyle name="20% - Accent1 5" xfId="123" xr:uid="{00000000-0005-0000-0000-00000F000000}"/>
    <cellStyle name="20% - Accent1 6" xfId="137" xr:uid="{00000000-0005-0000-0000-000010000000}"/>
    <cellStyle name="20% - Accent1 7" xfId="151" xr:uid="{00000000-0005-0000-0000-000011000000}"/>
    <cellStyle name="20% - Accent1 8" xfId="165" xr:uid="{00000000-0005-0000-0000-000012000000}"/>
    <cellStyle name="20% - Accent1 9" xfId="179" xr:uid="{00000000-0005-0000-0000-000013000000}"/>
    <cellStyle name="20% - Accent2" xfId="30" builtinId="34" customBuiltin="1"/>
    <cellStyle name="20% - Accent2 10" xfId="195" xr:uid="{00000000-0005-0000-0000-000015000000}"/>
    <cellStyle name="20% - Accent2 11" xfId="209" xr:uid="{00000000-0005-0000-0000-000016000000}"/>
    <cellStyle name="20% - Accent2 12" xfId="223" xr:uid="{00000000-0005-0000-0000-000017000000}"/>
    <cellStyle name="20% - Accent2 13" xfId="237" xr:uid="{00000000-0005-0000-0000-000018000000}"/>
    <cellStyle name="20% - Accent2 14" xfId="251" xr:uid="{00000000-0005-0000-0000-000019000000}"/>
    <cellStyle name="20% - Accent2 15" xfId="265" xr:uid="{00000000-0005-0000-0000-00001A000000}"/>
    <cellStyle name="20% - Accent2 16" xfId="279" xr:uid="{00000000-0005-0000-0000-00001B000000}"/>
    <cellStyle name="20% - Accent2 17" xfId="293" xr:uid="{00000000-0005-0000-0000-00001C000000}"/>
    <cellStyle name="20% - Accent2 18" xfId="307" xr:uid="{00000000-0005-0000-0000-00001D000000}"/>
    <cellStyle name="20% - Accent2 19" xfId="321" xr:uid="{00000000-0005-0000-0000-00001E000000}"/>
    <cellStyle name="20% - Accent2 2" xfId="55" xr:uid="{00000000-0005-0000-0000-00001F000000}"/>
    <cellStyle name="20% - Accent2 2 2" xfId="93" xr:uid="{00000000-0005-0000-0000-000020000000}"/>
    <cellStyle name="20% - Accent2 3" xfId="77" xr:uid="{00000000-0005-0000-0000-000021000000}"/>
    <cellStyle name="20% - Accent2 4" xfId="111" xr:uid="{00000000-0005-0000-0000-000022000000}"/>
    <cellStyle name="20% - Accent2 5" xfId="125" xr:uid="{00000000-0005-0000-0000-000023000000}"/>
    <cellStyle name="20% - Accent2 6" xfId="139" xr:uid="{00000000-0005-0000-0000-000024000000}"/>
    <cellStyle name="20% - Accent2 7" xfId="153" xr:uid="{00000000-0005-0000-0000-000025000000}"/>
    <cellStyle name="20% - Accent2 8" xfId="167" xr:uid="{00000000-0005-0000-0000-000026000000}"/>
    <cellStyle name="20% - Accent2 9" xfId="181" xr:uid="{00000000-0005-0000-0000-000027000000}"/>
    <cellStyle name="20% - Accent3" xfId="34" builtinId="38" customBuiltin="1"/>
    <cellStyle name="20% - Accent3 10" xfId="197" xr:uid="{00000000-0005-0000-0000-000029000000}"/>
    <cellStyle name="20% - Accent3 11" xfId="211" xr:uid="{00000000-0005-0000-0000-00002A000000}"/>
    <cellStyle name="20% - Accent3 12" xfId="225" xr:uid="{00000000-0005-0000-0000-00002B000000}"/>
    <cellStyle name="20% - Accent3 13" xfId="239" xr:uid="{00000000-0005-0000-0000-00002C000000}"/>
    <cellStyle name="20% - Accent3 14" xfId="253" xr:uid="{00000000-0005-0000-0000-00002D000000}"/>
    <cellStyle name="20% - Accent3 15" xfId="267" xr:uid="{00000000-0005-0000-0000-00002E000000}"/>
    <cellStyle name="20% - Accent3 16" xfId="281" xr:uid="{00000000-0005-0000-0000-00002F000000}"/>
    <cellStyle name="20% - Accent3 17" xfId="295" xr:uid="{00000000-0005-0000-0000-000030000000}"/>
    <cellStyle name="20% - Accent3 18" xfId="309" xr:uid="{00000000-0005-0000-0000-000031000000}"/>
    <cellStyle name="20% - Accent3 19" xfId="323" xr:uid="{00000000-0005-0000-0000-000032000000}"/>
    <cellStyle name="20% - Accent3 2" xfId="57" xr:uid="{00000000-0005-0000-0000-000033000000}"/>
    <cellStyle name="20% - Accent3 2 2" xfId="95" xr:uid="{00000000-0005-0000-0000-000034000000}"/>
    <cellStyle name="20% - Accent3 3" xfId="79" xr:uid="{00000000-0005-0000-0000-000035000000}"/>
    <cellStyle name="20% - Accent3 4" xfId="113" xr:uid="{00000000-0005-0000-0000-000036000000}"/>
    <cellStyle name="20% - Accent3 5" xfId="127" xr:uid="{00000000-0005-0000-0000-000037000000}"/>
    <cellStyle name="20% - Accent3 6" xfId="141" xr:uid="{00000000-0005-0000-0000-000038000000}"/>
    <cellStyle name="20% - Accent3 7" xfId="155" xr:uid="{00000000-0005-0000-0000-000039000000}"/>
    <cellStyle name="20% - Accent3 8" xfId="169" xr:uid="{00000000-0005-0000-0000-00003A000000}"/>
    <cellStyle name="20% - Accent3 9" xfId="183" xr:uid="{00000000-0005-0000-0000-00003B000000}"/>
    <cellStyle name="20% - Accent4" xfId="38" builtinId="42" customBuiltin="1"/>
    <cellStyle name="20% - Accent4 10" xfId="199" xr:uid="{00000000-0005-0000-0000-00003D000000}"/>
    <cellStyle name="20% - Accent4 11" xfId="213" xr:uid="{00000000-0005-0000-0000-00003E000000}"/>
    <cellStyle name="20% - Accent4 12" xfId="227" xr:uid="{00000000-0005-0000-0000-00003F000000}"/>
    <cellStyle name="20% - Accent4 13" xfId="241" xr:uid="{00000000-0005-0000-0000-000040000000}"/>
    <cellStyle name="20% - Accent4 14" xfId="255" xr:uid="{00000000-0005-0000-0000-000041000000}"/>
    <cellStyle name="20% - Accent4 15" xfId="269" xr:uid="{00000000-0005-0000-0000-000042000000}"/>
    <cellStyle name="20% - Accent4 16" xfId="283" xr:uid="{00000000-0005-0000-0000-000043000000}"/>
    <cellStyle name="20% - Accent4 17" xfId="297" xr:uid="{00000000-0005-0000-0000-000044000000}"/>
    <cellStyle name="20% - Accent4 18" xfId="311" xr:uid="{00000000-0005-0000-0000-000045000000}"/>
    <cellStyle name="20% - Accent4 19" xfId="325" xr:uid="{00000000-0005-0000-0000-000046000000}"/>
    <cellStyle name="20% - Accent4 2" xfId="59" xr:uid="{00000000-0005-0000-0000-000047000000}"/>
    <cellStyle name="20% - Accent4 2 2" xfId="97" xr:uid="{00000000-0005-0000-0000-000048000000}"/>
    <cellStyle name="20% - Accent4 3" xfId="81" xr:uid="{00000000-0005-0000-0000-000049000000}"/>
    <cellStyle name="20% - Accent4 4" xfId="115" xr:uid="{00000000-0005-0000-0000-00004A000000}"/>
    <cellStyle name="20% - Accent4 5" xfId="129" xr:uid="{00000000-0005-0000-0000-00004B000000}"/>
    <cellStyle name="20% - Accent4 6" xfId="143" xr:uid="{00000000-0005-0000-0000-00004C000000}"/>
    <cellStyle name="20% - Accent4 7" xfId="157" xr:uid="{00000000-0005-0000-0000-00004D000000}"/>
    <cellStyle name="20% - Accent4 8" xfId="171" xr:uid="{00000000-0005-0000-0000-00004E000000}"/>
    <cellStyle name="20% - Accent4 9" xfId="185" xr:uid="{00000000-0005-0000-0000-00004F000000}"/>
    <cellStyle name="20% - Accent5" xfId="42" builtinId="46" customBuiltin="1"/>
    <cellStyle name="20% - Accent5 10" xfId="201" xr:uid="{00000000-0005-0000-0000-000051000000}"/>
    <cellStyle name="20% - Accent5 11" xfId="215" xr:uid="{00000000-0005-0000-0000-000052000000}"/>
    <cellStyle name="20% - Accent5 12" xfId="229" xr:uid="{00000000-0005-0000-0000-000053000000}"/>
    <cellStyle name="20% - Accent5 13" xfId="243" xr:uid="{00000000-0005-0000-0000-000054000000}"/>
    <cellStyle name="20% - Accent5 14" xfId="257" xr:uid="{00000000-0005-0000-0000-000055000000}"/>
    <cellStyle name="20% - Accent5 15" xfId="271" xr:uid="{00000000-0005-0000-0000-000056000000}"/>
    <cellStyle name="20% - Accent5 16" xfId="285" xr:uid="{00000000-0005-0000-0000-000057000000}"/>
    <cellStyle name="20% - Accent5 17" xfId="299" xr:uid="{00000000-0005-0000-0000-000058000000}"/>
    <cellStyle name="20% - Accent5 18" xfId="313" xr:uid="{00000000-0005-0000-0000-000059000000}"/>
    <cellStyle name="20% - Accent5 19" xfId="327" xr:uid="{00000000-0005-0000-0000-00005A000000}"/>
    <cellStyle name="20% - Accent5 2" xfId="61" xr:uid="{00000000-0005-0000-0000-00005B000000}"/>
    <cellStyle name="20% - Accent5 2 2" xfId="99" xr:uid="{00000000-0005-0000-0000-00005C000000}"/>
    <cellStyle name="20% - Accent5 3" xfId="83" xr:uid="{00000000-0005-0000-0000-00005D000000}"/>
    <cellStyle name="20% - Accent5 4" xfId="117" xr:uid="{00000000-0005-0000-0000-00005E000000}"/>
    <cellStyle name="20% - Accent5 5" xfId="131" xr:uid="{00000000-0005-0000-0000-00005F000000}"/>
    <cellStyle name="20% - Accent5 6" xfId="145" xr:uid="{00000000-0005-0000-0000-000060000000}"/>
    <cellStyle name="20% - Accent5 7" xfId="159" xr:uid="{00000000-0005-0000-0000-000061000000}"/>
    <cellStyle name="20% - Accent5 8" xfId="173" xr:uid="{00000000-0005-0000-0000-000062000000}"/>
    <cellStyle name="20% - Accent5 9" xfId="187" xr:uid="{00000000-0005-0000-0000-000063000000}"/>
    <cellStyle name="20% - Accent6" xfId="46" builtinId="50" customBuiltin="1"/>
    <cellStyle name="20% - Accent6 10" xfId="203" xr:uid="{00000000-0005-0000-0000-000065000000}"/>
    <cellStyle name="20% - Accent6 11" xfId="217" xr:uid="{00000000-0005-0000-0000-000066000000}"/>
    <cellStyle name="20% - Accent6 12" xfId="231" xr:uid="{00000000-0005-0000-0000-000067000000}"/>
    <cellStyle name="20% - Accent6 13" xfId="245" xr:uid="{00000000-0005-0000-0000-000068000000}"/>
    <cellStyle name="20% - Accent6 14" xfId="259" xr:uid="{00000000-0005-0000-0000-000069000000}"/>
    <cellStyle name="20% - Accent6 15" xfId="273" xr:uid="{00000000-0005-0000-0000-00006A000000}"/>
    <cellStyle name="20% - Accent6 16" xfId="287" xr:uid="{00000000-0005-0000-0000-00006B000000}"/>
    <cellStyle name="20% - Accent6 17" xfId="301" xr:uid="{00000000-0005-0000-0000-00006C000000}"/>
    <cellStyle name="20% - Accent6 18" xfId="315" xr:uid="{00000000-0005-0000-0000-00006D000000}"/>
    <cellStyle name="20% - Accent6 19" xfId="329" xr:uid="{00000000-0005-0000-0000-00006E000000}"/>
    <cellStyle name="20% - Accent6 2" xfId="63" xr:uid="{00000000-0005-0000-0000-00006F000000}"/>
    <cellStyle name="20% - Accent6 2 2" xfId="101" xr:uid="{00000000-0005-0000-0000-000070000000}"/>
    <cellStyle name="20% - Accent6 3" xfId="85" xr:uid="{00000000-0005-0000-0000-000071000000}"/>
    <cellStyle name="20% - Accent6 4" xfId="119" xr:uid="{00000000-0005-0000-0000-000072000000}"/>
    <cellStyle name="20% - Accent6 5" xfId="133" xr:uid="{00000000-0005-0000-0000-000073000000}"/>
    <cellStyle name="20% - Accent6 6" xfId="147" xr:uid="{00000000-0005-0000-0000-000074000000}"/>
    <cellStyle name="20% - Accent6 7" xfId="161" xr:uid="{00000000-0005-0000-0000-000075000000}"/>
    <cellStyle name="20% - Accent6 8" xfId="175" xr:uid="{00000000-0005-0000-0000-000076000000}"/>
    <cellStyle name="20% - Accent6 9" xfId="189" xr:uid="{00000000-0005-0000-0000-000077000000}"/>
    <cellStyle name="40% - Accent1" xfId="27" builtinId="31" customBuiltin="1"/>
    <cellStyle name="40% - Accent1 10" xfId="194" xr:uid="{00000000-0005-0000-0000-000079000000}"/>
    <cellStyle name="40% - Accent1 11" xfId="208" xr:uid="{00000000-0005-0000-0000-00007A000000}"/>
    <cellStyle name="40% - Accent1 12" xfId="222" xr:uid="{00000000-0005-0000-0000-00007B000000}"/>
    <cellStyle name="40% - Accent1 13" xfId="236" xr:uid="{00000000-0005-0000-0000-00007C000000}"/>
    <cellStyle name="40% - Accent1 14" xfId="250" xr:uid="{00000000-0005-0000-0000-00007D000000}"/>
    <cellStyle name="40% - Accent1 15" xfId="264" xr:uid="{00000000-0005-0000-0000-00007E000000}"/>
    <cellStyle name="40% - Accent1 16" xfId="278" xr:uid="{00000000-0005-0000-0000-00007F000000}"/>
    <cellStyle name="40% - Accent1 17" xfId="292" xr:uid="{00000000-0005-0000-0000-000080000000}"/>
    <cellStyle name="40% - Accent1 18" xfId="306" xr:uid="{00000000-0005-0000-0000-000081000000}"/>
    <cellStyle name="40% - Accent1 19" xfId="320" xr:uid="{00000000-0005-0000-0000-000082000000}"/>
    <cellStyle name="40% - Accent1 2" xfId="54" xr:uid="{00000000-0005-0000-0000-000083000000}"/>
    <cellStyle name="40% - Accent1 2 2" xfId="92" xr:uid="{00000000-0005-0000-0000-000084000000}"/>
    <cellStyle name="40% - Accent1 3" xfId="76" xr:uid="{00000000-0005-0000-0000-000085000000}"/>
    <cellStyle name="40% - Accent1 4" xfId="110" xr:uid="{00000000-0005-0000-0000-000086000000}"/>
    <cellStyle name="40% - Accent1 5" xfId="124" xr:uid="{00000000-0005-0000-0000-000087000000}"/>
    <cellStyle name="40% - Accent1 6" xfId="138" xr:uid="{00000000-0005-0000-0000-000088000000}"/>
    <cellStyle name="40% - Accent1 7" xfId="152" xr:uid="{00000000-0005-0000-0000-000089000000}"/>
    <cellStyle name="40% - Accent1 8" xfId="166" xr:uid="{00000000-0005-0000-0000-00008A000000}"/>
    <cellStyle name="40% - Accent1 9" xfId="180" xr:uid="{00000000-0005-0000-0000-00008B000000}"/>
    <cellStyle name="40% - Accent2" xfId="31" builtinId="35" customBuiltin="1"/>
    <cellStyle name="40% - Accent2 10" xfId="196" xr:uid="{00000000-0005-0000-0000-00008D000000}"/>
    <cellStyle name="40% - Accent2 11" xfId="210" xr:uid="{00000000-0005-0000-0000-00008E000000}"/>
    <cellStyle name="40% - Accent2 12" xfId="224" xr:uid="{00000000-0005-0000-0000-00008F000000}"/>
    <cellStyle name="40% - Accent2 13" xfId="238" xr:uid="{00000000-0005-0000-0000-000090000000}"/>
    <cellStyle name="40% - Accent2 14" xfId="252" xr:uid="{00000000-0005-0000-0000-000091000000}"/>
    <cellStyle name="40% - Accent2 15" xfId="266" xr:uid="{00000000-0005-0000-0000-000092000000}"/>
    <cellStyle name="40% - Accent2 16" xfId="280" xr:uid="{00000000-0005-0000-0000-000093000000}"/>
    <cellStyle name="40% - Accent2 17" xfId="294" xr:uid="{00000000-0005-0000-0000-000094000000}"/>
    <cellStyle name="40% - Accent2 18" xfId="308" xr:uid="{00000000-0005-0000-0000-000095000000}"/>
    <cellStyle name="40% - Accent2 19" xfId="322" xr:uid="{00000000-0005-0000-0000-000096000000}"/>
    <cellStyle name="40% - Accent2 2" xfId="56" xr:uid="{00000000-0005-0000-0000-000097000000}"/>
    <cellStyle name="40% - Accent2 2 2" xfId="94" xr:uid="{00000000-0005-0000-0000-000098000000}"/>
    <cellStyle name="40% - Accent2 3" xfId="78" xr:uid="{00000000-0005-0000-0000-000099000000}"/>
    <cellStyle name="40% - Accent2 4" xfId="112" xr:uid="{00000000-0005-0000-0000-00009A000000}"/>
    <cellStyle name="40% - Accent2 5" xfId="126" xr:uid="{00000000-0005-0000-0000-00009B000000}"/>
    <cellStyle name="40% - Accent2 6" xfId="140" xr:uid="{00000000-0005-0000-0000-00009C000000}"/>
    <cellStyle name="40% - Accent2 7" xfId="154" xr:uid="{00000000-0005-0000-0000-00009D000000}"/>
    <cellStyle name="40% - Accent2 8" xfId="168" xr:uid="{00000000-0005-0000-0000-00009E000000}"/>
    <cellStyle name="40% - Accent2 9" xfId="182" xr:uid="{00000000-0005-0000-0000-00009F000000}"/>
    <cellStyle name="40% - Accent3" xfId="35" builtinId="39" customBuiltin="1"/>
    <cellStyle name="40% - Accent3 10" xfId="198" xr:uid="{00000000-0005-0000-0000-0000A1000000}"/>
    <cellStyle name="40% - Accent3 11" xfId="212" xr:uid="{00000000-0005-0000-0000-0000A2000000}"/>
    <cellStyle name="40% - Accent3 12" xfId="226" xr:uid="{00000000-0005-0000-0000-0000A3000000}"/>
    <cellStyle name="40% - Accent3 13" xfId="240" xr:uid="{00000000-0005-0000-0000-0000A4000000}"/>
    <cellStyle name="40% - Accent3 14" xfId="254" xr:uid="{00000000-0005-0000-0000-0000A5000000}"/>
    <cellStyle name="40% - Accent3 15" xfId="268" xr:uid="{00000000-0005-0000-0000-0000A6000000}"/>
    <cellStyle name="40% - Accent3 16" xfId="282" xr:uid="{00000000-0005-0000-0000-0000A7000000}"/>
    <cellStyle name="40% - Accent3 17" xfId="296" xr:uid="{00000000-0005-0000-0000-0000A8000000}"/>
    <cellStyle name="40% - Accent3 18" xfId="310" xr:uid="{00000000-0005-0000-0000-0000A9000000}"/>
    <cellStyle name="40% - Accent3 19" xfId="324" xr:uid="{00000000-0005-0000-0000-0000AA000000}"/>
    <cellStyle name="40% - Accent3 2" xfId="58" xr:uid="{00000000-0005-0000-0000-0000AB000000}"/>
    <cellStyle name="40% - Accent3 2 2" xfId="96" xr:uid="{00000000-0005-0000-0000-0000AC000000}"/>
    <cellStyle name="40% - Accent3 3" xfId="80" xr:uid="{00000000-0005-0000-0000-0000AD000000}"/>
    <cellStyle name="40% - Accent3 4" xfId="114" xr:uid="{00000000-0005-0000-0000-0000AE000000}"/>
    <cellStyle name="40% - Accent3 5" xfId="128" xr:uid="{00000000-0005-0000-0000-0000AF000000}"/>
    <cellStyle name="40% - Accent3 6" xfId="142" xr:uid="{00000000-0005-0000-0000-0000B0000000}"/>
    <cellStyle name="40% - Accent3 7" xfId="156" xr:uid="{00000000-0005-0000-0000-0000B1000000}"/>
    <cellStyle name="40% - Accent3 8" xfId="170" xr:uid="{00000000-0005-0000-0000-0000B2000000}"/>
    <cellStyle name="40% - Accent3 9" xfId="184" xr:uid="{00000000-0005-0000-0000-0000B3000000}"/>
    <cellStyle name="40% - Accent4" xfId="39" builtinId="43" customBuiltin="1"/>
    <cellStyle name="40% - Accent4 10" xfId="200" xr:uid="{00000000-0005-0000-0000-0000B5000000}"/>
    <cellStyle name="40% - Accent4 11" xfId="214" xr:uid="{00000000-0005-0000-0000-0000B6000000}"/>
    <cellStyle name="40% - Accent4 12" xfId="228" xr:uid="{00000000-0005-0000-0000-0000B7000000}"/>
    <cellStyle name="40% - Accent4 13" xfId="242" xr:uid="{00000000-0005-0000-0000-0000B8000000}"/>
    <cellStyle name="40% - Accent4 14" xfId="256" xr:uid="{00000000-0005-0000-0000-0000B9000000}"/>
    <cellStyle name="40% - Accent4 15" xfId="270" xr:uid="{00000000-0005-0000-0000-0000BA000000}"/>
    <cellStyle name="40% - Accent4 16" xfId="284" xr:uid="{00000000-0005-0000-0000-0000BB000000}"/>
    <cellStyle name="40% - Accent4 17" xfId="298" xr:uid="{00000000-0005-0000-0000-0000BC000000}"/>
    <cellStyle name="40% - Accent4 18" xfId="312" xr:uid="{00000000-0005-0000-0000-0000BD000000}"/>
    <cellStyle name="40% - Accent4 19" xfId="326" xr:uid="{00000000-0005-0000-0000-0000BE000000}"/>
    <cellStyle name="40% - Accent4 2" xfId="60" xr:uid="{00000000-0005-0000-0000-0000BF000000}"/>
    <cellStyle name="40% - Accent4 2 2" xfId="98" xr:uid="{00000000-0005-0000-0000-0000C0000000}"/>
    <cellStyle name="40% - Accent4 3" xfId="82" xr:uid="{00000000-0005-0000-0000-0000C1000000}"/>
    <cellStyle name="40% - Accent4 4" xfId="116" xr:uid="{00000000-0005-0000-0000-0000C2000000}"/>
    <cellStyle name="40% - Accent4 5" xfId="130" xr:uid="{00000000-0005-0000-0000-0000C3000000}"/>
    <cellStyle name="40% - Accent4 6" xfId="144" xr:uid="{00000000-0005-0000-0000-0000C4000000}"/>
    <cellStyle name="40% - Accent4 7" xfId="158" xr:uid="{00000000-0005-0000-0000-0000C5000000}"/>
    <cellStyle name="40% - Accent4 8" xfId="172" xr:uid="{00000000-0005-0000-0000-0000C6000000}"/>
    <cellStyle name="40% - Accent4 9" xfId="186" xr:uid="{00000000-0005-0000-0000-0000C7000000}"/>
    <cellStyle name="40% - Accent5" xfId="43" builtinId="47" customBuiltin="1"/>
    <cellStyle name="40% - Accent5 10" xfId="202" xr:uid="{00000000-0005-0000-0000-0000C9000000}"/>
    <cellStyle name="40% - Accent5 11" xfId="216" xr:uid="{00000000-0005-0000-0000-0000CA000000}"/>
    <cellStyle name="40% - Accent5 12" xfId="230" xr:uid="{00000000-0005-0000-0000-0000CB000000}"/>
    <cellStyle name="40% - Accent5 13" xfId="244" xr:uid="{00000000-0005-0000-0000-0000CC000000}"/>
    <cellStyle name="40% - Accent5 14" xfId="258" xr:uid="{00000000-0005-0000-0000-0000CD000000}"/>
    <cellStyle name="40% - Accent5 15" xfId="272" xr:uid="{00000000-0005-0000-0000-0000CE000000}"/>
    <cellStyle name="40% - Accent5 16" xfId="286" xr:uid="{00000000-0005-0000-0000-0000CF000000}"/>
    <cellStyle name="40% - Accent5 17" xfId="300" xr:uid="{00000000-0005-0000-0000-0000D0000000}"/>
    <cellStyle name="40% - Accent5 18" xfId="314" xr:uid="{00000000-0005-0000-0000-0000D1000000}"/>
    <cellStyle name="40% - Accent5 19" xfId="328" xr:uid="{00000000-0005-0000-0000-0000D2000000}"/>
    <cellStyle name="40% - Accent5 2" xfId="62" xr:uid="{00000000-0005-0000-0000-0000D3000000}"/>
    <cellStyle name="40% - Accent5 2 2" xfId="100" xr:uid="{00000000-0005-0000-0000-0000D4000000}"/>
    <cellStyle name="40% - Accent5 3" xfId="84" xr:uid="{00000000-0005-0000-0000-0000D5000000}"/>
    <cellStyle name="40% - Accent5 4" xfId="118" xr:uid="{00000000-0005-0000-0000-0000D6000000}"/>
    <cellStyle name="40% - Accent5 5" xfId="132" xr:uid="{00000000-0005-0000-0000-0000D7000000}"/>
    <cellStyle name="40% - Accent5 6" xfId="146" xr:uid="{00000000-0005-0000-0000-0000D8000000}"/>
    <cellStyle name="40% - Accent5 7" xfId="160" xr:uid="{00000000-0005-0000-0000-0000D9000000}"/>
    <cellStyle name="40% - Accent5 8" xfId="174" xr:uid="{00000000-0005-0000-0000-0000DA000000}"/>
    <cellStyle name="40% - Accent5 9" xfId="188" xr:uid="{00000000-0005-0000-0000-0000DB000000}"/>
    <cellStyle name="40% - Accent6" xfId="47" builtinId="51" customBuiltin="1"/>
    <cellStyle name="40% - Accent6 10" xfId="204" xr:uid="{00000000-0005-0000-0000-0000DD000000}"/>
    <cellStyle name="40% - Accent6 11" xfId="218" xr:uid="{00000000-0005-0000-0000-0000DE000000}"/>
    <cellStyle name="40% - Accent6 12" xfId="232" xr:uid="{00000000-0005-0000-0000-0000DF000000}"/>
    <cellStyle name="40% - Accent6 13" xfId="246" xr:uid="{00000000-0005-0000-0000-0000E0000000}"/>
    <cellStyle name="40% - Accent6 14" xfId="260" xr:uid="{00000000-0005-0000-0000-0000E1000000}"/>
    <cellStyle name="40% - Accent6 15" xfId="274" xr:uid="{00000000-0005-0000-0000-0000E2000000}"/>
    <cellStyle name="40% - Accent6 16" xfId="288" xr:uid="{00000000-0005-0000-0000-0000E3000000}"/>
    <cellStyle name="40% - Accent6 17" xfId="302" xr:uid="{00000000-0005-0000-0000-0000E4000000}"/>
    <cellStyle name="40% - Accent6 18" xfId="316" xr:uid="{00000000-0005-0000-0000-0000E5000000}"/>
    <cellStyle name="40% - Accent6 19" xfId="330" xr:uid="{00000000-0005-0000-0000-0000E6000000}"/>
    <cellStyle name="40% - Accent6 2" xfId="64" xr:uid="{00000000-0005-0000-0000-0000E7000000}"/>
    <cellStyle name="40% - Accent6 2 2" xfId="102" xr:uid="{00000000-0005-0000-0000-0000E8000000}"/>
    <cellStyle name="40% - Accent6 3" xfId="86" xr:uid="{00000000-0005-0000-0000-0000E9000000}"/>
    <cellStyle name="40% - Accent6 4" xfId="120" xr:uid="{00000000-0005-0000-0000-0000EA000000}"/>
    <cellStyle name="40% - Accent6 5" xfId="134" xr:uid="{00000000-0005-0000-0000-0000EB000000}"/>
    <cellStyle name="40% - Accent6 6" xfId="148" xr:uid="{00000000-0005-0000-0000-0000EC000000}"/>
    <cellStyle name="40% - Accent6 7" xfId="162" xr:uid="{00000000-0005-0000-0000-0000ED000000}"/>
    <cellStyle name="40% - Accent6 8" xfId="176" xr:uid="{00000000-0005-0000-0000-0000EE000000}"/>
    <cellStyle name="40% - Accent6 9" xfId="190" xr:uid="{00000000-0005-0000-0000-0000EF000000}"/>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5" builtinId="27" customBuiltin="1"/>
    <cellStyle name="Calculation" xfId="19" builtinId="22" customBuiltin="1"/>
    <cellStyle name="Check Cell" xfId="21" builtinId="23" customBuiltin="1"/>
    <cellStyle name="Comma" xfId="1" builtinId="3"/>
    <cellStyle name="Comma 2" xfId="2" xr:uid="{00000000-0005-0000-0000-000000010000}"/>
    <cellStyle name="Comma 2 2" xfId="69" xr:uid="{00000000-0005-0000-0000-000001010000}"/>
    <cellStyle name="Currency" xfId="3" builtinId="4"/>
    <cellStyle name="Currency 2" xfId="4" xr:uid="{00000000-0005-0000-0000-000003010000}"/>
    <cellStyle name="Currency 2 2" xfId="70" xr:uid="{00000000-0005-0000-0000-000004010000}"/>
    <cellStyle name="Explanatory Text" xfId="23"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rmal" xfId="0" builtinId="0"/>
    <cellStyle name="Normal 10" xfId="106" xr:uid="{00000000-0005-0000-0000-00000F010000}"/>
    <cellStyle name="Normal 11" xfId="107" xr:uid="{00000000-0005-0000-0000-000010010000}"/>
    <cellStyle name="Normal 12" xfId="121" xr:uid="{00000000-0005-0000-0000-000011010000}"/>
    <cellStyle name="Normal 13" xfId="135" xr:uid="{00000000-0005-0000-0000-000012010000}"/>
    <cellStyle name="Normal 14" xfId="149" xr:uid="{00000000-0005-0000-0000-000013010000}"/>
    <cellStyle name="Normal 15" xfId="163" xr:uid="{00000000-0005-0000-0000-000014010000}"/>
    <cellStyle name="Normal 16" xfId="177" xr:uid="{00000000-0005-0000-0000-000015010000}"/>
    <cellStyle name="Normal 17" xfId="191" xr:uid="{00000000-0005-0000-0000-000016010000}"/>
    <cellStyle name="Normal 18" xfId="205" xr:uid="{00000000-0005-0000-0000-000017010000}"/>
    <cellStyle name="Normal 19" xfId="219" xr:uid="{00000000-0005-0000-0000-000018010000}"/>
    <cellStyle name="Normal 2" xfId="5" xr:uid="{00000000-0005-0000-0000-000019010000}"/>
    <cellStyle name="Normal 2 2" xfId="6" xr:uid="{00000000-0005-0000-0000-00001A010000}"/>
    <cellStyle name="Normal 2 2 2" xfId="72" xr:uid="{00000000-0005-0000-0000-00001B010000}"/>
    <cellStyle name="Normal 2 3" xfId="71" xr:uid="{00000000-0005-0000-0000-00001C010000}"/>
    <cellStyle name="Normal 20" xfId="233" xr:uid="{00000000-0005-0000-0000-00001D010000}"/>
    <cellStyle name="Normal 21" xfId="247" xr:uid="{00000000-0005-0000-0000-00001E010000}"/>
    <cellStyle name="Normal 22" xfId="261" xr:uid="{00000000-0005-0000-0000-00001F010000}"/>
    <cellStyle name="Normal 23" xfId="275" xr:uid="{00000000-0005-0000-0000-000020010000}"/>
    <cellStyle name="Normal 24" xfId="289" xr:uid="{00000000-0005-0000-0000-000021010000}"/>
    <cellStyle name="Normal 25" xfId="303" xr:uid="{00000000-0005-0000-0000-000022010000}"/>
    <cellStyle name="Normal 26" xfId="317" xr:uid="{00000000-0005-0000-0000-000023010000}"/>
    <cellStyle name="Normal 3" xfId="7" xr:uid="{00000000-0005-0000-0000-000024010000}"/>
    <cellStyle name="Normal 3 2" xfId="73" xr:uid="{00000000-0005-0000-0000-000025010000}"/>
    <cellStyle name="Normal 4" xfId="8" xr:uid="{00000000-0005-0000-0000-000026010000}"/>
    <cellStyle name="Normal 4 2" xfId="74" xr:uid="{00000000-0005-0000-0000-000027010000}"/>
    <cellStyle name="Normal 5" xfId="49" xr:uid="{00000000-0005-0000-0000-000028010000}"/>
    <cellStyle name="Normal 5 2" xfId="87" xr:uid="{00000000-0005-0000-0000-000029010000}"/>
    <cellStyle name="Normal 6" xfId="51" xr:uid="{00000000-0005-0000-0000-00002A010000}"/>
    <cellStyle name="Normal 6 2" xfId="89" xr:uid="{00000000-0005-0000-0000-00002B010000}"/>
    <cellStyle name="Normal 7" xfId="66" xr:uid="{00000000-0005-0000-0000-00002C010000}"/>
    <cellStyle name="Normal 7 2" xfId="104" xr:uid="{00000000-0005-0000-0000-00002D010000}"/>
    <cellStyle name="Normal 8" xfId="67" xr:uid="{00000000-0005-0000-0000-00002E010000}"/>
    <cellStyle name="Normal 8 2" xfId="105" xr:uid="{00000000-0005-0000-0000-00002F010000}"/>
    <cellStyle name="Normal 9" xfId="68" xr:uid="{00000000-0005-0000-0000-000030010000}"/>
    <cellStyle name="Note 10" xfId="192" xr:uid="{00000000-0005-0000-0000-000031010000}"/>
    <cellStyle name="Note 11" xfId="206" xr:uid="{00000000-0005-0000-0000-000032010000}"/>
    <cellStyle name="Note 12" xfId="220" xr:uid="{00000000-0005-0000-0000-000033010000}"/>
    <cellStyle name="Note 13" xfId="234" xr:uid="{00000000-0005-0000-0000-000034010000}"/>
    <cellStyle name="Note 14" xfId="248" xr:uid="{00000000-0005-0000-0000-000035010000}"/>
    <cellStyle name="Note 15" xfId="262" xr:uid="{00000000-0005-0000-0000-000036010000}"/>
    <cellStyle name="Note 16" xfId="276" xr:uid="{00000000-0005-0000-0000-000037010000}"/>
    <cellStyle name="Note 17" xfId="290" xr:uid="{00000000-0005-0000-0000-000038010000}"/>
    <cellStyle name="Note 18" xfId="304" xr:uid="{00000000-0005-0000-0000-000039010000}"/>
    <cellStyle name="Note 19" xfId="318" xr:uid="{00000000-0005-0000-0000-00003A010000}"/>
    <cellStyle name="Note 2" xfId="50" xr:uid="{00000000-0005-0000-0000-00003B010000}"/>
    <cellStyle name="Note 2 2" xfId="88" xr:uid="{00000000-0005-0000-0000-00003C010000}"/>
    <cellStyle name="Note 3" xfId="52" xr:uid="{00000000-0005-0000-0000-00003D010000}"/>
    <cellStyle name="Note 3 2" xfId="90" xr:uid="{00000000-0005-0000-0000-00003E010000}"/>
    <cellStyle name="Note 4" xfId="108" xr:uid="{00000000-0005-0000-0000-00003F010000}"/>
    <cellStyle name="Note 5" xfId="122" xr:uid="{00000000-0005-0000-0000-000040010000}"/>
    <cellStyle name="Note 6" xfId="136" xr:uid="{00000000-0005-0000-0000-000041010000}"/>
    <cellStyle name="Note 7" xfId="150" xr:uid="{00000000-0005-0000-0000-000042010000}"/>
    <cellStyle name="Note 8" xfId="164" xr:uid="{00000000-0005-0000-0000-000043010000}"/>
    <cellStyle name="Note 9" xfId="178" xr:uid="{00000000-0005-0000-0000-000044010000}"/>
    <cellStyle name="Output" xfId="18" builtinId="21" customBuiltin="1"/>
    <cellStyle name="Percent" xfId="65" builtinId="5"/>
    <cellStyle name="Percent 2" xfId="103" xr:uid="{00000000-0005-0000-0000-000047010000}"/>
    <cellStyle name="Title" xfId="9" builtinId="15" customBuiltin="1"/>
    <cellStyle name="Total" xfId="24" builtinId="25" customBuiltin="1"/>
    <cellStyle name="Warning Text" xfId="22" builtinId="11" customBuiltin="1"/>
  </cellStyles>
  <dxfs count="16">
    <dxf>
      <font>
        <b/>
        <i val="0"/>
        <color rgb="FFFF0000"/>
      </font>
    </dxf>
    <dxf>
      <font>
        <b/>
        <i val="0"/>
        <color rgb="FFCC00CC"/>
      </font>
    </dxf>
    <dxf>
      <fill>
        <patternFill patternType="lightTrellis">
          <fgColor theme="1" tint="0.499984740745262"/>
        </patternFill>
      </fill>
    </dxf>
    <dxf>
      <font>
        <b/>
        <i val="0"/>
        <color rgb="FFCC00CC"/>
      </font>
    </dxf>
    <dxf>
      <font>
        <b/>
        <i val="0"/>
        <color rgb="FFCC00CC"/>
      </font>
    </dxf>
    <dxf>
      <font>
        <b/>
        <i val="0"/>
        <color rgb="FFFF0000"/>
      </font>
    </dxf>
    <dxf>
      <font>
        <b/>
        <i val="0"/>
        <color rgb="FF0000FF"/>
      </font>
    </dxf>
    <dxf>
      <font>
        <b/>
        <i val="0"/>
        <color rgb="FFFF9933"/>
      </font>
      <fill>
        <patternFill patternType="none">
          <bgColor auto="1"/>
        </patternFill>
      </fill>
    </dxf>
    <dxf>
      <font>
        <color rgb="FF0000FF"/>
      </font>
    </dxf>
    <dxf>
      <font>
        <color rgb="FF9C0006"/>
      </font>
      <fill>
        <patternFill>
          <bgColor rgb="FFFFC7CE"/>
        </patternFill>
      </fill>
    </dxf>
    <dxf>
      <font>
        <color theme="3" tint="-0.24994659260841701"/>
      </font>
    </dxf>
    <dxf>
      <font>
        <b/>
        <i val="0"/>
        <color rgb="FFFFC000"/>
      </font>
    </dxf>
    <dxf>
      <font>
        <b/>
        <i val="0"/>
        <strike val="0"/>
        <color rgb="FF0000FF"/>
      </font>
    </dxf>
    <dxf>
      <font>
        <b/>
        <i val="0"/>
        <strike val="0"/>
        <color rgb="FFFF0000"/>
      </font>
    </dxf>
    <dxf>
      <font>
        <b/>
        <i val="0"/>
        <color rgb="FFCC00CC"/>
      </font>
    </dxf>
    <dxf>
      <font>
        <color rgb="FF9C0006"/>
      </fon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4B91C1"/>
      <color rgb="FF0DC0FF"/>
      <color rgb="FF66FF99"/>
      <color rgb="FFCCFFCC"/>
      <color rgb="FFCC00CC"/>
      <color rgb="FFFF9933"/>
      <color rgb="FF00CC00"/>
      <color rgb="FF0000FF"/>
      <color rgb="FFFFFF66"/>
      <color rgb="FF00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66675</xdr:colOff>
          <xdr:row>0</xdr:row>
          <xdr:rowOff>76200</xdr:rowOff>
        </xdr:from>
        <xdr:to>
          <xdr:col>8</xdr:col>
          <xdr:colOff>847725</xdr:colOff>
          <xdr:row>1</xdr:row>
          <xdr:rowOff>152400</xdr:rowOff>
        </xdr:to>
        <xdr:sp macro="" textlink="">
          <xdr:nvSpPr>
            <xdr:cNvPr id="3074" name="CommandButton1"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0</xdr:row>
          <xdr:rowOff>57150</xdr:rowOff>
        </xdr:from>
        <xdr:to>
          <xdr:col>19</xdr:col>
          <xdr:colOff>152400</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rgb="FF92D050"/>
  </sheetPr>
  <dimension ref="A1:M14"/>
  <sheetViews>
    <sheetView workbookViewId="0">
      <selection activeCell="A43" sqref="A43"/>
    </sheetView>
  </sheetViews>
  <sheetFormatPr defaultRowHeight="12.75" x14ac:dyDescent="0.2"/>
  <cols>
    <col min="1" max="1" width="25.28515625" style="138" bestFit="1" customWidth="1"/>
    <col min="2" max="2" width="17.7109375" style="138" bestFit="1" customWidth="1"/>
    <col min="3" max="3" width="9.7109375" bestFit="1" customWidth="1"/>
    <col min="4" max="4" width="10" bestFit="1" customWidth="1"/>
    <col min="5" max="8" width="11.7109375" customWidth="1"/>
  </cols>
  <sheetData>
    <row r="1" spans="1:13" s="43" customFormat="1" ht="24.75" customHeight="1" thickBot="1" x14ac:dyDescent="0.25">
      <c r="A1" s="144" t="s">
        <v>170</v>
      </c>
      <c r="B1" s="144" t="s">
        <v>171</v>
      </c>
      <c r="C1" s="145" t="s">
        <v>172</v>
      </c>
      <c r="D1" s="145" t="s">
        <v>173</v>
      </c>
      <c r="E1" s="145" t="s">
        <v>174</v>
      </c>
      <c r="F1" s="145" t="s">
        <v>175</v>
      </c>
      <c r="G1" s="145" t="s">
        <v>176</v>
      </c>
      <c r="H1" s="145" t="s">
        <v>177</v>
      </c>
    </row>
    <row r="2" spans="1:13" ht="15.95" customHeight="1" x14ac:dyDescent="0.2">
      <c r="A2" s="140" t="s">
        <v>178</v>
      </c>
      <c r="B2" s="140" t="s">
        <v>179</v>
      </c>
      <c r="C2" s="139" t="s">
        <v>180</v>
      </c>
      <c r="D2" s="139">
        <v>4</v>
      </c>
      <c r="E2" s="139">
        <v>65</v>
      </c>
      <c r="F2" s="139">
        <v>75</v>
      </c>
      <c r="G2" s="139">
        <v>85</v>
      </c>
      <c r="H2" s="139">
        <v>95</v>
      </c>
    </row>
    <row r="3" spans="1:13" ht="15.95" customHeight="1" x14ac:dyDescent="0.2">
      <c r="A3" s="140" t="s">
        <v>205</v>
      </c>
      <c r="B3" s="140" t="s">
        <v>194</v>
      </c>
      <c r="C3" s="139" t="s">
        <v>180</v>
      </c>
      <c r="D3" s="139">
        <v>3</v>
      </c>
      <c r="E3" s="139">
        <v>-0.01</v>
      </c>
      <c r="F3" s="139">
        <v>0</v>
      </c>
      <c r="G3" s="139">
        <v>0.01</v>
      </c>
      <c r="H3" s="141"/>
    </row>
    <row r="4" spans="1:13" ht="15.95" customHeight="1" x14ac:dyDescent="0.2">
      <c r="A4" s="143" t="s">
        <v>181</v>
      </c>
      <c r="B4" s="143" t="s">
        <v>182</v>
      </c>
      <c r="C4" s="142" t="s">
        <v>180</v>
      </c>
      <c r="D4" s="142">
        <v>3</v>
      </c>
      <c r="E4" s="142">
        <v>1.5</v>
      </c>
      <c r="F4" s="142">
        <v>2.5</v>
      </c>
      <c r="G4" s="142">
        <v>3.5</v>
      </c>
      <c r="H4" s="141"/>
    </row>
    <row r="5" spans="1:13" ht="15.95" customHeight="1" x14ac:dyDescent="0.2">
      <c r="A5" s="143" t="s">
        <v>184</v>
      </c>
      <c r="B5" s="143" t="s">
        <v>185</v>
      </c>
      <c r="C5" s="142" t="s">
        <v>180</v>
      </c>
      <c r="D5" s="142">
        <v>4</v>
      </c>
      <c r="E5" s="142">
        <v>1.5</v>
      </c>
      <c r="F5" s="142">
        <v>2.5</v>
      </c>
      <c r="G5" s="142">
        <v>3.5</v>
      </c>
      <c r="H5" s="142">
        <v>4.5</v>
      </c>
    </row>
    <row r="6" spans="1:13" ht="15.95" customHeight="1" x14ac:dyDescent="0.2">
      <c r="A6" s="143" t="s">
        <v>186</v>
      </c>
      <c r="B6" s="143" t="s">
        <v>179</v>
      </c>
      <c r="C6" s="142" t="s">
        <v>180</v>
      </c>
      <c r="D6" s="142">
        <v>3</v>
      </c>
      <c r="E6" s="142">
        <v>0.75</v>
      </c>
      <c r="F6" s="142">
        <v>1.5</v>
      </c>
      <c r="G6" s="142">
        <v>2.25</v>
      </c>
      <c r="H6" s="141"/>
    </row>
    <row r="7" spans="1:13" ht="15.95" customHeight="1" x14ac:dyDescent="0.2">
      <c r="A7" s="143" t="s">
        <v>187</v>
      </c>
      <c r="B7" s="143" t="s">
        <v>179</v>
      </c>
      <c r="C7" s="142" t="s">
        <v>180</v>
      </c>
      <c r="D7" s="142">
        <v>3</v>
      </c>
      <c r="E7" s="142">
        <v>10</v>
      </c>
      <c r="F7" s="142">
        <v>15</v>
      </c>
      <c r="G7" s="142">
        <v>20</v>
      </c>
      <c r="H7" s="141"/>
    </row>
    <row r="8" spans="1:13" ht="15.95" customHeight="1" x14ac:dyDescent="0.2">
      <c r="A8" s="143" t="s">
        <v>188</v>
      </c>
      <c r="B8" s="143" t="s">
        <v>182</v>
      </c>
      <c r="C8" s="142" t="s">
        <v>180</v>
      </c>
      <c r="D8" s="142">
        <v>3</v>
      </c>
      <c r="E8" s="142">
        <v>0.25</v>
      </c>
      <c r="F8" s="142">
        <v>0.5</v>
      </c>
      <c r="G8" s="142">
        <v>0.75</v>
      </c>
      <c r="H8" s="141"/>
    </row>
    <row r="9" spans="1:13" ht="15.95" customHeight="1" x14ac:dyDescent="0.2">
      <c r="A9" s="143" t="s">
        <v>189</v>
      </c>
      <c r="B9" s="143" t="s">
        <v>179</v>
      </c>
      <c r="C9" s="142" t="s">
        <v>180</v>
      </c>
      <c r="D9" s="142">
        <v>3</v>
      </c>
      <c r="E9" s="142">
        <v>0.5</v>
      </c>
      <c r="F9" s="142">
        <v>1</v>
      </c>
      <c r="G9" s="142">
        <v>1.5</v>
      </c>
      <c r="H9" s="141"/>
    </row>
    <row r="10" spans="1:13" ht="15.95" customHeight="1" x14ac:dyDescent="0.2">
      <c r="A10" s="143" t="s">
        <v>190</v>
      </c>
      <c r="B10" s="143" t="s">
        <v>182</v>
      </c>
      <c r="C10" s="142" t="s">
        <v>180</v>
      </c>
      <c r="D10" s="142">
        <v>3</v>
      </c>
      <c r="E10" s="142">
        <v>0.3</v>
      </c>
      <c r="F10" s="142">
        <v>0.6</v>
      </c>
      <c r="G10" s="142">
        <v>0.9</v>
      </c>
      <c r="H10" s="141"/>
      <c r="M10">
        <f>4*4*3^9</f>
        <v>314928</v>
      </c>
    </row>
    <row r="11" spans="1:13" ht="15.95" customHeight="1" x14ac:dyDescent="0.2">
      <c r="A11" s="143" t="s">
        <v>191</v>
      </c>
      <c r="B11" s="143" t="s">
        <v>183</v>
      </c>
      <c r="C11" s="142" t="s">
        <v>180</v>
      </c>
      <c r="D11" s="142">
        <v>3</v>
      </c>
      <c r="E11" s="142">
        <v>40</v>
      </c>
      <c r="F11" s="142">
        <v>60</v>
      </c>
      <c r="G11" s="142">
        <v>80</v>
      </c>
      <c r="H11" s="141"/>
    </row>
    <row r="12" spans="1:13" ht="15.95" customHeight="1" x14ac:dyDescent="0.2">
      <c r="A12" s="143" t="s">
        <v>206</v>
      </c>
      <c r="B12" s="143" t="s">
        <v>151</v>
      </c>
      <c r="C12" s="142" t="s">
        <v>180</v>
      </c>
      <c r="D12" s="142">
        <v>3</v>
      </c>
      <c r="E12" s="142">
        <v>0.05</v>
      </c>
      <c r="F12" s="142">
        <v>7.4999999999999997E-2</v>
      </c>
      <c r="G12" s="142">
        <v>0.1</v>
      </c>
      <c r="H12" s="141"/>
    </row>
    <row r="13" spans="1:13" ht="15.95" customHeight="1" x14ac:dyDescent="0.2">
      <c r="A13" s="143" t="s">
        <v>192</v>
      </c>
      <c r="B13" s="143" t="s">
        <v>151</v>
      </c>
      <c r="C13" s="142" t="s">
        <v>180</v>
      </c>
      <c r="D13" s="142">
        <v>4</v>
      </c>
      <c r="E13" s="142">
        <v>0.7</v>
      </c>
      <c r="F13" s="142">
        <v>0.9</v>
      </c>
      <c r="G13" s="142">
        <v>1.1000000000000001</v>
      </c>
      <c r="H13" s="142">
        <v>1.3</v>
      </c>
    </row>
    <row r="14" spans="1:13" ht="15.95" customHeight="1" x14ac:dyDescent="0.2">
      <c r="A14" s="143" t="s">
        <v>193</v>
      </c>
      <c r="B14" s="143" t="s">
        <v>194</v>
      </c>
      <c r="C14" s="142" t="s">
        <v>180</v>
      </c>
      <c r="D14" s="142">
        <v>4</v>
      </c>
      <c r="E14" s="142">
        <v>0.05</v>
      </c>
      <c r="F14" s="142">
        <v>8.3330000000000001E-2</v>
      </c>
      <c r="G14" s="142">
        <v>0.11666</v>
      </c>
      <c r="H14" s="142">
        <v>0.15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1:T204"/>
  <sheetViews>
    <sheetView topLeftCell="F1" zoomScale="90" zoomScaleNormal="90" workbookViewId="0">
      <selection activeCell="N16" sqref="N16"/>
    </sheetView>
  </sheetViews>
  <sheetFormatPr defaultRowHeight="15" x14ac:dyDescent="0.25"/>
  <cols>
    <col min="1" max="1" width="6.7109375" style="128" customWidth="1"/>
    <col min="2" max="2" width="19.28515625" style="129" customWidth="1"/>
    <col min="3" max="3" width="18" style="303" bestFit="1" customWidth="1"/>
    <col min="4" max="4" width="18.7109375" style="303" bestFit="1" customWidth="1"/>
    <col min="5" max="5" width="21" style="303" bestFit="1" customWidth="1"/>
    <col min="6" max="6" width="22.28515625" style="303" bestFit="1" customWidth="1"/>
    <col min="7" max="7" width="20.7109375" style="303" bestFit="1" customWidth="1"/>
    <col min="8" max="8" width="24" style="303" customWidth="1"/>
    <col min="9" max="9" width="14.140625" style="120" customWidth="1"/>
    <col min="10" max="11" width="22.140625" style="107" hidden="1" customWidth="1"/>
    <col min="12" max="13" width="12.5703125" style="107" customWidth="1"/>
    <col min="14" max="14" width="13.28515625" style="108" customWidth="1"/>
    <col min="15" max="15" width="10.7109375" style="108" customWidth="1"/>
    <col min="16" max="17" width="13.28515625" style="107" customWidth="1"/>
    <col min="18" max="18" width="11" style="107" customWidth="1"/>
    <col min="19" max="19" width="16" style="108" customWidth="1"/>
    <col min="20" max="20" width="16.5703125" style="108" customWidth="1"/>
    <col min="21" max="16384" width="9.140625" style="108"/>
  </cols>
  <sheetData>
    <row r="1" spans="1:20" ht="18.75" customHeight="1" thickBot="1" x14ac:dyDescent="0.35">
      <c r="C1" s="397" t="s">
        <v>15</v>
      </c>
      <c r="D1" s="398"/>
      <c r="E1" s="398"/>
      <c r="F1" s="399"/>
      <c r="G1" s="400" t="s">
        <v>67</v>
      </c>
      <c r="H1" s="401"/>
      <c r="I1"/>
      <c r="J1" s="114"/>
      <c r="K1" s="114"/>
      <c r="L1" s="389" t="s">
        <v>90</v>
      </c>
      <c r="M1" s="404" t="s">
        <v>132</v>
      </c>
      <c r="N1" s="391" t="s">
        <v>128</v>
      </c>
      <c r="O1" s="393" t="s">
        <v>129</v>
      </c>
      <c r="P1" s="406" t="s">
        <v>85</v>
      </c>
      <c r="Q1" s="407"/>
      <c r="R1" s="388" t="s">
        <v>91</v>
      </c>
      <c r="S1" s="386"/>
      <c r="T1" s="387"/>
    </row>
    <row r="2" spans="1:20" x14ac:dyDescent="0.25">
      <c r="A2" s="181" t="s">
        <v>68</v>
      </c>
      <c r="B2" s="395" t="s">
        <v>69</v>
      </c>
      <c r="C2" s="299" t="s">
        <v>70</v>
      </c>
      <c r="D2" s="300" t="s">
        <v>71</v>
      </c>
      <c r="E2" s="299" t="s">
        <v>72</v>
      </c>
      <c r="F2" s="299" t="s">
        <v>73</v>
      </c>
      <c r="G2" s="299" t="s">
        <v>72</v>
      </c>
      <c r="H2" s="299" t="s">
        <v>73</v>
      </c>
      <c r="I2"/>
      <c r="J2" s="115"/>
      <c r="K2" s="115"/>
      <c r="L2" s="390"/>
      <c r="M2" s="405"/>
      <c r="N2" s="392"/>
      <c r="O2" s="394"/>
      <c r="P2" s="402" t="s">
        <v>84</v>
      </c>
      <c r="Q2" s="403" t="s">
        <v>89</v>
      </c>
      <c r="R2" s="388"/>
      <c r="S2" s="386"/>
      <c r="T2" s="387"/>
    </row>
    <row r="3" spans="1:20" ht="15.75" thickBot="1" x14ac:dyDescent="0.3">
      <c r="A3" s="182" t="s">
        <v>74</v>
      </c>
      <c r="B3" s="396"/>
      <c r="C3" s="301" t="s">
        <v>75</v>
      </c>
      <c r="D3" s="302" t="s">
        <v>76</v>
      </c>
      <c r="E3" s="301" t="s">
        <v>75</v>
      </c>
      <c r="F3" s="301" t="s">
        <v>76</v>
      </c>
      <c r="G3" s="301" t="s">
        <v>75</v>
      </c>
      <c r="H3" s="301" t="s">
        <v>76</v>
      </c>
      <c r="I3"/>
      <c r="J3" s="116"/>
      <c r="K3" s="116"/>
      <c r="L3" s="390"/>
      <c r="M3" s="405"/>
      <c r="N3" s="392"/>
      <c r="O3" s="394"/>
      <c r="P3" s="402"/>
      <c r="Q3" s="403">
        <v>0</v>
      </c>
      <c r="R3" s="388"/>
      <c r="S3" s="386"/>
      <c r="T3" s="387"/>
    </row>
    <row r="4" spans="1:20" ht="15.75" thickBot="1" x14ac:dyDescent="0.3">
      <c r="A4" s="174">
        <v>-1.8899999999999999E-6</v>
      </c>
      <c r="B4" s="175">
        <v>40909</v>
      </c>
      <c r="C4" s="304">
        <v>166</v>
      </c>
      <c r="D4" s="304">
        <v>97.308589999999995</v>
      </c>
      <c r="E4" s="304">
        <v>1756.9349999999999</v>
      </c>
      <c r="F4" s="304">
        <v>149.3381</v>
      </c>
      <c r="G4" s="304">
        <v>995.95090000000005</v>
      </c>
      <c r="H4" s="304">
        <v>2580.3049999999998</v>
      </c>
      <c r="I4"/>
      <c r="J4" s="117"/>
      <c r="K4" s="117"/>
      <c r="L4" s="201">
        <v>7</v>
      </c>
      <c r="M4" s="204" t="s">
        <v>130</v>
      </c>
      <c r="N4" s="202">
        <v>23</v>
      </c>
      <c r="O4" s="277">
        <v>100</v>
      </c>
      <c r="P4" s="278">
        <v>0</v>
      </c>
      <c r="Q4" s="279">
        <v>0</v>
      </c>
      <c r="R4" s="279">
        <v>0</v>
      </c>
      <c r="S4" s="280">
        <v>0</v>
      </c>
      <c r="T4" s="281">
        <v>0</v>
      </c>
    </row>
    <row r="5" spans="1:20" ht="15.75" x14ac:dyDescent="0.25">
      <c r="A5" s="176">
        <v>1.002051</v>
      </c>
      <c r="B5" s="173">
        <v>41275</v>
      </c>
      <c r="C5" s="304">
        <v>293.89249999999998</v>
      </c>
      <c r="D5" s="304">
        <v>173.5487</v>
      </c>
      <c r="E5" s="304">
        <v>1411.8810000000001</v>
      </c>
      <c r="F5" s="304">
        <v>612.37329999999997</v>
      </c>
      <c r="G5" s="304">
        <v>1013.3</v>
      </c>
      <c r="H5" s="304">
        <v>2639.12</v>
      </c>
      <c r="I5" s="119"/>
      <c r="J5" s="117"/>
      <c r="K5" s="117"/>
      <c r="L5" s="113"/>
      <c r="M5" s="113"/>
      <c r="P5" s="282">
        <f>IF(C5="","",(IF($L$4=5,IF((G5+H5)=0,5,3),IF($L$4=7,IF((G5+H5)=0,7,4),"Invaid"))))</f>
        <v>4</v>
      </c>
      <c r="Q5" s="232">
        <f>IF(C5=0,"",IF($L$4=5,IF((G5+H5)=0,0,2),IF($L$4=7,IF((G5+H5)=0,0,3),"Invaid")))</f>
        <v>3</v>
      </c>
      <c r="R5" s="233">
        <f>IF(C5=0,"",IF((G5+H5)=0,1,IF(H5&gt;0, 3, 2)))</f>
        <v>3</v>
      </c>
      <c r="S5" s="234">
        <f t="shared" ref="S5:S36" si="0">IF(C5=0,"",OCF*FPF*(C5+D5/10)/P5)</f>
        <v>78.901205400920929</v>
      </c>
      <c r="T5" s="283">
        <f>IF(C5=0,"",SUM($S$4:S5)*365)</f>
        <v>28798.939971336138</v>
      </c>
    </row>
    <row r="6" spans="1:20" ht="15.75" x14ac:dyDescent="0.25">
      <c r="A6" s="176">
        <v>2.0013670000000001</v>
      </c>
      <c r="B6" s="173">
        <v>41640</v>
      </c>
      <c r="C6" s="304">
        <v>367.28910000000002</v>
      </c>
      <c r="D6" s="304">
        <v>217.45830000000001</v>
      </c>
      <c r="E6" s="304">
        <v>1239.173</v>
      </c>
      <c r="F6" s="304">
        <v>1085.7059999999999</v>
      </c>
      <c r="G6" s="304">
        <v>1035.6389999999999</v>
      </c>
      <c r="H6" s="304">
        <v>2655.576</v>
      </c>
      <c r="I6" s="119"/>
      <c r="J6" s="117"/>
      <c r="K6" s="117"/>
      <c r="L6"/>
      <c r="M6"/>
      <c r="P6" s="282">
        <f t="shared" ref="P6:P69" si="1">IF(C6="","",(IF($L$4=5,IF((G6+H6)=0,5,3),IF($L$4=7,IF((G6+H6)=0,7,4),"Invaid"))))</f>
        <v>4</v>
      </c>
      <c r="Q6" s="232">
        <f t="shared" ref="Q6:Q69" si="2">IF(C6=0,"",IF($L$4=5,IF((G6+H6)=0,0,2),IF($L$4=7,IF((G6+H6)=0,0,3),"Invaid")))</f>
        <v>3</v>
      </c>
      <c r="R6" s="233">
        <f t="shared" ref="R6:R69" si="3">IF(C6=0,"",IF((G6+H6)=0,1,IF(H6&gt;0, 3, 2)))</f>
        <v>3</v>
      </c>
      <c r="S6" s="234">
        <f t="shared" si="0"/>
        <v>98.620351137626969</v>
      </c>
      <c r="T6" s="283">
        <f>IF(C6=0,"",SUM($S$4:S6)*365)</f>
        <v>64795.368136569974</v>
      </c>
    </row>
    <row r="7" spans="1:20" ht="15.75" x14ac:dyDescent="0.25">
      <c r="A7" s="176">
        <v>3.000683</v>
      </c>
      <c r="B7" s="173">
        <v>42005</v>
      </c>
      <c r="C7" s="304">
        <v>365.73090000000002</v>
      </c>
      <c r="D7" s="304">
        <v>215.70760000000001</v>
      </c>
      <c r="E7" s="304">
        <v>1144.729</v>
      </c>
      <c r="F7" s="304">
        <v>1473.6420000000001</v>
      </c>
      <c r="G7" s="304">
        <v>1055.135</v>
      </c>
      <c r="H7" s="304">
        <v>2678.6489999999999</v>
      </c>
      <c r="I7" s="119"/>
      <c r="J7" s="117"/>
      <c r="K7" s="117"/>
      <c r="L7"/>
      <c r="M7"/>
      <c r="P7" s="282">
        <f t="shared" si="1"/>
        <v>4</v>
      </c>
      <c r="Q7" s="232">
        <f t="shared" si="2"/>
        <v>3</v>
      </c>
      <c r="R7" s="233">
        <f t="shared" si="3"/>
        <v>3</v>
      </c>
      <c r="S7" s="234">
        <f t="shared" si="0"/>
        <v>98.180967208743468</v>
      </c>
      <c r="T7" s="283">
        <f>IF(C7=0,"",SUM($S$4:S7)*365)</f>
        <v>100631.42116776135</v>
      </c>
    </row>
    <row r="8" spans="1:20" ht="15.75" x14ac:dyDescent="0.25">
      <c r="A8" s="176">
        <v>3.9999980000000002</v>
      </c>
      <c r="B8" s="173">
        <v>42370</v>
      </c>
      <c r="C8" s="304">
        <v>332.67950000000002</v>
      </c>
      <c r="D8" s="304">
        <v>196.70070000000001</v>
      </c>
      <c r="E8" s="304">
        <v>1105.3320000000001</v>
      </c>
      <c r="F8" s="304">
        <v>1757.2950000000001</v>
      </c>
      <c r="G8" s="304">
        <v>1074.691</v>
      </c>
      <c r="H8" s="304">
        <v>2703.16</v>
      </c>
      <c r="I8" s="119"/>
      <c r="J8" s="117"/>
      <c r="K8" s="117"/>
      <c r="L8"/>
      <c r="M8"/>
      <c r="P8" s="282">
        <f t="shared" si="1"/>
        <v>4</v>
      </c>
      <c r="Q8" s="232">
        <f t="shared" si="2"/>
        <v>3</v>
      </c>
      <c r="R8" s="233">
        <f t="shared" si="3"/>
        <v>3</v>
      </c>
      <c r="S8" s="234">
        <f t="shared" si="0"/>
        <v>89.320612718739355</v>
      </c>
      <c r="T8" s="283">
        <f>IF(C8=0,"",SUM($S$4:S8)*365)</f>
        <v>133233.44481010121</v>
      </c>
    </row>
    <row r="9" spans="1:20" ht="15.75" x14ac:dyDescent="0.25">
      <c r="A9" s="176">
        <v>5.0020509999999998</v>
      </c>
      <c r="B9" s="173">
        <v>42736</v>
      </c>
      <c r="C9" s="304">
        <v>303.76069999999999</v>
      </c>
      <c r="D9" s="304">
        <v>179.4923</v>
      </c>
      <c r="E9" s="304">
        <v>1086.3820000000001</v>
      </c>
      <c r="F9" s="304">
        <v>1921.3230000000001</v>
      </c>
      <c r="G9" s="304">
        <v>1091.425</v>
      </c>
      <c r="H9" s="304">
        <v>2742.808</v>
      </c>
      <c r="I9" s="119"/>
      <c r="J9" s="117"/>
      <c r="K9" s="117"/>
      <c r="L9" s="132"/>
      <c r="M9" s="132"/>
      <c r="N9" s="132"/>
      <c r="P9" s="282">
        <f t="shared" si="1"/>
        <v>4</v>
      </c>
      <c r="Q9" s="232">
        <f t="shared" si="2"/>
        <v>3</v>
      </c>
      <c r="R9" s="233">
        <f t="shared" si="3"/>
        <v>3</v>
      </c>
      <c r="S9" s="234">
        <f t="shared" si="0"/>
        <v>81.553464263636656</v>
      </c>
      <c r="T9" s="283">
        <f>IF(C9=0,"",SUM($S$4:S9)*365)</f>
        <v>163000.4592663286</v>
      </c>
    </row>
    <row r="10" spans="1:20" ht="15.75" x14ac:dyDescent="0.25">
      <c r="A10" s="176">
        <v>6.0013670000000001</v>
      </c>
      <c r="B10" s="173">
        <v>43101</v>
      </c>
      <c r="C10" s="304">
        <v>289.05829999999997</v>
      </c>
      <c r="D10" s="304">
        <v>170.05350000000001</v>
      </c>
      <c r="E10" s="304">
        <v>1077.491</v>
      </c>
      <c r="F10" s="304">
        <v>2041.816</v>
      </c>
      <c r="G10" s="304">
        <v>1114.2629999999999</v>
      </c>
      <c r="H10" s="304">
        <v>2776.4569999999999</v>
      </c>
      <c r="I10" s="119"/>
      <c r="J10" s="117"/>
      <c r="K10" s="117"/>
      <c r="L10" s="131"/>
      <c r="M10" s="131"/>
      <c r="N10" s="131"/>
      <c r="P10" s="282">
        <f t="shared" si="1"/>
        <v>4</v>
      </c>
      <c r="Q10" s="232">
        <f t="shared" si="2"/>
        <v>3</v>
      </c>
      <c r="R10" s="233">
        <f t="shared" si="3"/>
        <v>3</v>
      </c>
      <c r="S10" s="234">
        <f t="shared" si="0"/>
        <v>77.587132429120842</v>
      </c>
      <c r="T10" s="283">
        <f>IF(C10=0,"",SUM($S$4:S10)*365)</f>
        <v>191319.76260295769</v>
      </c>
    </row>
    <row r="11" spans="1:20" ht="15.75" customHeight="1" x14ac:dyDescent="0.25">
      <c r="A11" s="176">
        <v>7.0006820000000003</v>
      </c>
      <c r="B11" s="173">
        <v>43466</v>
      </c>
      <c r="C11" s="304">
        <v>276.27879999999999</v>
      </c>
      <c r="D11" s="304">
        <v>162.15960000000001</v>
      </c>
      <c r="E11" s="304">
        <v>1082.0519999999999</v>
      </c>
      <c r="F11" s="304">
        <v>2158.6959999999999</v>
      </c>
      <c r="G11" s="304">
        <v>1134.126</v>
      </c>
      <c r="H11" s="304">
        <v>2822.2919999999999</v>
      </c>
      <c r="I11" s="119"/>
      <c r="J11" s="117"/>
      <c r="K11" s="117"/>
      <c r="L11" s="113"/>
      <c r="M11" s="113"/>
      <c r="P11" s="282">
        <f t="shared" si="1"/>
        <v>4</v>
      </c>
      <c r="Q11" s="232">
        <f t="shared" si="2"/>
        <v>3</v>
      </c>
      <c r="R11" s="233">
        <f t="shared" si="3"/>
        <v>3</v>
      </c>
      <c r="S11" s="234">
        <f t="shared" si="0"/>
        <v>74.147418940288787</v>
      </c>
      <c r="T11" s="283">
        <f>IF(C11=0,"",SUM($S$4:S11)*365)</f>
        <v>218383.57051616308</v>
      </c>
    </row>
    <row r="12" spans="1:20" ht="15.75" customHeight="1" x14ac:dyDescent="0.25">
      <c r="A12" s="176">
        <v>7.9999979999999997</v>
      </c>
      <c r="B12" s="173">
        <v>43831</v>
      </c>
      <c r="C12" s="304">
        <v>264.51650000000001</v>
      </c>
      <c r="D12" s="304">
        <v>154.9494</v>
      </c>
      <c r="E12" s="304">
        <v>1090.296</v>
      </c>
      <c r="F12" s="304">
        <v>2273.6640000000002</v>
      </c>
      <c r="G12" s="304">
        <v>1153.992</v>
      </c>
      <c r="H12" s="304">
        <v>2868.6979999999999</v>
      </c>
      <c r="I12" s="136"/>
      <c r="J12" s="136"/>
      <c r="K12" s="136"/>
      <c r="L12" s="136"/>
      <c r="M12" s="136"/>
      <c r="N12" s="136"/>
      <c r="P12" s="282">
        <f t="shared" si="1"/>
        <v>4</v>
      </c>
      <c r="Q12" s="232">
        <f t="shared" si="2"/>
        <v>3</v>
      </c>
      <c r="R12" s="233">
        <f t="shared" si="3"/>
        <v>3</v>
      </c>
      <c r="S12" s="234">
        <f t="shared" si="0"/>
        <v>70.982897436362748</v>
      </c>
      <c r="T12" s="283">
        <f>IF(C12=0,"",SUM($S$4:S12)*365)</f>
        <v>244292.32808043546</v>
      </c>
    </row>
    <row r="13" spans="1:20" ht="15.75" customHeight="1" x14ac:dyDescent="0.25">
      <c r="A13" s="176">
        <v>9.0020509999999998</v>
      </c>
      <c r="B13" s="173">
        <v>44197</v>
      </c>
      <c r="C13" s="304">
        <v>249.57490000000001</v>
      </c>
      <c r="D13" s="304">
        <v>146.45679999999999</v>
      </c>
      <c r="E13" s="304">
        <v>1099.3599999999999</v>
      </c>
      <c r="F13" s="304">
        <v>2397.5990000000002</v>
      </c>
      <c r="G13" s="304">
        <v>1170.655</v>
      </c>
      <c r="H13" s="304">
        <v>2923.2049999999999</v>
      </c>
      <c r="I13" s="136"/>
      <c r="J13" s="136"/>
      <c r="K13" s="136"/>
      <c r="L13" s="136"/>
      <c r="M13" s="136"/>
      <c r="N13" s="136"/>
      <c r="P13" s="282">
        <f t="shared" si="1"/>
        <v>4</v>
      </c>
      <c r="Q13" s="232">
        <f t="shared" si="2"/>
        <v>3</v>
      </c>
      <c r="R13" s="233">
        <f t="shared" si="3"/>
        <v>3</v>
      </c>
      <c r="S13" s="234">
        <f t="shared" si="0"/>
        <v>66.979914573191309</v>
      </c>
      <c r="T13" s="283">
        <f>IF(C13=0,"",SUM($S$4:S13)*365)</f>
        <v>268739.99689965032</v>
      </c>
    </row>
    <row r="14" spans="1:20" ht="15" customHeight="1" x14ac:dyDescent="0.25">
      <c r="A14" s="176">
        <v>10.00137</v>
      </c>
      <c r="B14" s="173">
        <v>44562</v>
      </c>
      <c r="C14" s="304">
        <v>235.05080000000001</v>
      </c>
      <c r="D14" s="304">
        <v>137.79519999999999</v>
      </c>
      <c r="E14" s="304">
        <v>1110.5429999999999</v>
      </c>
      <c r="F14" s="304">
        <v>2491.4540000000002</v>
      </c>
      <c r="G14" s="304">
        <v>1193.7429999999999</v>
      </c>
      <c r="H14" s="304">
        <v>2962.0140000000001</v>
      </c>
      <c r="I14" s="194"/>
      <c r="J14" s="119"/>
      <c r="K14" s="119"/>
      <c r="L14" s="194"/>
      <c r="M14" s="194"/>
      <c r="N14" s="194"/>
      <c r="P14" s="282">
        <f t="shared" si="1"/>
        <v>4</v>
      </c>
      <c r="Q14" s="232">
        <f t="shared" si="2"/>
        <v>3</v>
      </c>
      <c r="R14" s="233">
        <f t="shared" si="3"/>
        <v>3</v>
      </c>
      <c r="S14" s="234">
        <f t="shared" si="0"/>
        <v>63.078483806294926</v>
      </c>
      <c r="T14" s="283">
        <f>IF(C14=0,"",SUM($S$4:S14)*365)</f>
        <v>291763.64348894794</v>
      </c>
    </row>
    <row r="15" spans="1:20" ht="15.75" x14ac:dyDescent="0.25">
      <c r="A15" s="176">
        <v>11.000679999999999</v>
      </c>
      <c r="B15" s="173">
        <v>44927</v>
      </c>
      <c r="C15" s="304">
        <v>221.14250000000001</v>
      </c>
      <c r="D15" s="304">
        <v>129.54589999999999</v>
      </c>
      <c r="E15" s="304">
        <v>1124.633</v>
      </c>
      <c r="F15" s="304">
        <v>2591.14</v>
      </c>
      <c r="G15" s="304">
        <v>1213.633</v>
      </c>
      <c r="H15" s="304">
        <v>3010.7460000000001</v>
      </c>
      <c r="I15" s="194"/>
      <c r="J15" s="119"/>
      <c r="K15" s="119"/>
      <c r="L15" s="194"/>
      <c r="M15" s="194"/>
      <c r="N15" s="194"/>
      <c r="P15" s="282">
        <f t="shared" si="1"/>
        <v>4</v>
      </c>
      <c r="Q15" s="232">
        <f t="shared" si="2"/>
        <v>3</v>
      </c>
      <c r="R15" s="233">
        <f t="shared" si="3"/>
        <v>3</v>
      </c>
      <c r="S15" s="234">
        <f t="shared" si="0"/>
        <v>59.343610138289286</v>
      </c>
      <c r="T15" s="283">
        <f>IF(C15=0,"",SUM($S$4:S15)*365)</f>
        <v>313424.06118942349</v>
      </c>
    </row>
    <row r="16" spans="1:20" ht="15.75" x14ac:dyDescent="0.25">
      <c r="A16" s="176">
        <v>12</v>
      </c>
      <c r="B16" s="173">
        <v>45292</v>
      </c>
      <c r="C16" s="304">
        <v>207.9425</v>
      </c>
      <c r="D16" s="304">
        <v>121.6884</v>
      </c>
      <c r="E16" s="304">
        <v>1144.902</v>
      </c>
      <c r="F16" s="304">
        <v>2660.8879999999999</v>
      </c>
      <c r="G16" s="304">
        <v>1233.557</v>
      </c>
      <c r="H16" s="304">
        <v>3060.13</v>
      </c>
      <c r="I16" s="191"/>
      <c r="J16" s="190"/>
      <c r="K16" s="190"/>
      <c r="L16" s="192"/>
      <c r="M16" s="193"/>
      <c r="N16" s="192"/>
      <c r="P16" s="282">
        <f t="shared" si="1"/>
        <v>4</v>
      </c>
      <c r="Q16" s="232">
        <f t="shared" si="2"/>
        <v>3</v>
      </c>
      <c r="R16" s="233">
        <f t="shared" si="3"/>
        <v>3</v>
      </c>
      <c r="S16" s="234">
        <f t="shared" si="0"/>
        <v>55.798222643333318</v>
      </c>
      <c r="T16" s="283">
        <f>IF(C16=0,"",SUM($S$4:S16)*365)</f>
        <v>333790.4124542402</v>
      </c>
    </row>
    <row r="17" spans="1:20" ht="15.75" x14ac:dyDescent="0.25">
      <c r="A17" s="176">
        <v>13.002050000000001</v>
      </c>
      <c r="B17" s="173">
        <v>45658</v>
      </c>
      <c r="C17" s="304">
        <v>198.5558</v>
      </c>
      <c r="D17" s="304">
        <v>115.9015</v>
      </c>
      <c r="E17" s="304">
        <v>1159.8979999999999</v>
      </c>
      <c r="F17" s="304">
        <v>2753.5030000000002</v>
      </c>
      <c r="G17" s="304">
        <v>1250.037</v>
      </c>
      <c r="H17" s="304">
        <v>3119.4290000000001</v>
      </c>
      <c r="I17" s="119"/>
      <c r="J17" s="117"/>
      <c r="K17" s="117"/>
      <c r="L17" s="113"/>
      <c r="M17" s="113"/>
      <c r="P17" s="282">
        <f t="shared" si="1"/>
        <v>4</v>
      </c>
      <c r="Q17" s="232">
        <f t="shared" si="2"/>
        <v>3</v>
      </c>
      <c r="R17" s="233">
        <f t="shared" si="3"/>
        <v>3</v>
      </c>
      <c r="S17" s="234">
        <f t="shared" si="0"/>
        <v>53.271996370994756</v>
      </c>
      <c r="T17" s="283">
        <f>IF(C17=0,"",SUM($S$4:S17)*365)</f>
        <v>353234.69112965331</v>
      </c>
    </row>
    <row r="18" spans="1:20" ht="15.75" x14ac:dyDescent="0.25">
      <c r="A18" s="176">
        <v>14.00137</v>
      </c>
      <c r="B18" s="173">
        <v>46023</v>
      </c>
      <c r="C18" s="304">
        <v>188.2278</v>
      </c>
      <c r="D18" s="304">
        <v>109.8085</v>
      </c>
      <c r="E18" s="304">
        <v>1178.011</v>
      </c>
      <c r="F18" s="304">
        <v>2828.768</v>
      </c>
      <c r="G18" s="304">
        <v>1273.4000000000001</v>
      </c>
      <c r="H18" s="304">
        <v>3161.415</v>
      </c>
      <c r="I18" s="119"/>
      <c r="J18" s="117"/>
      <c r="K18" s="117"/>
      <c r="L18" s="113"/>
      <c r="M18" s="113"/>
      <c r="P18" s="282">
        <f t="shared" si="1"/>
        <v>4</v>
      </c>
      <c r="Q18" s="232">
        <f t="shared" si="2"/>
        <v>3</v>
      </c>
      <c r="R18" s="233">
        <f t="shared" si="3"/>
        <v>3</v>
      </c>
      <c r="S18" s="234">
        <f t="shared" si="0"/>
        <v>50.499390922693323</v>
      </c>
      <c r="T18" s="283">
        <f>IF(C18=0,"",SUM($S$4:S18)*365)</f>
        <v>371666.96881643636</v>
      </c>
    </row>
    <row r="19" spans="1:20" ht="15.75" x14ac:dyDescent="0.25">
      <c r="A19" s="176">
        <v>15.000679999999999</v>
      </c>
      <c r="B19" s="173">
        <v>46388</v>
      </c>
      <c r="C19" s="304">
        <v>179.9134</v>
      </c>
      <c r="D19" s="304">
        <v>104.7471</v>
      </c>
      <c r="E19" s="304">
        <v>1197.412</v>
      </c>
      <c r="F19" s="304">
        <v>2901.9870000000001</v>
      </c>
      <c r="G19" s="304">
        <v>1293.329</v>
      </c>
      <c r="H19" s="304">
        <v>3213.0329999999999</v>
      </c>
      <c r="I19" s="119"/>
      <c r="J19" s="117"/>
      <c r="K19" s="117"/>
      <c r="L19" s="113"/>
      <c r="M19" s="113"/>
      <c r="P19" s="282">
        <f t="shared" si="1"/>
        <v>4</v>
      </c>
      <c r="Q19" s="232">
        <f t="shared" si="2"/>
        <v>3</v>
      </c>
      <c r="R19" s="233">
        <f t="shared" si="3"/>
        <v>3</v>
      </c>
      <c r="S19" s="234">
        <f t="shared" si="0"/>
        <v>48.263384114709559</v>
      </c>
      <c r="T19" s="283">
        <f>IF(C19=0,"",SUM($S$4:S19)*365)</f>
        <v>389283.10401830537</v>
      </c>
    </row>
    <row r="20" spans="1:20" ht="15.75" x14ac:dyDescent="0.25">
      <c r="A20" s="176">
        <v>16</v>
      </c>
      <c r="B20" s="173">
        <v>46753</v>
      </c>
      <c r="C20" s="304">
        <v>173.31200000000001</v>
      </c>
      <c r="D20" s="304">
        <v>100.84569999999999</v>
      </c>
      <c r="E20" s="304">
        <v>1214.7919999999999</v>
      </c>
      <c r="F20" s="304">
        <v>2985.2660000000001</v>
      </c>
      <c r="G20" s="304">
        <v>1313.2860000000001</v>
      </c>
      <c r="H20" s="304">
        <v>3265.1840000000002</v>
      </c>
      <c r="I20" s="119"/>
      <c r="J20" s="117"/>
      <c r="K20" s="117"/>
      <c r="L20" s="113"/>
      <c r="M20" s="113"/>
      <c r="P20" s="282">
        <f t="shared" si="1"/>
        <v>4</v>
      </c>
      <c r="Q20" s="232">
        <f t="shared" si="2"/>
        <v>3</v>
      </c>
      <c r="R20" s="233">
        <f t="shared" si="3"/>
        <v>3</v>
      </c>
      <c r="S20" s="234">
        <f t="shared" si="0"/>
        <v>46.491028789719167</v>
      </c>
      <c r="T20" s="283">
        <f>IF(C20=0,"",SUM($S$4:S20)*365)</f>
        <v>406252.32952655287</v>
      </c>
    </row>
    <row r="21" spans="1:20" ht="15.75" x14ac:dyDescent="0.25">
      <c r="A21" s="176">
        <v>17.002050000000001</v>
      </c>
      <c r="B21" s="173">
        <v>47119</v>
      </c>
      <c r="C21" s="304">
        <v>165.57390000000001</v>
      </c>
      <c r="D21" s="304">
        <v>96.371009999999998</v>
      </c>
      <c r="E21" s="304">
        <v>1233.6980000000001</v>
      </c>
      <c r="F21" s="304">
        <v>3063.6210000000001</v>
      </c>
      <c r="G21" s="304">
        <v>1329.548</v>
      </c>
      <c r="H21" s="304">
        <v>3325.703</v>
      </c>
      <c r="I21" s="119"/>
      <c r="J21" s="117"/>
      <c r="K21" s="117"/>
      <c r="L21" s="113"/>
      <c r="M21" s="113"/>
      <c r="P21" s="282">
        <f t="shared" si="1"/>
        <v>4</v>
      </c>
      <c r="Q21" s="232">
        <f t="shared" si="2"/>
        <v>3</v>
      </c>
      <c r="R21" s="233">
        <f t="shared" si="3"/>
        <v>3</v>
      </c>
      <c r="S21" s="234">
        <f t="shared" si="0"/>
        <v>44.415987124331252</v>
      </c>
      <c r="T21" s="283">
        <f>IF(C21=0,"",SUM($S$4:S21)*365)</f>
        <v>422464.16482693376</v>
      </c>
    </row>
    <row r="22" spans="1:20" ht="15.75" x14ac:dyDescent="0.25">
      <c r="A22" s="176">
        <v>18.001370000000001</v>
      </c>
      <c r="B22" s="173">
        <v>47484</v>
      </c>
      <c r="C22" s="304">
        <v>159.21539999999999</v>
      </c>
      <c r="D22" s="304">
        <v>92.561840000000004</v>
      </c>
      <c r="E22" s="304">
        <v>1253.329</v>
      </c>
      <c r="F22" s="304">
        <v>3126.0940000000001</v>
      </c>
      <c r="G22" s="304">
        <v>1353.1479999999999</v>
      </c>
      <c r="H22" s="304">
        <v>3368.1990000000001</v>
      </c>
      <c r="I22" s="119"/>
      <c r="J22" s="117"/>
      <c r="K22" s="117"/>
      <c r="L22" s="113"/>
      <c r="M22" s="113"/>
      <c r="P22" s="282">
        <f t="shared" si="1"/>
        <v>4</v>
      </c>
      <c r="Q22" s="232">
        <f t="shared" si="2"/>
        <v>3</v>
      </c>
      <c r="R22" s="233">
        <f t="shared" si="3"/>
        <v>3</v>
      </c>
      <c r="S22" s="234">
        <f t="shared" si="0"/>
        <v>42.707544977496532</v>
      </c>
      <c r="T22" s="283">
        <f>IF(C22=0,"",SUM($S$4:S22)*365)</f>
        <v>438052.41874371999</v>
      </c>
    </row>
    <row r="23" spans="1:20" ht="15.75" x14ac:dyDescent="0.25">
      <c r="A23" s="176">
        <v>19.000679999999999</v>
      </c>
      <c r="B23" s="173">
        <v>47849</v>
      </c>
      <c r="C23" s="304">
        <v>153.92439999999999</v>
      </c>
      <c r="D23" s="304">
        <v>89.321079999999995</v>
      </c>
      <c r="E23" s="304">
        <v>1274.0940000000001</v>
      </c>
      <c r="F23" s="304">
        <v>3180.375</v>
      </c>
      <c r="G23" s="304">
        <v>1373.0940000000001</v>
      </c>
      <c r="H23" s="304">
        <v>3420.52</v>
      </c>
      <c r="I23" s="119"/>
      <c r="J23" s="117"/>
      <c r="K23" s="117"/>
      <c r="L23" s="113"/>
      <c r="M23" s="113"/>
      <c r="P23" s="282">
        <f t="shared" si="1"/>
        <v>4</v>
      </c>
      <c r="Q23" s="232">
        <f t="shared" si="2"/>
        <v>3</v>
      </c>
      <c r="R23" s="233">
        <f t="shared" si="3"/>
        <v>3</v>
      </c>
      <c r="S23" s="234">
        <f t="shared" si="0"/>
        <v>41.284123263707329</v>
      </c>
      <c r="T23" s="283">
        <f>IF(C23=0,"",SUM($S$4:S23)*365)</f>
        <v>453121.12373497325</v>
      </c>
    </row>
    <row r="24" spans="1:20" ht="15.75" x14ac:dyDescent="0.25">
      <c r="A24" s="176">
        <v>20</v>
      </c>
      <c r="B24" s="173">
        <v>48214</v>
      </c>
      <c r="C24" s="304">
        <v>149.31209999999999</v>
      </c>
      <c r="D24" s="304">
        <v>86.614919999999998</v>
      </c>
      <c r="E24" s="304">
        <v>1294.1179999999999</v>
      </c>
      <c r="F24" s="304">
        <v>3251.8710000000001</v>
      </c>
      <c r="G24" s="304">
        <v>1393.0719999999999</v>
      </c>
      <c r="H24" s="304">
        <v>3474</v>
      </c>
      <c r="I24" s="119"/>
      <c r="J24" s="117"/>
      <c r="K24" s="117"/>
      <c r="L24" s="113"/>
      <c r="M24" s="113"/>
      <c r="P24" s="282">
        <f t="shared" si="1"/>
        <v>4</v>
      </c>
      <c r="Q24" s="232">
        <f t="shared" si="2"/>
        <v>3</v>
      </c>
      <c r="R24" s="233">
        <f t="shared" si="3"/>
        <v>3</v>
      </c>
      <c r="S24" s="234">
        <f t="shared" si="0"/>
        <v>40.046304103110273</v>
      </c>
      <c r="T24" s="283">
        <f>IF(C24=0,"",SUM($S$4:S24)*365)</f>
        <v>467738.02473260846</v>
      </c>
    </row>
    <row r="25" spans="1:20" ht="15.75" x14ac:dyDescent="0.25">
      <c r="A25" s="176">
        <v>21.002050000000001</v>
      </c>
      <c r="B25" s="173">
        <v>48580</v>
      </c>
      <c r="C25" s="304">
        <v>143.75149999999999</v>
      </c>
      <c r="D25" s="304">
        <v>83.327960000000004</v>
      </c>
      <c r="E25" s="304">
        <v>1315.04</v>
      </c>
      <c r="F25" s="304">
        <v>3319.37</v>
      </c>
      <c r="G25" s="304">
        <v>1409.133</v>
      </c>
      <c r="H25" s="304">
        <v>3536.7739999999999</v>
      </c>
      <c r="I25" s="119"/>
      <c r="J25" s="117"/>
      <c r="K25" s="117"/>
      <c r="L25" s="113"/>
      <c r="M25" s="113"/>
      <c r="P25" s="282">
        <f t="shared" si="1"/>
        <v>4</v>
      </c>
      <c r="Q25" s="232">
        <f t="shared" si="2"/>
        <v>3</v>
      </c>
      <c r="R25" s="233">
        <f t="shared" si="3"/>
        <v>3</v>
      </c>
      <c r="S25" s="234">
        <f t="shared" si="0"/>
        <v>38.553367621870855</v>
      </c>
      <c r="T25" s="283">
        <f>IF(C25=0,"",SUM($S$4:S25)*365)</f>
        <v>481810.00391459133</v>
      </c>
    </row>
    <row r="26" spans="1:20" ht="15.75" x14ac:dyDescent="0.25">
      <c r="A26" s="176">
        <v>22.001370000000001</v>
      </c>
      <c r="B26" s="173">
        <v>48945</v>
      </c>
      <c r="C26" s="304">
        <v>139.35509999999999</v>
      </c>
      <c r="D26" s="304">
        <v>80.728260000000006</v>
      </c>
      <c r="E26" s="304">
        <v>1334.94</v>
      </c>
      <c r="F26" s="304">
        <v>3383.125</v>
      </c>
      <c r="G26" s="304">
        <v>1432.973</v>
      </c>
      <c r="H26" s="304">
        <v>3580.1610000000001</v>
      </c>
      <c r="I26" s="119"/>
      <c r="J26" s="117"/>
      <c r="K26" s="117"/>
      <c r="L26" s="113"/>
      <c r="M26" s="113"/>
      <c r="P26" s="282">
        <f t="shared" si="1"/>
        <v>4</v>
      </c>
      <c r="Q26" s="232">
        <f t="shared" si="2"/>
        <v>3</v>
      </c>
      <c r="R26" s="233">
        <f t="shared" si="3"/>
        <v>3</v>
      </c>
      <c r="S26" s="234">
        <f t="shared" si="0"/>
        <v>37.37297787016729</v>
      </c>
      <c r="T26" s="283">
        <f>IF(C26=0,"",SUM($S$4:S26)*365)</f>
        <v>495451.14083720237</v>
      </c>
    </row>
    <row r="27" spans="1:20" ht="15.75" x14ac:dyDescent="0.25">
      <c r="A27" s="176">
        <v>23.000689999999999</v>
      </c>
      <c r="B27" s="173">
        <v>49310</v>
      </c>
      <c r="C27" s="304">
        <v>136.29150000000001</v>
      </c>
      <c r="D27" s="304">
        <v>78.968360000000004</v>
      </c>
      <c r="E27" s="304">
        <v>1355.433</v>
      </c>
      <c r="F27" s="304">
        <v>3443.145</v>
      </c>
      <c r="G27" s="304">
        <v>1452.94</v>
      </c>
      <c r="H27" s="304">
        <v>3633.895</v>
      </c>
      <c r="I27" s="119"/>
      <c r="J27" s="117"/>
      <c r="K27" s="117"/>
      <c r="L27" s="113"/>
      <c r="M27" s="113"/>
      <c r="P27" s="282">
        <f t="shared" si="1"/>
        <v>4</v>
      </c>
      <c r="Q27" s="232">
        <f t="shared" si="2"/>
        <v>3</v>
      </c>
      <c r="R27" s="233">
        <f t="shared" si="3"/>
        <v>3</v>
      </c>
      <c r="S27" s="234">
        <f t="shared" si="0"/>
        <v>36.551741835290059</v>
      </c>
      <c r="T27" s="283">
        <f>IF(C27=0,"",SUM($S$4:S27)*365)</f>
        <v>508792.52660708327</v>
      </c>
    </row>
    <row r="28" spans="1:20" ht="15.75" x14ac:dyDescent="0.25">
      <c r="A28" s="176">
        <v>24.00001</v>
      </c>
      <c r="B28" s="173">
        <v>49675</v>
      </c>
      <c r="C28" s="304"/>
      <c r="D28" s="304"/>
      <c r="E28" s="304"/>
      <c r="F28" s="304"/>
      <c r="G28" s="304"/>
      <c r="H28" s="304"/>
      <c r="I28" s="119"/>
      <c r="J28" s="117"/>
      <c r="K28" s="117"/>
      <c r="L28" s="113"/>
      <c r="M28" s="113"/>
      <c r="P28" s="282" t="str">
        <f t="shared" si="1"/>
        <v/>
      </c>
      <c r="Q28" s="232" t="str">
        <f t="shared" si="2"/>
        <v/>
      </c>
      <c r="R28" s="233" t="str">
        <f t="shared" si="3"/>
        <v/>
      </c>
      <c r="S28" s="234" t="str">
        <f t="shared" si="0"/>
        <v/>
      </c>
      <c r="T28" s="283" t="str">
        <f>IF(C28=0,"",SUM($S$4:S28)*365)</f>
        <v/>
      </c>
    </row>
    <row r="29" spans="1:20" ht="15.75" x14ac:dyDescent="0.25">
      <c r="A29" s="176">
        <v>24.99933</v>
      </c>
      <c r="B29" s="173">
        <v>50041</v>
      </c>
      <c r="C29" s="304"/>
      <c r="D29" s="304"/>
      <c r="E29" s="304"/>
      <c r="F29" s="304"/>
      <c r="G29" s="304"/>
      <c r="H29" s="304"/>
      <c r="I29" s="119"/>
      <c r="J29" s="117"/>
      <c r="K29" s="117"/>
      <c r="L29" s="113"/>
      <c r="M29" s="113"/>
      <c r="P29" s="282" t="str">
        <f t="shared" si="1"/>
        <v/>
      </c>
      <c r="Q29" s="232" t="str">
        <f t="shared" si="2"/>
        <v/>
      </c>
      <c r="R29" s="233" t="str">
        <f t="shared" si="3"/>
        <v/>
      </c>
      <c r="S29" s="234" t="str">
        <f t="shared" si="0"/>
        <v/>
      </c>
      <c r="T29" s="283" t="str">
        <f>IF(C29=0,"",SUM($S$4:S29)*365)</f>
        <v/>
      </c>
    </row>
    <row r="30" spans="1:20" ht="15.75" x14ac:dyDescent="0.25">
      <c r="A30" s="176">
        <v>25.998650000000001</v>
      </c>
      <c r="B30" s="173">
        <v>50406</v>
      </c>
      <c r="C30" s="304"/>
      <c r="D30" s="304"/>
      <c r="E30" s="304"/>
      <c r="F30" s="304"/>
      <c r="G30" s="304"/>
      <c r="H30" s="304"/>
      <c r="I30" s="119"/>
      <c r="J30" s="117"/>
      <c r="K30" s="117"/>
      <c r="L30" s="113"/>
      <c r="M30" s="113"/>
      <c r="P30" s="282" t="str">
        <f t="shared" si="1"/>
        <v/>
      </c>
      <c r="Q30" s="232" t="str">
        <f t="shared" si="2"/>
        <v/>
      </c>
      <c r="R30" s="233" t="str">
        <f t="shared" si="3"/>
        <v/>
      </c>
      <c r="S30" s="234" t="str">
        <f t="shared" si="0"/>
        <v/>
      </c>
      <c r="T30" s="283" t="str">
        <f>IF(C30=0,"",SUM($S$4:S30)*365)</f>
        <v/>
      </c>
    </row>
    <row r="31" spans="1:20" ht="15.75" x14ac:dyDescent="0.25">
      <c r="A31" s="176">
        <v>26.997969999999999</v>
      </c>
      <c r="B31" s="173">
        <v>50771</v>
      </c>
      <c r="C31" s="304"/>
      <c r="D31" s="304"/>
      <c r="E31" s="304"/>
      <c r="F31" s="304"/>
      <c r="G31" s="304"/>
      <c r="H31" s="304"/>
      <c r="I31" s="119"/>
      <c r="J31" s="117"/>
      <c r="K31" s="117"/>
      <c r="L31" s="113"/>
      <c r="M31" s="113"/>
      <c r="P31" s="282" t="str">
        <f t="shared" si="1"/>
        <v/>
      </c>
      <c r="Q31" s="232" t="str">
        <f t="shared" si="2"/>
        <v/>
      </c>
      <c r="R31" s="233" t="str">
        <f t="shared" si="3"/>
        <v/>
      </c>
      <c r="S31" s="234" t="str">
        <f t="shared" si="0"/>
        <v/>
      </c>
      <c r="T31" s="283" t="str">
        <f>IF(C31=0,"",SUM($S$4:S31)*365)</f>
        <v/>
      </c>
    </row>
    <row r="32" spans="1:20" ht="15.75" x14ac:dyDescent="0.25">
      <c r="A32" s="176">
        <v>27.99729</v>
      </c>
      <c r="B32" s="173">
        <v>51136</v>
      </c>
      <c r="C32" s="304"/>
      <c r="D32" s="304"/>
      <c r="E32" s="304"/>
      <c r="F32" s="304"/>
      <c r="G32" s="304"/>
      <c r="H32" s="304"/>
      <c r="I32" s="119"/>
      <c r="J32" s="117"/>
      <c r="K32" s="117"/>
      <c r="L32" s="113"/>
      <c r="M32" s="113"/>
      <c r="P32" s="282" t="str">
        <f t="shared" si="1"/>
        <v/>
      </c>
      <c r="Q32" s="232" t="str">
        <f t="shared" si="2"/>
        <v/>
      </c>
      <c r="R32" s="233" t="str">
        <f t="shared" si="3"/>
        <v/>
      </c>
      <c r="S32" s="234" t="str">
        <f t="shared" si="0"/>
        <v/>
      </c>
      <c r="T32" s="283" t="str">
        <f>IF(C32=0,"",SUM($S$4:S32)*365)</f>
        <v/>
      </c>
    </row>
    <row r="33" spans="1:20" ht="15.75" x14ac:dyDescent="0.25">
      <c r="A33" s="176">
        <v>28.99661</v>
      </c>
      <c r="B33" s="173">
        <v>51502</v>
      </c>
      <c r="C33" s="304"/>
      <c r="D33" s="304"/>
      <c r="E33" s="304"/>
      <c r="F33" s="304"/>
      <c r="G33" s="304"/>
      <c r="H33" s="304"/>
      <c r="I33" s="119"/>
      <c r="J33" s="117"/>
      <c r="K33" s="117"/>
      <c r="L33" s="113"/>
      <c r="M33" s="113"/>
      <c r="P33" s="282" t="str">
        <f t="shared" si="1"/>
        <v/>
      </c>
      <c r="Q33" s="232" t="str">
        <f t="shared" si="2"/>
        <v/>
      </c>
      <c r="R33" s="233" t="str">
        <f t="shared" si="3"/>
        <v/>
      </c>
      <c r="S33" s="234" t="str">
        <f t="shared" si="0"/>
        <v/>
      </c>
      <c r="T33" s="283" t="str">
        <f>IF(C33=0,"",SUM($S$4:S33)*365)</f>
        <v/>
      </c>
    </row>
    <row r="34" spans="1:20" ht="15.75" x14ac:dyDescent="0.25">
      <c r="A34" s="176">
        <v>29.995930000000001</v>
      </c>
      <c r="B34" s="173">
        <v>51867</v>
      </c>
      <c r="C34" s="304"/>
      <c r="D34" s="304"/>
      <c r="E34" s="304"/>
      <c r="F34" s="304"/>
      <c r="G34" s="304"/>
      <c r="H34" s="304"/>
      <c r="I34" s="119"/>
      <c r="J34" s="117"/>
      <c r="K34" s="117"/>
      <c r="L34" s="113"/>
      <c r="M34" s="113"/>
      <c r="P34" s="282" t="str">
        <f t="shared" si="1"/>
        <v/>
      </c>
      <c r="Q34" s="232" t="str">
        <f t="shared" si="2"/>
        <v/>
      </c>
      <c r="R34" s="233" t="str">
        <f t="shared" si="3"/>
        <v/>
      </c>
      <c r="S34" s="234" t="str">
        <f t="shared" si="0"/>
        <v/>
      </c>
      <c r="T34" s="283" t="str">
        <f>IF(C34=0,"",SUM($S$4:S34)*365)</f>
        <v/>
      </c>
    </row>
    <row r="35" spans="1:20" ht="15.75" x14ac:dyDescent="0.25">
      <c r="A35" s="176">
        <v>30.995249999999999</v>
      </c>
      <c r="B35" s="173">
        <v>52232</v>
      </c>
      <c r="C35" s="304"/>
      <c r="D35" s="304"/>
      <c r="E35" s="304"/>
      <c r="F35" s="304"/>
      <c r="G35" s="304"/>
      <c r="H35" s="304"/>
      <c r="I35" s="119"/>
      <c r="J35" s="117"/>
      <c r="K35" s="117"/>
      <c r="L35" s="113"/>
      <c r="M35" s="113"/>
      <c r="P35" s="282" t="str">
        <f t="shared" si="1"/>
        <v/>
      </c>
      <c r="Q35" s="232" t="str">
        <f t="shared" si="2"/>
        <v/>
      </c>
      <c r="R35" s="233" t="str">
        <f t="shared" si="3"/>
        <v/>
      </c>
      <c r="S35" s="234" t="str">
        <f t="shared" si="0"/>
        <v/>
      </c>
      <c r="T35" s="283" t="str">
        <f>IF(C35=0,"",SUM($S$4:S35)*365)</f>
        <v/>
      </c>
    </row>
    <row r="36" spans="1:20" ht="15.75" x14ac:dyDescent="0.25">
      <c r="A36" s="176">
        <v>31.99457</v>
      </c>
      <c r="B36" s="173">
        <v>52597</v>
      </c>
      <c r="C36" s="304"/>
      <c r="D36" s="304"/>
      <c r="E36" s="304"/>
      <c r="F36" s="304"/>
      <c r="G36" s="304"/>
      <c r="H36" s="304"/>
      <c r="I36" s="119"/>
      <c r="J36" s="117"/>
      <c r="K36" s="117"/>
      <c r="L36" s="113"/>
      <c r="M36" s="113"/>
      <c r="P36" s="282" t="str">
        <f t="shared" si="1"/>
        <v/>
      </c>
      <c r="Q36" s="232" t="str">
        <f t="shared" si="2"/>
        <v/>
      </c>
      <c r="R36" s="233" t="str">
        <f t="shared" si="3"/>
        <v/>
      </c>
      <c r="S36" s="234" t="str">
        <f t="shared" si="0"/>
        <v/>
      </c>
      <c r="T36" s="283" t="str">
        <f>IF(C36=0,"",SUM($S$4:S36)*365)</f>
        <v/>
      </c>
    </row>
    <row r="37" spans="1:20" ht="15.75" x14ac:dyDescent="0.25">
      <c r="A37" s="176">
        <v>32.99389</v>
      </c>
      <c r="B37" s="173">
        <v>52963</v>
      </c>
      <c r="C37" s="304"/>
      <c r="D37" s="304"/>
      <c r="E37" s="304"/>
      <c r="F37" s="304"/>
      <c r="G37" s="304"/>
      <c r="H37" s="304"/>
      <c r="I37" s="119"/>
      <c r="J37" s="117"/>
      <c r="K37" s="117"/>
      <c r="L37" s="113"/>
      <c r="M37" s="113"/>
      <c r="P37" s="282" t="str">
        <f t="shared" si="1"/>
        <v/>
      </c>
      <c r="Q37" s="232" t="str">
        <f t="shared" si="2"/>
        <v/>
      </c>
      <c r="R37" s="233" t="str">
        <f t="shared" si="3"/>
        <v/>
      </c>
      <c r="S37" s="234" t="str">
        <f t="shared" ref="S37:S68" si="4">IF(C37=0,"",OCF*FPF*(C37+D37/10)/P37)</f>
        <v/>
      </c>
      <c r="T37" s="283" t="str">
        <f>IF(C37=0,"",SUM($S$4:S37)*365)</f>
        <v/>
      </c>
    </row>
    <row r="38" spans="1:20" ht="15.75" x14ac:dyDescent="0.25">
      <c r="A38" s="176">
        <v>33.993209999999998</v>
      </c>
      <c r="B38" s="173">
        <v>53328</v>
      </c>
      <c r="C38" s="304"/>
      <c r="D38" s="304"/>
      <c r="E38" s="304"/>
      <c r="F38" s="304"/>
      <c r="G38" s="304"/>
      <c r="H38" s="304"/>
      <c r="I38" s="119"/>
      <c r="J38" s="117"/>
      <c r="K38" s="117"/>
      <c r="L38" s="113"/>
      <c r="M38" s="113"/>
      <c r="P38" s="282" t="str">
        <f t="shared" si="1"/>
        <v/>
      </c>
      <c r="Q38" s="232" t="str">
        <f t="shared" si="2"/>
        <v/>
      </c>
      <c r="R38" s="233" t="str">
        <f t="shared" si="3"/>
        <v/>
      </c>
      <c r="S38" s="234" t="str">
        <f t="shared" si="4"/>
        <v/>
      </c>
      <c r="T38" s="283" t="str">
        <f>IF(C38=0,"",SUM($S$4:S38)*365)</f>
        <v/>
      </c>
    </row>
    <row r="39" spans="1:20" ht="15.75" x14ac:dyDescent="0.25">
      <c r="A39" s="176">
        <v>34.992530000000002</v>
      </c>
      <c r="B39" s="173">
        <v>53693</v>
      </c>
      <c r="C39" s="304"/>
      <c r="D39" s="304"/>
      <c r="E39" s="304"/>
      <c r="F39" s="304"/>
      <c r="G39" s="304"/>
      <c r="H39" s="304"/>
      <c r="I39" s="119"/>
      <c r="J39" s="117"/>
      <c r="K39" s="117"/>
      <c r="L39" s="113"/>
      <c r="M39" s="113"/>
      <c r="P39" s="282" t="str">
        <f t="shared" si="1"/>
        <v/>
      </c>
      <c r="Q39" s="232" t="str">
        <f t="shared" si="2"/>
        <v/>
      </c>
      <c r="R39" s="233" t="str">
        <f t="shared" si="3"/>
        <v/>
      </c>
      <c r="S39" s="234" t="str">
        <f t="shared" si="4"/>
        <v/>
      </c>
      <c r="T39" s="283" t="str">
        <f>IF(C39=0,"",SUM($S$4:S39)*365)</f>
        <v/>
      </c>
    </row>
    <row r="40" spans="1:20" ht="15.75" x14ac:dyDescent="0.25">
      <c r="A40" s="176">
        <v>35.991849999999999</v>
      </c>
      <c r="B40" s="173">
        <v>54058</v>
      </c>
      <c r="C40" s="304"/>
      <c r="D40" s="304"/>
      <c r="E40" s="304"/>
      <c r="F40" s="304"/>
      <c r="G40" s="304"/>
      <c r="H40" s="304"/>
      <c r="I40" s="119"/>
      <c r="J40" s="117"/>
      <c r="K40" s="117"/>
      <c r="L40" s="113"/>
      <c r="M40" s="113"/>
      <c r="P40" s="282" t="str">
        <f t="shared" si="1"/>
        <v/>
      </c>
      <c r="Q40" s="232" t="str">
        <f t="shared" si="2"/>
        <v/>
      </c>
      <c r="R40" s="233" t="str">
        <f t="shared" si="3"/>
        <v/>
      </c>
      <c r="S40" s="234" t="str">
        <f t="shared" si="4"/>
        <v/>
      </c>
      <c r="T40" s="283" t="str">
        <f>IF(C40=0,"",SUM($S$4:S40)*365)</f>
        <v/>
      </c>
    </row>
    <row r="41" spans="1:20" ht="15.75" x14ac:dyDescent="0.25">
      <c r="A41" s="176">
        <v>36.991169999999997</v>
      </c>
      <c r="B41" s="173">
        <v>54424</v>
      </c>
      <c r="C41" s="304"/>
      <c r="D41" s="304"/>
      <c r="E41" s="304"/>
      <c r="F41" s="304"/>
      <c r="G41" s="304"/>
      <c r="H41" s="304"/>
      <c r="I41" s="119"/>
      <c r="J41" s="117"/>
      <c r="K41" s="117"/>
      <c r="L41" s="113"/>
      <c r="M41" s="113"/>
      <c r="P41" s="282" t="str">
        <f t="shared" si="1"/>
        <v/>
      </c>
      <c r="Q41" s="232" t="str">
        <f t="shared" si="2"/>
        <v/>
      </c>
      <c r="R41" s="233" t="str">
        <f t="shared" si="3"/>
        <v/>
      </c>
      <c r="S41" s="234" t="str">
        <f t="shared" si="4"/>
        <v/>
      </c>
      <c r="T41" s="283" t="str">
        <f>IF(C41=0,"",SUM($S$4:S41)*365)</f>
        <v/>
      </c>
    </row>
    <row r="42" spans="1:20" ht="15.75" x14ac:dyDescent="0.25">
      <c r="A42" s="176">
        <v>37.990490000000001</v>
      </c>
      <c r="B42" s="173">
        <v>54789</v>
      </c>
      <c r="C42" s="304"/>
      <c r="D42" s="304"/>
      <c r="E42" s="304"/>
      <c r="F42" s="304"/>
      <c r="G42" s="304"/>
      <c r="H42" s="304"/>
      <c r="I42" s="119"/>
      <c r="J42" s="117"/>
      <c r="K42" s="117"/>
      <c r="L42" s="113"/>
      <c r="M42" s="113"/>
      <c r="P42" s="282" t="str">
        <f t="shared" si="1"/>
        <v/>
      </c>
      <c r="Q42" s="232" t="str">
        <f t="shared" si="2"/>
        <v/>
      </c>
      <c r="R42" s="233" t="str">
        <f t="shared" si="3"/>
        <v/>
      </c>
      <c r="S42" s="234" t="str">
        <f t="shared" si="4"/>
        <v/>
      </c>
      <c r="T42" s="283" t="str">
        <f>IF(C42=0,"",SUM($S$4:S42)*365)</f>
        <v/>
      </c>
    </row>
    <row r="43" spans="1:20" ht="15.75" x14ac:dyDescent="0.25">
      <c r="A43" s="176">
        <v>38.989809999999999</v>
      </c>
      <c r="B43" s="173">
        <v>55154</v>
      </c>
      <c r="C43" s="304"/>
      <c r="D43" s="304"/>
      <c r="E43" s="304"/>
      <c r="F43" s="304"/>
      <c r="G43" s="304"/>
      <c r="H43" s="304"/>
      <c r="I43" s="119"/>
      <c r="J43" s="117"/>
      <c r="K43" s="117"/>
      <c r="L43" s="113"/>
      <c r="M43" s="113"/>
      <c r="P43" s="282" t="str">
        <f t="shared" si="1"/>
        <v/>
      </c>
      <c r="Q43" s="232" t="str">
        <f t="shared" si="2"/>
        <v/>
      </c>
      <c r="R43" s="233" t="str">
        <f t="shared" si="3"/>
        <v/>
      </c>
      <c r="S43" s="234" t="str">
        <f t="shared" si="4"/>
        <v/>
      </c>
      <c r="T43" s="283" t="str">
        <f>IF(C43=0,"",SUM($S$4:S43)*365)</f>
        <v/>
      </c>
    </row>
    <row r="44" spans="1:20" ht="15.75" x14ac:dyDescent="0.25">
      <c r="A44" s="176">
        <v>39.989130000000003</v>
      </c>
      <c r="B44" s="173">
        <v>55519</v>
      </c>
      <c r="C44" s="304"/>
      <c r="D44" s="304"/>
      <c r="E44" s="304"/>
      <c r="F44" s="304"/>
      <c r="G44" s="304"/>
      <c r="H44" s="304"/>
      <c r="I44" s="119"/>
      <c r="J44" s="117"/>
      <c r="K44" s="117"/>
      <c r="L44" s="113"/>
      <c r="M44" s="113"/>
      <c r="P44" s="282" t="str">
        <f t="shared" si="1"/>
        <v/>
      </c>
      <c r="Q44" s="232" t="str">
        <f t="shared" si="2"/>
        <v/>
      </c>
      <c r="R44" s="233" t="str">
        <f t="shared" si="3"/>
        <v/>
      </c>
      <c r="S44" s="234" t="str">
        <f t="shared" si="4"/>
        <v/>
      </c>
      <c r="T44" s="283" t="str">
        <f>IF(C44=0,"",SUM($S$4:S44)*365)</f>
        <v/>
      </c>
    </row>
    <row r="45" spans="1:20" ht="15.75" x14ac:dyDescent="0.25">
      <c r="A45" s="176">
        <v>40.98845</v>
      </c>
      <c r="B45" s="173">
        <v>55885</v>
      </c>
      <c r="C45" s="304"/>
      <c r="D45" s="304"/>
      <c r="E45" s="304"/>
      <c r="F45" s="304"/>
      <c r="G45" s="304"/>
      <c r="H45" s="304"/>
      <c r="I45" s="119"/>
      <c r="J45" s="117"/>
      <c r="K45" s="117"/>
      <c r="L45" s="113"/>
      <c r="M45" s="113"/>
      <c r="P45" s="282" t="str">
        <f t="shared" si="1"/>
        <v/>
      </c>
      <c r="Q45" s="232" t="str">
        <f t="shared" si="2"/>
        <v/>
      </c>
      <c r="R45" s="233" t="str">
        <f t="shared" si="3"/>
        <v/>
      </c>
      <c r="S45" s="234" t="str">
        <f t="shared" si="4"/>
        <v/>
      </c>
      <c r="T45" s="283" t="str">
        <f>IF(C45=0,"",SUM($S$4:S45)*365)</f>
        <v/>
      </c>
    </row>
    <row r="46" spans="1:20" ht="15.75" x14ac:dyDescent="0.25">
      <c r="A46" s="176">
        <v>41.987769999999998</v>
      </c>
      <c r="B46" s="173">
        <v>56250</v>
      </c>
      <c r="C46" s="304"/>
      <c r="D46" s="304"/>
      <c r="E46" s="304"/>
      <c r="F46" s="304"/>
      <c r="G46" s="304"/>
      <c r="H46" s="304"/>
      <c r="I46" s="119"/>
      <c r="J46" s="117"/>
      <c r="K46" s="117"/>
      <c r="L46" s="113"/>
      <c r="M46" s="113"/>
      <c r="P46" s="282" t="str">
        <f t="shared" si="1"/>
        <v/>
      </c>
      <c r="Q46" s="232" t="str">
        <f t="shared" si="2"/>
        <v/>
      </c>
      <c r="R46" s="233" t="str">
        <f t="shared" si="3"/>
        <v/>
      </c>
      <c r="S46" s="234" t="str">
        <f t="shared" si="4"/>
        <v/>
      </c>
      <c r="T46" s="283" t="str">
        <f>IF(C46=0,"",SUM($S$4:S46)*365)</f>
        <v/>
      </c>
    </row>
    <row r="47" spans="1:20" ht="15.75" x14ac:dyDescent="0.25">
      <c r="A47" s="176">
        <v>42.987090000000002</v>
      </c>
      <c r="B47" s="173">
        <v>56615</v>
      </c>
      <c r="C47" s="304"/>
      <c r="D47" s="304"/>
      <c r="E47" s="304"/>
      <c r="F47" s="304"/>
      <c r="G47" s="304"/>
      <c r="H47" s="304"/>
      <c r="I47" s="119"/>
      <c r="J47" s="117"/>
      <c r="K47" s="117"/>
      <c r="L47" s="113"/>
      <c r="M47" s="113"/>
      <c r="P47" s="282" t="str">
        <f t="shared" si="1"/>
        <v/>
      </c>
      <c r="Q47" s="232" t="str">
        <f t="shared" si="2"/>
        <v/>
      </c>
      <c r="R47" s="233" t="str">
        <f t="shared" si="3"/>
        <v/>
      </c>
      <c r="S47" s="234" t="str">
        <f t="shared" si="4"/>
        <v/>
      </c>
      <c r="T47" s="283" t="str">
        <f>IF(C47=0,"",SUM($S$4:S47)*365)</f>
        <v/>
      </c>
    </row>
    <row r="48" spans="1:20" ht="15.75" x14ac:dyDescent="0.25">
      <c r="A48" s="176">
        <v>43.986409999999999</v>
      </c>
      <c r="B48" s="173">
        <v>56980</v>
      </c>
      <c r="C48" s="304"/>
      <c r="D48" s="304"/>
      <c r="E48" s="304"/>
      <c r="F48" s="304"/>
      <c r="G48" s="304"/>
      <c r="H48" s="304"/>
      <c r="I48" s="119"/>
      <c r="J48" s="117"/>
      <c r="K48" s="117"/>
      <c r="L48" s="113"/>
      <c r="M48" s="113"/>
      <c r="P48" s="282" t="str">
        <f t="shared" si="1"/>
        <v/>
      </c>
      <c r="Q48" s="232" t="str">
        <f t="shared" si="2"/>
        <v/>
      </c>
      <c r="R48" s="233" t="str">
        <f t="shared" si="3"/>
        <v/>
      </c>
      <c r="S48" s="234" t="str">
        <f t="shared" si="4"/>
        <v/>
      </c>
      <c r="T48" s="283" t="str">
        <f>IF(C48=0,"",SUM($S$4:S48)*365)</f>
        <v/>
      </c>
    </row>
    <row r="49" spans="1:20" ht="15.75" x14ac:dyDescent="0.25">
      <c r="A49" s="176">
        <v>44.985729999999997</v>
      </c>
      <c r="B49" s="173">
        <v>57346</v>
      </c>
      <c r="C49" s="304"/>
      <c r="D49" s="304"/>
      <c r="E49" s="304"/>
      <c r="F49" s="304"/>
      <c r="G49" s="304"/>
      <c r="H49" s="304"/>
      <c r="I49" s="119"/>
      <c r="J49" s="117"/>
      <c r="K49" s="117"/>
      <c r="L49" s="113"/>
      <c r="M49" s="113"/>
      <c r="P49" s="282" t="str">
        <f t="shared" si="1"/>
        <v/>
      </c>
      <c r="Q49" s="232" t="str">
        <f t="shared" si="2"/>
        <v/>
      </c>
      <c r="R49" s="233" t="str">
        <f t="shared" si="3"/>
        <v/>
      </c>
      <c r="S49" s="234" t="str">
        <f t="shared" si="4"/>
        <v/>
      </c>
      <c r="T49" s="283" t="str">
        <f>IF(C49=0,"",SUM($S$4:S49)*365)</f>
        <v/>
      </c>
    </row>
    <row r="50" spans="1:20" ht="15.75" x14ac:dyDescent="0.25">
      <c r="A50" s="176">
        <v>45.985050000000001</v>
      </c>
      <c r="B50" s="173">
        <v>57711</v>
      </c>
      <c r="C50" s="304"/>
      <c r="D50" s="304"/>
      <c r="E50" s="304"/>
      <c r="F50" s="304"/>
      <c r="G50" s="304"/>
      <c r="H50" s="304"/>
      <c r="I50" s="119"/>
      <c r="J50" s="117"/>
      <c r="K50" s="117"/>
      <c r="L50" s="113"/>
      <c r="M50" s="113"/>
      <c r="P50" s="282" t="str">
        <f t="shared" si="1"/>
        <v/>
      </c>
      <c r="Q50" s="232" t="str">
        <f t="shared" si="2"/>
        <v/>
      </c>
      <c r="R50" s="233" t="str">
        <f t="shared" si="3"/>
        <v/>
      </c>
      <c r="S50" s="234" t="str">
        <f t="shared" si="4"/>
        <v/>
      </c>
      <c r="T50" s="283" t="str">
        <f>IF(C50=0,"",SUM($S$4:S50)*365)</f>
        <v/>
      </c>
    </row>
    <row r="51" spans="1:20" ht="15.75" x14ac:dyDescent="0.25">
      <c r="A51" s="176">
        <v>46.984369999999998</v>
      </c>
      <c r="B51" s="173">
        <v>58076</v>
      </c>
      <c r="C51" s="304"/>
      <c r="D51" s="304"/>
      <c r="E51" s="304"/>
      <c r="F51" s="304"/>
      <c r="G51" s="304"/>
      <c r="H51" s="304"/>
      <c r="I51" s="119"/>
      <c r="J51" s="117"/>
      <c r="K51" s="117"/>
      <c r="L51" s="113"/>
      <c r="M51" s="113"/>
      <c r="P51" s="282" t="str">
        <f t="shared" si="1"/>
        <v/>
      </c>
      <c r="Q51" s="232" t="str">
        <f t="shared" si="2"/>
        <v/>
      </c>
      <c r="R51" s="233" t="str">
        <f t="shared" si="3"/>
        <v/>
      </c>
      <c r="S51" s="234" t="str">
        <f t="shared" si="4"/>
        <v/>
      </c>
      <c r="T51" s="283" t="str">
        <f>IF(C51=0,"",SUM($S$4:S51)*365)</f>
        <v/>
      </c>
    </row>
    <row r="52" spans="1:20" ht="15.75" x14ac:dyDescent="0.25">
      <c r="A52" s="176">
        <v>47.983690000000003</v>
      </c>
      <c r="B52" s="173">
        <v>58441</v>
      </c>
      <c r="C52" s="304"/>
      <c r="D52" s="304"/>
      <c r="E52" s="304"/>
      <c r="F52" s="304"/>
      <c r="G52" s="304"/>
      <c r="H52" s="304"/>
      <c r="I52" s="119"/>
      <c r="J52" s="117"/>
      <c r="K52" s="117"/>
      <c r="L52" s="113"/>
      <c r="M52" s="113"/>
      <c r="P52" s="282" t="str">
        <f t="shared" si="1"/>
        <v/>
      </c>
      <c r="Q52" s="232" t="str">
        <f t="shared" si="2"/>
        <v/>
      </c>
      <c r="R52" s="233" t="str">
        <f t="shared" si="3"/>
        <v/>
      </c>
      <c r="S52" s="234" t="str">
        <f t="shared" si="4"/>
        <v/>
      </c>
      <c r="T52" s="283" t="str">
        <f>IF(C52=0,"",SUM($S$4:S52)*365)</f>
        <v/>
      </c>
    </row>
    <row r="53" spans="1:20" ht="15.75" x14ac:dyDescent="0.25">
      <c r="A53" s="176">
        <v>48.98301</v>
      </c>
      <c r="B53" s="173">
        <v>58807</v>
      </c>
      <c r="C53" s="304"/>
      <c r="D53" s="304"/>
      <c r="E53" s="304"/>
      <c r="F53" s="304"/>
      <c r="G53" s="304"/>
      <c r="H53" s="304"/>
      <c r="I53" s="119"/>
      <c r="J53" s="117"/>
      <c r="K53" s="117"/>
      <c r="L53" s="113"/>
      <c r="M53" s="113"/>
      <c r="P53" s="282" t="str">
        <f t="shared" si="1"/>
        <v/>
      </c>
      <c r="Q53" s="232" t="str">
        <f t="shared" si="2"/>
        <v/>
      </c>
      <c r="R53" s="233" t="str">
        <f t="shared" si="3"/>
        <v/>
      </c>
      <c r="S53" s="234" t="str">
        <f t="shared" si="4"/>
        <v/>
      </c>
      <c r="T53" s="283" t="str">
        <f>IF(C53=0,"",SUM($S$4:S53)*365)</f>
        <v/>
      </c>
    </row>
    <row r="54" spans="1:20" ht="15.75" x14ac:dyDescent="0.25">
      <c r="A54" s="176">
        <v>49.982329999999997</v>
      </c>
      <c r="B54" s="173">
        <v>59172</v>
      </c>
      <c r="C54" s="304"/>
      <c r="D54" s="304"/>
      <c r="E54" s="304"/>
      <c r="F54" s="304"/>
      <c r="G54" s="304"/>
      <c r="H54" s="304"/>
      <c r="I54" s="119"/>
      <c r="J54" s="117"/>
      <c r="K54" s="117"/>
      <c r="L54" s="113"/>
      <c r="M54" s="113"/>
      <c r="P54" s="282" t="str">
        <f t="shared" si="1"/>
        <v/>
      </c>
      <c r="Q54" s="232" t="str">
        <f t="shared" si="2"/>
        <v/>
      </c>
      <c r="R54" s="233" t="str">
        <f t="shared" si="3"/>
        <v/>
      </c>
      <c r="S54" s="234" t="str">
        <f t="shared" si="4"/>
        <v/>
      </c>
      <c r="T54" s="283" t="str">
        <f>IF(C54=0,"",SUM($S$4:S54)*365)</f>
        <v/>
      </c>
    </row>
    <row r="55" spans="1:20" ht="15.75" x14ac:dyDescent="0.25">
      <c r="A55" s="176">
        <v>50.981650000000002</v>
      </c>
      <c r="B55" s="173">
        <v>59537</v>
      </c>
      <c r="C55" s="304"/>
      <c r="D55" s="304"/>
      <c r="E55" s="304"/>
      <c r="F55" s="304"/>
      <c r="G55" s="304"/>
      <c r="H55" s="304"/>
      <c r="I55" s="119"/>
      <c r="J55" s="117"/>
      <c r="K55" s="117"/>
      <c r="L55" s="113"/>
      <c r="M55" s="113"/>
      <c r="P55" s="282" t="str">
        <f t="shared" si="1"/>
        <v/>
      </c>
      <c r="Q55" s="232" t="str">
        <f t="shared" si="2"/>
        <v/>
      </c>
      <c r="R55" s="233" t="str">
        <f t="shared" si="3"/>
        <v/>
      </c>
      <c r="S55" s="234" t="str">
        <f t="shared" si="4"/>
        <v/>
      </c>
      <c r="T55" s="283" t="str">
        <f>IF(C55=0,"",SUM($S$4:S55)*365)</f>
        <v/>
      </c>
    </row>
    <row r="56" spans="1:20" ht="15.75" x14ac:dyDescent="0.25">
      <c r="A56" s="176">
        <v>51.980969999999999</v>
      </c>
      <c r="B56" s="173">
        <v>59902</v>
      </c>
      <c r="C56" s="304"/>
      <c r="D56" s="304"/>
      <c r="E56" s="304"/>
      <c r="F56" s="304"/>
      <c r="G56" s="304"/>
      <c r="H56" s="304"/>
      <c r="I56" s="119"/>
      <c r="J56" s="117"/>
      <c r="K56" s="117"/>
      <c r="L56" s="113"/>
      <c r="M56" s="113"/>
      <c r="P56" s="282" t="str">
        <f t="shared" si="1"/>
        <v/>
      </c>
      <c r="Q56" s="232" t="str">
        <f t="shared" si="2"/>
        <v/>
      </c>
      <c r="R56" s="233" t="str">
        <f t="shared" si="3"/>
        <v/>
      </c>
      <c r="S56" s="234" t="str">
        <f t="shared" si="4"/>
        <v/>
      </c>
      <c r="T56" s="283" t="str">
        <f>IF(C56=0,"",SUM($S$4:S56)*365)</f>
        <v/>
      </c>
    </row>
    <row r="57" spans="1:20" ht="15.75" x14ac:dyDescent="0.25">
      <c r="A57" s="176">
        <v>52.980289999999997</v>
      </c>
      <c r="B57" s="173">
        <v>60268</v>
      </c>
      <c r="C57" s="304"/>
      <c r="D57" s="304"/>
      <c r="E57" s="304"/>
      <c r="F57" s="304"/>
      <c r="G57" s="304"/>
      <c r="H57" s="304"/>
      <c r="I57" s="119"/>
      <c r="J57" s="117"/>
      <c r="K57" s="117"/>
      <c r="L57" s="113"/>
      <c r="M57" s="113"/>
      <c r="P57" s="282" t="str">
        <f t="shared" si="1"/>
        <v/>
      </c>
      <c r="Q57" s="232" t="str">
        <f t="shared" si="2"/>
        <v/>
      </c>
      <c r="R57" s="233" t="str">
        <f t="shared" si="3"/>
        <v/>
      </c>
      <c r="S57" s="234" t="str">
        <f t="shared" si="4"/>
        <v/>
      </c>
      <c r="T57" s="283" t="str">
        <f>IF(C57=0,"",SUM($S$4:S57)*365)</f>
        <v/>
      </c>
    </row>
    <row r="58" spans="1:20" ht="15.75" x14ac:dyDescent="0.25">
      <c r="A58" s="176">
        <v>53.979610000000001</v>
      </c>
      <c r="B58" s="173">
        <v>60633</v>
      </c>
      <c r="C58" s="304"/>
      <c r="D58" s="304"/>
      <c r="E58" s="304"/>
      <c r="F58" s="304"/>
      <c r="G58" s="304"/>
      <c r="H58" s="304"/>
      <c r="I58" s="119"/>
      <c r="J58" s="117"/>
      <c r="K58" s="117"/>
      <c r="L58" s="113"/>
      <c r="M58" s="113"/>
      <c r="P58" s="282" t="str">
        <f t="shared" si="1"/>
        <v/>
      </c>
      <c r="Q58" s="232" t="str">
        <f t="shared" si="2"/>
        <v/>
      </c>
      <c r="R58" s="233" t="str">
        <f t="shared" si="3"/>
        <v/>
      </c>
      <c r="S58" s="234" t="str">
        <f t="shared" si="4"/>
        <v/>
      </c>
      <c r="T58" s="283" t="str">
        <f>IF(C58=0,"",SUM($S$4:S58)*365)</f>
        <v/>
      </c>
    </row>
    <row r="59" spans="1:20" ht="15.75" x14ac:dyDescent="0.25">
      <c r="A59" s="176">
        <v>54.978929999999998</v>
      </c>
      <c r="B59" s="173">
        <v>60998</v>
      </c>
      <c r="C59" s="304"/>
      <c r="D59" s="304"/>
      <c r="E59" s="304"/>
      <c r="F59" s="304"/>
      <c r="G59" s="304"/>
      <c r="H59" s="304"/>
      <c r="I59" s="119"/>
      <c r="J59" s="117"/>
      <c r="K59" s="117"/>
      <c r="L59" s="113"/>
      <c r="M59" s="113"/>
      <c r="P59" s="282" t="str">
        <f t="shared" si="1"/>
        <v/>
      </c>
      <c r="Q59" s="232" t="str">
        <f t="shared" si="2"/>
        <v/>
      </c>
      <c r="R59" s="233" t="str">
        <f t="shared" si="3"/>
        <v/>
      </c>
      <c r="S59" s="234" t="str">
        <f t="shared" si="4"/>
        <v/>
      </c>
      <c r="T59" s="283" t="str">
        <f>IF(C59=0,"",SUM($S$4:S59)*365)</f>
        <v/>
      </c>
    </row>
    <row r="60" spans="1:20" ht="15.75" x14ac:dyDescent="0.25">
      <c r="A60" s="176">
        <v>55.978250000000003</v>
      </c>
      <c r="B60" s="173">
        <v>61363</v>
      </c>
      <c r="C60" s="304"/>
      <c r="D60" s="304"/>
      <c r="E60" s="304"/>
      <c r="F60" s="304"/>
      <c r="G60" s="304"/>
      <c r="H60" s="304"/>
      <c r="I60" s="119"/>
      <c r="J60" s="117"/>
      <c r="K60" s="117"/>
      <c r="L60" s="113"/>
      <c r="M60" s="113"/>
      <c r="P60" s="282" t="str">
        <f t="shared" si="1"/>
        <v/>
      </c>
      <c r="Q60" s="232" t="str">
        <f t="shared" si="2"/>
        <v/>
      </c>
      <c r="R60" s="233" t="str">
        <f t="shared" si="3"/>
        <v/>
      </c>
      <c r="S60" s="234" t="str">
        <f t="shared" si="4"/>
        <v/>
      </c>
      <c r="T60" s="283" t="str">
        <f>IF(C60=0,"",SUM($S$4:S60)*365)</f>
        <v/>
      </c>
    </row>
    <row r="61" spans="1:20" ht="15.75" x14ac:dyDescent="0.25">
      <c r="A61" s="176">
        <v>56.97757</v>
      </c>
      <c r="B61" s="173">
        <v>61729</v>
      </c>
      <c r="C61" s="304"/>
      <c r="D61" s="304"/>
      <c r="E61" s="304"/>
      <c r="F61" s="304"/>
      <c r="G61" s="304"/>
      <c r="H61" s="304"/>
      <c r="I61" s="119"/>
      <c r="J61" s="117"/>
      <c r="K61" s="117"/>
      <c r="L61" s="113"/>
      <c r="M61" s="113"/>
      <c r="P61" s="282" t="str">
        <f t="shared" si="1"/>
        <v/>
      </c>
      <c r="Q61" s="232" t="str">
        <f t="shared" si="2"/>
        <v/>
      </c>
      <c r="R61" s="233" t="str">
        <f t="shared" si="3"/>
        <v/>
      </c>
      <c r="S61" s="234" t="str">
        <f t="shared" si="4"/>
        <v/>
      </c>
      <c r="T61" s="283" t="str">
        <f>IF(C61=0,"",SUM($S$4:S61)*365)</f>
        <v/>
      </c>
    </row>
    <row r="62" spans="1:20" ht="15.75" x14ac:dyDescent="0.25">
      <c r="A62" s="176">
        <v>57.976889999999997</v>
      </c>
      <c r="B62" s="173">
        <v>62094</v>
      </c>
      <c r="C62" s="304"/>
      <c r="D62" s="304"/>
      <c r="E62" s="304"/>
      <c r="F62" s="304"/>
      <c r="G62" s="304"/>
      <c r="H62" s="304"/>
      <c r="I62" s="119"/>
      <c r="J62" s="117"/>
      <c r="K62" s="117"/>
      <c r="L62" s="113"/>
      <c r="M62" s="113"/>
      <c r="P62" s="282" t="str">
        <f t="shared" si="1"/>
        <v/>
      </c>
      <c r="Q62" s="232" t="str">
        <f t="shared" si="2"/>
        <v/>
      </c>
      <c r="R62" s="233" t="str">
        <f t="shared" si="3"/>
        <v/>
      </c>
      <c r="S62" s="234" t="str">
        <f t="shared" si="4"/>
        <v/>
      </c>
      <c r="T62" s="283" t="str">
        <f>IF(C62=0,"",SUM($S$4:S62)*365)</f>
        <v/>
      </c>
    </row>
    <row r="63" spans="1:20" ht="15.75" x14ac:dyDescent="0.25">
      <c r="A63" s="176">
        <v>58.976210000000002</v>
      </c>
      <c r="B63" s="173">
        <v>62459</v>
      </c>
      <c r="C63" s="304"/>
      <c r="D63" s="304"/>
      <c r="E63" s="304"/>
      <c r="F63" s="304"/>
      <c r="G63" s="304"/>
      <c r="H63" s="304"/>
      <c r="I63" s="119"/>
      <c r="J63" s="117"/>
      <c r="K63" s="117"/>
      <c r="L63" s="113"/>
      <c r="M63" s="113"/>
      <c r="P63" s="282" t="str">
        <f t="shared" si="1"/>
        <v/>
      </c>
      <c r="Q63" s="232" t="str">
        <f t="shared" si="2"/>
        <v/>
      </c>
      <c r="R63" s="233" t="str">
        <f t="shared" si="3"/>
        <v/>
      </c>
      <c r="S63" s="234" t="str">
        <f t="shared" si="4"/>
        <v/>
      </c>
      <c r="T63" s="283" t="str">
        <f>IF(C63=0,"",SUM($S$4:S63)*365)</f>
        <v/>
      </c>
    </row>
    <row r="64" spans="1:20" ht="15.75" x14ac:dyDescent="0.25">
      <c r="A64" s="176">
        <v>59.975529999999999</v>
      </c>
      <c r="B64" s="173">
        <v>62824</v>
      </c>
      <c r="C64" s="304"/>
      <c r="D64" s="304"/>
      <c r="E64" s="304"/>
      <c r="F64" s="304"/>
      <c r="G64" s="304"/>
      <c r="H64" s="304"/>
      <c r="I64" s="119"/>
      <c r="J64" s="117"/>
      <c r="K64" s="117"/>
      <c r="L64" s="113"/>
      <c r="M64" s="113"/>
      <c r="P64" s="282" t="str">
        <f t="shared" si="1"/>
        <v/>
      </c>
      <c r="Q64" s="232" t="str">
        <f t="shared" si="2"/>
        <v/>
      </c>
      <c r="R64" s="233" t="str">
        <f t="shared" si="3"/>
        <v/>
      </c>
      <c r="S64" s="234" t="str">
        <f t="shared" si="4"/>
        <v/>
      </c>
      <c r="T64" s="283" t="str">
        <f>IF(C64=0,"",SUM($S$4:S64)*365)</f>
        <v/>
      </c>
    </row>
    <row r="65" spans="1:20" ht="15.75" x14ac:dyDescent="0.25">
      <c r="A65" s="176">
        <v>60.974850000000004</v>
      </c>
      <c r="B65" s="173">
        <v>63190</v>
      </c>
      <c r="C65" s="304"/>
      <c r="D65" s="304"/>
      <c r="E65" s="304"/>
      <c r="F65" s="304"/>
      <c r="G65" s="304"/>
      <c r="H65" s="304"/>
      <c r="I65" s="119"/>
      <c r="J65" s="117"/>
      <c r="K65" s="117"/>
      <c r="L65" s="113"/>
      <c r="M65" s="113"/>
      <c r="P65" s="282" t="str">
        <f t="shared" si="1"/>
        <v/>
      </c>
      <c r="Q65" s="232" t="str">
        <f t="shared" si="2"/>
        <v/>
      </c>
      <c r="R65" s="233" t="str">
        <f t="shared" si="3"/>
        <v/>
      </c>
      <c r="S65" s="234" t="str">
        <f t="shared" si="4"/>
        <v/>
      </c>
      <c r="T65" s="283" t="str">
        <f>IF(C65=0,"",SUM($S$4:S65)*365)</f>
        <v/>
      </c>
    </row>
    <row r="66" spans="1:20" ht="15.75" x14ac:dyDescent="0.25">
      <c r="A66" s="176">
        <v>61.974170000000001</v>
      </c>
      <c r="B66" s="173">
        <v>63555</v>
      </c>
      <c r="C66" s="304"/>
      <c r="D66" s="304"/>
      <c r="E66" s="304"/>
      <c r="F66" s="304"/>
      <c r="G66" s="304"/>
      <c r="H66" s="304"/>
      <c r="I66" s="119"/>
      <c r="J66" s="117"/>
      <c r="K66" s="117"/>
      <c r="L66" s="113"/>
      <c r="M66" s="113"/>
      <c r="P66" s="282" t="str">
        <f t="shared" si="1"/>
        <v/>
      </c>
      <c r="Q66" s="232" t="str">
        <f t="shared" si="2"/>
        <v/>
      </c>
      <c r="R66" s="233" t="str">
        <f t="shared" si="3"/>
        <v/>
      </c>
      <c r="S66" s="234" t="str">
        <f t="shared" si="4"/>
        <v/>
      </c>
      <c r="T66" s="283" t="str">
        <f>IF(C66=0,"",SUM($S$4:S66)*365)</f>
        <v/>
      </c>
    </row>
    <row r="67" spans="1:20" ht="15.75" x14ac:dyDescent="0.25">
      <c r="A67" s="176">
        <v>62.973489999999998</v>
      </c>
      <c r="B67" s="173">
        <v>63920</v>
      </c>
      <c r="C67" s="203"/>
      <c r="D67" s="203"/>
      <c r="E67" s="203"/>
      <c r="F67" s="203"/>
      <c r="G67" s="203"/>
      <c r="H67" s="203"/>
      <c r="I67" s="119"/>
      <c r="J67" s="117"/>
      <c r="K67" s="117"/>
      <c r="L67" s="113"/>
      <c r="M67" s="113"/>
      <c r="P67" s="282" t="str">
        <f t="shared" si="1"/>
        <v/>
      </c>
      <c r="Q67" s="232" t="str">
        <f t="shared" si="2"/>
        <v/>
      </c>
      <c r="R67" s="233" t="str">
        <f t="shared" si="3"/>
        <v/>
      </c>
      <c r="S67" s="234" t="str">
        <f t="shared" si="4"/>
        <v/>
      </c>
      <c r="T67" s="283" t="str">
        <f>IF(C67=0,"",SUM($S$4:S67)*365)</f>
        <v/>
      </c>
    </row>
    <row r="68" spans="1:20" ht="15.75" x14ac:dyDescent="0.25">
      <c r="A68" s="176">
        <v>63.972810000000003</v>
      </c>
      <c r="B68" s="173">
        <v>64285</v>
      </c>
      <c r="C68" s="203"/>
      <c r="D68" s="203"/>
      <c r="E68" s="203"/>
      <c r="F68" s="203"/>
      <c r="G68" s="203"/>
      <c r="H68" s="203"/>
      <c r="I68" s="119"/>
      <c r="J68" s="117"/>
      <c r="K68" s="117"/>
      <c r="L68" s="113"/>
      <c r="M68" s="113"/>
      <c r="P68" s="282" t="str">
        <f t="shared" si="1"/>
        <v/>
      </c>
      <c r="Q68" s="232" t="str">
        <f t="shared" si="2"/>
        <v/>
      </c>
      <c r="R68" s="233" t="str">
        <f t="shared" si="3"/>
        <v/>
      </c>
      <c r="S68" s="234" t="str">
        <f t="shared" si="4"/>
        <v/>
      </c>
      <c r="T68" s="283" t="str">
        <f>IF(C68=0,"",SUM($S$4:S68)*365)</f>
        <v/>
      </c>
    </row>
    <row r="69" spans="1:20" ht="15.75" x14ac:dyDescent="0.25">
      <c r="A69" s="176">
        <v>64.972130000000007</v>
      </c>
      <c r="B69" s="173">
        <v>64651</v>
      </c>
      <c r="C69" s="203"/>
      <c r="D69" s="203"/>
      <c r="E69" s="203"/>
      <c r="F69" s="203"/>
      <c r="G69" s="203"/>
      <c r="H69" s="203"/>
      <c r="I69" s="119"/>
      <c r="J69" s="117"/>
      <c r="K69" s="117"/>
      <c r="L69" s="113"/>
      <c r="M69" s="113"/>
      <c r="P69" s="282" t="str">
        <f t="shared" si="1"/>
        <v/>
      </c>
      <c r="Q69" s="232" t="str">
        <f t="shared" si="2"/>
        <v/>
      </c>
      <c r="R69" s="233" t="str">
        <f t="shared" si="3"/>
        <v/>
      </c>
      <c r="S69" s="234" t="str">
        <f t="shared" ref="S69:S100" si="5">IF(C69=0,"",OCF*FPF*(C69+D69/10)/P69)</f>
        <v/>
      </c>
      <c r="T69" s="283" t="str">
        <f>IF(C69=0,"",SUM($S$4:S69)*365)</f>
        <v/>
      </c>
    </row>
    <row r="70" spans="1:20" ht="15.75" x14ac:dyDescent="0.25">
      <c r="A70" s="176">
        <v>65.971450000000004</v>
      </c>
      <c r="B70" s="173">
        <v>65016</v>
      </c>
      <c r="C70" s="203"/>
      <c r="D70" s="203"/>
      <c r="E70" s="203"/>
      <c r="F70" s="203"/>
      <c r="G70" s="203"/>
      <c r="H70" s="203"/>
      <c r="I70" s="119"/>
      <c r="J70" s="117"/>
      <c r="K70" s="117"/>
      <c r="L70" s="113"/>
      <c r="M70" s="113"/>
      <c r="P70" s="282" t="str">
        <f t="shared" ref="P70:P133" si="6">IF(C70="","",(IF($L$4=5,IF((G70+H70)=0,5,3),IF($L$4=7,IF((G70+H70)=0,7,4),"Invaid"))))</f>
        <v/>
      </c>
      <c r="Q70" s="232" t="str">
        <f t="shared" ref="Q70:Q133" si="7">IF(C70=0,"",IF($L$4=5,IF((G70+H70)=0,0,2),IF($L$4=7,IF((G70+H70)=0,0,3),"Invaid")))</f>
        <v/>
      </c>
      <c r="R70" s="233" t="str">
        <f t="shared" ref="R70:R133" si="8">IF(C70=0,"",IF((G70+H70)=0,1,IF(H70&gt;0, 3, 2)))</f>
        <v/>
      </c>
      <c r="S70" s="234" t="str">
        <f t="shared" si="5"/>
        <v/>
      </c>
      <c r="T70" s="283" t="str">
        <f>IF(C70=0,"",SUM($S$4:S70)*365)</f>
        <v/>
      </c>
    </row>
    <row r="71" spans="1:20" ht="15.75" x14ac:dyDescent="0.25">
      <c r="A71" s="176">
        <v>66.970770000000002</v>
      </c>
      <c r="B71" s="173">
        <v>65381</v>
      </c>
      <c r="C71" s="203"/>
      <c r="D71" s="203"/>
      <c r="E71" s="203"/>
      <c r="F71" s="203"/>
      <c r="G71" s="203"/>
      <c r="H71" s="203"/>
      <c r="I71" s="119"/>
      <c r="J71" s="117"/>
      <c r="K71" s="117"/>
      <c r="L71" s="113"/>
      <c r="M71" s="113"/>
      <c r="P71" s="282" t="str">
        <f t="shared" si="6"/>
        <v/>
      </c>
      <c r="Q71" s="232" t="str">
        <f t="shared" si="7"/>
        <v/>
      </c>
      <c r="R71" s="233" t="str">
        <f t="shared" si="8"/>
        <v/>
      </c>
      <c r="S71" s="234" t="str">
        <f t="shared" si="5"/>
        <v/>
      </c>
      <c r="T71" s="283" t="str">
        <f>IF(C71=0,"",SUM($S$4:S71)*365)</f>
        <v/>
      </c>
    </row>
    <row r="72" spans="1:20" ht="15.75" x14ac:dyDescent="0.25">
      <c r="A72" s="176">
        <v>67.970089999999999</v>
      </c>
      <c r="B72" s="173">
        <v>65746</v>
      </c>
      <c r="C72" s="203"/>
      <c r="D72" s="203"/>
      <c r="E72" s="203"/>
      <c r="F72" s="203"/>
      <c r="G72" s="203"/>
      <c r="H72" s="203"/>
      <c r="I72" s="119"/>
      <c r="J72" s="117"/>
      <c r="K72" s="117"/>
      <c r="L72" s="113"/>
      <c r="M72" s="113"/>
      <c r="P72" s="282" t="str">
        <f t="shared" si="6"/>
        <v/>
      </c>
      <c r="Q72" s="232" t="str">
        <f t="shared" si="7"/>
        <v/>
      </c>
      <c r="R72" s="233" t="str">
        <f t="shared" si="8"/>
        <v/>
      </c>
      <c r="S72" s="234" t="str">
        <f t="shared" si="5"/>
        <v/>
      </c>
      <c r="T72" s="283" t="str">
        <f>IF(C72=0,"",SUM($S$4:S72)*365)</f>
        <v/>
      </c>
    </row>
    <row r="73" spans="1:20" ht="15.75" x14ac:dyDescent="0.25">
      <c r="A73" s="176">
        <v>68.969409999999996</v>
      </c>
      <c r="B73" s="173">
        <v>66112</v>
      </c>
      <c r="C73" s="203"/>
      <c r="D73" s="203"/>
      <c r="E73" s="203"/>
      <c r="F73" s="203"/>
      <c r="G73" s="203"/>
      <c r="H73" s="203"/>
      <c r="I73" s="119"/>
      <c r="J73" s="117"/>
      <c r="K73" s="117"/>
      <c r="L73" s="113"/>
      <c r="M73" s="113"/>
      <c r="P73" s="282" t="str">
        <f t="shared" si="6"/>
        <v/>
      </c>
      <c r="Q73" s="232" t="str">
        <f t="shared" si="7"/>
        <v/>
      </c>
      <c r="R73" s="233" t="str">
        <f t="shared" si="8"/>
        <v/>
      </c>
      <c r="S73" s="234" t="str">
        <f t="shared" si="5"/>
        <v/>
      </c>
      <c r="T73" s="283" t="str">
        <f>IF(C73=0,"",SUM($S$4:S73)*365)</f>
        <v/>
      </c>
    </row>
    <row r="74" spans="1:20" ht="15.75" x14ac:dyDescent="0.25">
      <c r="A74" s="176">
        <v>69.968729999999994</v>
      </c>
      <c r="B74" s="173">
        <v>66477</v>
      </c>
      <c r="C74" s="203"/>
      <c r="D74" s="203"/>
      <c r="E74" s="203"/>
      <c r="F74" s="203"/>
      <c r="G74" s="203"/>
      <c r="H74" s="203"/>
      <c r="I74" s="119"/>
      <c r="J74" s="117"/>
      <c r="K74" s="117"/>
      <c r="L74" s="113"/>
      <c r="M74" s="113"/>
      <c r="P74" s="282" t="str">
        <f t="shared" si="6"/>
        <v/>
      </c>
      <c r="Q74" s="232" t="str">
        <f t="shared" si="7"/>
        <v/>
      </c>
      <c r="R74" s="233" t="str">
        <f t="shared" si="8"/>
        <v/>
      </c>
      <c r="S74" s="234" t="str">
        <f t="shared" si="5"/>
        <v/>
      </c>
      <c r="T74" s="283" t="str">
        <f>IF(C74=0,"",SUM($S$4:S74)*365)</f>
        <v/>
      </c>
    </row>
    <row r="75" spans="1:20" ht="15.75" x14ac:dyDescent="0.25">
      <c r="A75" s="176">
        <v>70.968050000000005</v>
      </c>
      <c r="B75" s="173">
        <v>66842</v>
      </c>
      <c r="C75" s="203"/>
      <c r="D75" s="203"/>
      <c r="E75" s="203"/>
      <c r="F75" s="203"/>
      <c r="G75" s="203"/>
      <c r="H75" s="203"/>
      <c r="I75" s="119"/>
      <c r="J75" s="117"/>
      <c r="K75" s="117"/>
      <c r="L75" s="113"/>
      <c r="M75" s="113"/>
      <c r="P75" s="282" t="str">
        <f t="shared" si="6"/>
        <v/>
      </c>
      <c r="Q75" s="232" t="str">
        <f t="shared" si="7"/>
        <v/>
      </c>
      <c r="R75" s="233" t="str">
        <f t="shared" si="8"/>
        <v/>
      </c>
      <c r="S75" s="234" t="str">
        <f t="shared" si="5"/>
        <v/>
      </c>
      <c r="T75" s="283" t="str">
        <f>IF(C75=0,"",SUM($S$4:S75)*365)</f>
        <v/>
      </c>
    </row>
    <row r="76" spans="1:20" ht="15.75" x14ac:dyDescent="0.25">
      <c r="A76" s="176">
        <v>71.967370000000003</v>
      </c>
      <c r="B76" s="173">
        <v>67207</v>
      </c>
      <c r="C76" s="203"/>
      <c r="D76" s="203"/>
      <c r="E76" s="203"/>
      <c r="F76" s="203"/>
      <c r="G76" s="203"/>
      <c r="H76" s="203"/>
      <c r="I76" s="119"/>
      <c r="J76" s="117"/>
      <c r="K76" s="117"/>
      <c r="L76" s="113"/>
      <c r="M76" s="113"/>
      <c r="P76" s="282" t="str">
        <f t="shared" si="6"/>
        <v/>
      </c>
      <c r="Q76" s="232" t="str">
        <f t="shared" si="7"/>
        <v/>
      </c>
      <c r="R76" s="233" t="str">
        <f t="shared" si="8"/>
        <v/>
      </c>
      <c r="S76" s="234" t="str">
        <f t="shared" si="5"/>
        <v/>
      </c>
      <c r="T76" s="283" t="str">
        <f>IF(C76=0,"",SUM($S$4:S76)*365)</f>
        <v/>
      </c>
    </row>
    <row r="77" spans="1:20" ht="15.75" x14ac:dyDescent="0.25">
      <c r="A77" s="176">
        <v>72.96669</v>
      </c>
      <c r="B77" s="173">
        <v>67573</v>
      </c>
      <c r="C77" s="203"/>
      <c r="D77" s="203"/>
      <c r="E77" s="203"/>
      <c r="F77" s="203"/>
      <c r="G77" s="203"/>
      <c r="H77" s="203"/>
      <c r="I77" s="119"/>
      <c r="J77" s="117"/>
      <c r="K77" s="117"/>
      <c r="L77" s="113"/>
      <c r="M77" s="113"/>
      <c r="P77" s="282" t="str">
        <f t="shared" si="6"/>
        <v/>
      </c>
      <c r="Q77" s="232" t="str">
        <f t="shared" si="7"/>
        <v/>
      </c>
      <c r="R77" s="233" t="str">
        <f t="shared" si="8"/>
        <v/>
      </c>
      <c r="S77" s="234" t="str">
        <f t="shared" si="5"/>
        <v/>
      </c>
      <c r="T77" s="283" t="str">
        <f>IF(C77=0,"",SUM($S$4:S77)*365)</f>
        <v/>
      </c>
    </row>
    <row r="78" spans="1:20" ht="15.75" x14ac:dyDescent="0.25">
      <c r="A78" s="176">
        <v>73.966009999999997</v>
      </c>
      <c r="B78" s="173">
        <v>67938</v>
      </c>
      <c r="C78" s="203"/>
      <c r="D78" s="203"/>
      <c r="E78" s="203"/>
      <c r="F78" s="203"/>
      <c r="G78" s="203"/>
      <c r="H78" s="203"/>
      <c r="I78" s="119"/>
      <c r="J78" s="117"/>
      <c r="K78" s="117"/>
      <c r="L78" s="113"/>
      <c r="M78" s="113"/>
      <c r="P78" s="282" t="str">
        <f t="shared" si="6"/>
        <v/>
      </c>
      <c r="Q78" s="232" t="str">
        <f t="shared" si="7"/>
        <v/>
      </c>
      <c r="R78" s="233" t="str">
        <f t="shared" si="8"/>
        <v/>
      </c>
      <c r="S78" s="234" t="str">
        <f t="shared" si="5"/>
        <v/>
      </c>
      <c r="T78" s="283" t="str">
        <f>IF(C78=0,"",SUM($S$4:S78)*365)</f>
        <v/>
      </c>
    </row>
    <row r="79" spans="1:20" ht="15.75" x14ac:dyDescent="0.25">
      <c r="A79" s="176">
        <v>74.965329999999994</v>
      </c>
      <c r="B79" s="173">
        <v>68303</v>
      </c>
      <c r="C79" s="203"/>
      <c r="D79" s="203"/>
      <c r="E79" s="203"/>
      <c r="F79" s="203"/>
      <c r="G79" s="203"/>
      <c r="H79" s="203"/>
      <c r="I79" s="119"/>
      <c r="J79" s="117"/>
      <c r="K79" s="117"/>
      <c r="L79" s="113"/>
      <c r="M79" s="113"/>
      <c r="P79" s="282" t="str">
        <f t="shared" si="6"/>
        <v/>
      </c>
      <c r="Q79" s="232" t="str">
        <f t="shared" si="7"/>
        <v/>
      </c>
      <c r="R79" s="233" t="str">
        <f t="shared" si="8"/>
        <v/>
      </c>
      <c r="S79" s="234" t="str">
        <f t="shared" si="5"/>
        <v/>
      </c>
      <c r="T79" s="283" t="str">
        <f>IF(C79=0,"",SUM($S$4:S79)*365)</f>
        <v/>
      </c>
    </row>
    <row r="80" spans="1:20" ht="15.75" x14ac:dyDescent="0.25">
      <c r="A80" s="176">
        <v>75.964650000000105</v>
      </c>
      <c r="B80" s="173">
        <v>68668</v>
      </c>
      <c r="C80" s="203"/>
      <c r="D80" s="203"/>
      <c r="E80" s="203"/>
      <c r="F80" s="203"/>
      <c r="G80" s="203"/>
      <c r="H80" s="203"/>
      <c r="I80" s="119"/>
      <c r="J80" s="117"/>
      <c r="K80" s="117"/>
      <c r="L80" s="113"/>
      <c r="M80" s="113"/>
      <c r="P80" s="282" t="str">
        <f t="shared" si="6"/>
        <v/>
      </c>
      <c r="Q80" s="232" t="str">
        <f t="shared" si="7"/>
        <v/>
      </c>
      <c r="R80" s="233" t="str">
        <f t="shared" si="8"/>
        <v/>
      </c>
      <c r="S80" s="234" t="str">
        <f t="shared" si="5"/>
        <v/>
      </c>
      <c r="T80" s="283" t="str">
        <f>IF(C80=0,"",SUM($S$4:S80)*365)</f>
        <v/>
      </c>
    </row>
    <row r="81" spans="1:20" ht="15.75" x14ac:dyDescent="0.25">
      <c r="A81" s="176">
        <v>76.963970000000003</v>
      </c>
      <c r="B81" s="173">
        <v>69034</v>
      </c>
      <c r="C81" s="203"/>
      <c r="D81" s="203"/>
      <c r="E81" s="203"/>
      <c r="F81" s="203"/>
      <c r="G81" s="203"/>
      <c r="H81" s="203"/>
      <c r="I81" s="119"/>
      <c r="J81" s="117"/>
      <c r="K81" s="117"/>
      <c r="L81" s="113"/>
      <c r="M81" s="113"/>
      <c r="P81" s="282" t="str">
        <f t="shared" si="6"/>
        <v/>
      </c>
      <c r="Q81" s="232" t="str">
        <f t="shared" si="7"/>
        <v/>
      </c>
      <c r="R81" s="233" t="str">
        <f t="shared" si="8"/>
        <v/>
      </c>
      <c r="S81" s="234" t="str">
        <f t="shared" si="5"/>
        <v/>
      </c>
      <c r="T81" s="283" t="str">
        <f>IF(C81=0,"",SUM($S$4:S81)*365)</f>
        <v/>
      </c>
    </row>
    <row r="82" spans="1:20" ht="15.75" x14ac:dyDescent="0.25">
      <c r="A82" s="176">
        <v>77.963290000000001</v>
      </c>
      <c r="B82" s="173">
        <v>69399</v>
      </c>
      <c r="C82" s="203"/>
      <c r="D82" s="203"/>
      <c r="E82" s="203"/>
      <c r="F82" s="203"/>
      <c r="G82" s="203"/>
      <c r="H82" s="203"/>
      <c r="I82" s="119"/>
      <c r="J82" s="117"/>
      <c r="K82" s="117"/>
      <c r="L82" s="113"/>
      <c r="M82" s="113"/>
      <c r="P82" s="282" t="str">
        <f t="shared" si="6"/>
        <v/>
      </c>
      <c r="Q82" s="232" t="str">
        <f t="shared" si="7"/>
        <v/>
      </c>
      <c r="R82" s="233" t="str">
        <f t="shared" si="8"/>
        <v/>
      </c>
      <c r="S82" s="234" t="str">
        <f t="shared" si="5"/>
        <v/>
      </c>
      <c r="T82" s="283" t="str">
        <f>IF(C82=0,"",SUM($S$4:S82)*365)</f>
        <v/>
      </c>
    </row>
    <row r="83" spans="1:20" ht="15.75" x14ac:dyDescent="0.25">
      <c r="A83" s="176">
        <v>78.962610000000097</v>
      </c>
      <c r="B83" s="173">
        <v>69764</v>
      </c>
      <c r="C83" s="203"/>
      <c r="D83" s="203"/>
      <c r="E83" s="203"/>
      <c r="F83" s="203"/>
      <c r="G83" s="203"/>
      <c r="H83" s="203"/>
      <c r="I83" s="119"/>
      <c r="J83" s="117"/>
      <c r="K83" s="117"/>
      <c r="L83" s="113"/>
      <c r="M83" s="113"/>
      <c r="P83" s="282" t="str">
        <f t="shared" si="6"/>
        <v/>
      </c>
      <c r="Q83" s="232" t="str">
        <f t="shared" si="7"/>
        <v/>
      </c>
      <c r="R83" s="233" t="str">
        <f t="shared" si="8"/>
        <v/>
      </c>
      <c r="S83" s="234" t="str">
        <f t="shared" si="5"/>
        <v/>
      </c>
      <c r="T83" s="283" t="str">
        <f>IF(C83=0,"",SUM($S$4:S83)*365)</f>
        <v/>
      </c>
    </row>
    <row r="84" spans="1:20" ht="15.75" x14ac:dyDescent="0.25">
      <c r="A84" s="176">
        <v>79.961930000000095</v>
      </c>
      <c r="B84" s="173">
        <v>70129</v>
      </c>
      <c r="C84" s="203"/>
      <c r="D84" s="203"/>
      <c r="E84" s="203"/>
      <c r="F84" s="203"/>
      <c r="G84" s="203"/>
      <c r="H84" s="203"/>
      <c r="I84" s="119"/>
      <c r="J84" s="117"/>
      <c r="K84" s="117"/>
      <c r="L84" s="113"/>
      <c r="M84" s="113"/>
      <c r="P84" s="282" t="str">
        <f t="shared" si="6"/>
        <v/>
      </c>
      <c r="Q84" s="232" t="str">
        <f t="shared" si="7"/>
        <v/>
      </c>
      <c r="R84" s="233" t="str">
        <f t="shared" si="8"/>
        <v/>
      </c>
      <c r="S84" s="234" t="str">
        <f t="shared" si="5"/>
        <v/>
      </c>
      <c r="T84" s="283" t="str">
        <f>IF(C84=0,"",SUM($S$4:S84)*365)</f>
        <v/>
      </c>
    </row>
    <row r="85" spans="1:20" ht="15.75" x14ac:dyDescent="0.25">
      <c r="A85" s="176">
        <v>80.961250000000106</v>
      </c>
      <c r="B85" s="173">
        <v>70495</v>
      </c>
      <c r="C85" s="203"/>
      <c r="D85" s="203"/>
      <c r="E85" s="203"/>
      <c r="F85" s="203"/>
      <c r="G85" s="203"/>
      <c r="H85" s="203"/>
      <c r="I85" s="119"/>
      <c r="J85" s="117"/>
      <c r="K85" s="117"/>
      <c r="L85" s="113"/>
      <c r="M85" s="113"/>
      <c r="P85" s="282" t="str">
        <f t="shared" si="6"/>
        <v/>
      </c>
      <c r="Q85" s="232" t="str">
        <f t="shared" si="7"/>
        <v/>
      </c>
      <c r="R85" s="233" t="str">
        <f t="shared" si="8"/>
        <v/>
      </c>
      <c r="S85" s="234" t="str">
        <f t="shared" si="5"/>
        <v/>
      </c>
      <c r="T85" s="283" t="str">
        <f>IF(C85=0,"",SUM($S$4:S85)*365)</f>
        <v/>
      </c>
    </row>
    <row r="86" spans="1:20" ht="15.75" x14ac:dyDescent="0.25">
      <c r="A86" s="176">
        <v>81.960570000000004</v>
      </c>
      <c r="B86" s="173">
        <v>70860</v>
      </c>
      <c r="C86" s="203"/>
      <c r="D86" s="203"/>
      <c r="E86" s="203"/>
      <c r="F86" s="203"/>
      <c r="G86" s="203"/>
      <c r="H86" s="203"/>
      <c r="I86" s="119"/>
      <c r="J86" s="117"/>
      <c r="K86" s="117"/>
      <c r="L86" s="113"/>
      <c r="M86" s="113"/>
      <c r="P86" s="282" t="str">
        <f t="shared" si="6"/>
        <v/>
      </c>
      <c r="Q86" s="232" t="str">
        <f t="shared" si="7"/>
        <v/>
      </c>
      <c r="R86" s="233" t="str">
        <f t="shared" si="8"/>
        <v/>
      </c>
      <c r="S86" s="234" t="str">
        <f t="shared" si="5"/>
        <v/>
      </c>
      <c r="T86" s="283" t="str">
        <f>IF(C86=0,"",SUM($S$4:S86)*365)</f>
        <v/>
      </c>
    </row>
    <row r="87" spans="1:20" ht="15.75" x14ac:dyDescent="0.25">
      <c r="A87" s="176">
        <v>82.959890000000101</v>
      </c>
      <c r="B87" s="173">
        <v>71225</v>
      </c>
      <c r="C87" s="203"/>
      <c r="D87" s="203"/>
      <c r="E87" s="203"/>
      <c r="F87" s="203"/>
      <c r="G87" s="203"/>
      <c r="H87" s="203"/>
      <c r="I87" s="119"/>
      <c r="J87" s="117"/>
      <c r="K87" s="117"/>
      <c r="L87" s="113"/>
      <c r="M87" s="113"/>
      <c r="P87" s="282" t="str">
        <f t="shared" si="6"/>
        <v/>
      </c>
      <c r="Q87" s="232" t="str">
        <f t="shared" si="7"/>
        <v/>
      </c>
      <c r="R87" s="233" t="str">
        <f t="shared" si="8"/>
        <v/>
      </c>
      <c r="S87" s="234" t="str">
        <f t="shared" si="5"/>
        <v/>
      </c>
      <c r="T87" s="283" t="str">
        <f>IF(C87=0,"",SUM($S$4:S87)*365)</f>
        <v/>
      </c>
    </row>
    <row r="88" spans="1:20" ht="15.75" x14ac:dyDescent="0.25">
      <c r="A88" s="176">
        <v>83.959210000000098</v>
      </c>
      <c r="B88" s="173">
        <v>71590</v>
      </c>
      <c r="C88" s="203"/>
      <c r="D88" s="203"/>
      <c r="E88" s="203"/>
      <c r="F88" s="203"/>
      <c r="G88" s="203"/>
      <c r="H88" s="203"/>
      <c r="I88" s="119"/>
      <c r="J88" s="117"/>
      <c r="K88" s="117"/>
      <c r="L88" s="113"/>
      <c r="M88" s="113"/>
      <c r="P88" s="282" t="str">
        <f t="shared" si="6"/>
        <v/>
      </c>
      <c r="Q88" s="232" t="str">
        <f t="shared" si="7"/>
        <v/>
      </c>
      <c r="R88" s="233" t="str">
        <f t="shared" si="8"/>
        <v/>
      </c>
      <c r="S88" s="234" t="str">
        <f t="shared" si="5"/>
        <v/>
      </c>
      <c r="T88" s="283" t="str">
        <f>IF(C88=0,"",SUM($S$4:S88)*365)</f>
        <v/>
      </c>
    </row>
    <row r="89" spans="1:20" ht="15.75" x14ac:dyDescent="0.25">
      <c r="A89" s="176">
        <v>84.958530000000096</v>
      </c>
      <c r="B89" s="173">
        <v>71956</v>
      </c>
      <c r="C89" s="203"/>
      <c r="D89" s="203"/>
      <c r="E89" s="203"/>
      <c r="F89" s="203"/>
      <c r="G89" s="203"/>
      <c r="H89" s="203"/>
      <c r="I89" s="119"/>
      <c r="J89" s="117"/>
      <c r="K89" s="117"/>
      <c r="L89" s="113"/>
      <c r="M89" s="113"/>
      <c r="P89" s="282" t="str">
        <f t="shared" si="6"/>
        <v/>
      </c>
      <c r="Q89" s="232" t="str">
        <f t="shared" si="7"/>
        <v/>
      </c>
      <c r="R89" s="233" t="str">
        <f t="shared" si="8"/>
        <v/>
      </c>
      <c r="S89" s="234" t="str">
        <f t="shared" si="5"/>
        <v/>
      </c>
      <c r="T89" s="283" t="str">
        <f>IF(C89=0,"",SUM($S$4:S89)*365)</f>
        <v/>
      </c>
    </row>
    <row r="90" spans="1:20" ht="15.75" x14ac:dyDescent="0.25">
      <c r="A90" s="176">
        <v>85.957850000000093</v>
      </c>
      <c r="B90" s="173">
        <v>72321</v>
      </c>
      <c r="C90" s="203"/>
      <c r="D90" s="203"/>
      <c r="E90" s="203"/>
      <c r="F90" s="203"/>
      <c r="G90" s="203"/>
      <c r="H90" s="203"/>
      <c r="I90" s="119"/>
      <c r="J90" s="117"/>
      <c r="K90" s="117"/>
      <c r="L90" s="113"/>
      <c r="M90" s="113"/>
      <c r="P90" s="282" t="str">
        <f t="shared" si="6"/>
        <v/>
      </c>
      <c r="Q90" s="232" t="str">
        <f t="shared" si="7"/>
        <v/>
      </c>
      <c r="R90" s="233" t="str">
        <f t="shared" si="8"/>
        <v/>
      </c>
      <c r="S90" s="234" t="str">
        <f t="shared" si="5"/>
        <v/>
      </c>
      <c r="T90" s="283" t="str">
        <f>IF(C90=0,"",SUM($S$4:S90)*365)</f>
        <v/>
      </c>
    </row>
    <row r="91" spans="1:20" ht="15.75" x14ac:dyDescent="0.25">
      <c r="A91" s="176">
        <v>86.957170000000104</v>
      </c>
      <c r="B91" s="173">
        <v>72686</v>
      </c>
      <c r="C91" s="203"/>
      <c r="D91" s="203"/>
      <c r="E91" s="203"/>
      <c r="F91" s="203"/>
      <c r="G91" s="203"/>
      <c r="H91" s="203"/>
      <c r="I91" s="119"/>
      <c r="J91" s="117"/>
      <c r="K91" s="117"/>
      <c r="L91" s="113"/>
      <c r="M91" s="113"/>
      <c r="P91" s="282" t="str">
        <f t="shared" si="6"/>
        <v/>
      </c>
      <c r="Q91" s="232" t="str">
        <f t="shared" si="7"/>
        <v/>
      </c>
      <c r="R91" s="233" t="str">
        <f t="shared" si="8"/>
        <v/>
      </c>
      <c r="S91" s="234" t="str">
        <f t="shared" si="5"/>
        <v/>
      </c>
      <c r="T91" s="283" t="str">
        <f>IF(C91=0,"",SUM($S$4:S91)*365)</f>
        <v/>
      </c>
    </row>
    <row r="92" spans="1:20" ht="15.75" x14ac:dyDescent="0.25">
      <c r="A92" s="176">
        <v>87.956490000000102</v>
      </c>
      <c r="B92" s="173">
        <v>73051</v>
      </c>
      <c r="C92" s="203"/>
      <c r="D92" s="203"/>
      <c r="E92" s="203"/>
      <c r="F92" s="203"/>
      <c r="G92" s="203"/>
      <c r="H92" s="203"/>
      <c r="I92" s="119"/>
      <c r="J92" s="117"/>
      <c r="K92" s="117"/>
      <c r="L92" s="113"/>
      <c r="M92" s="113"/>
      <c r="P92" s="282" t="str">
        <f t="shared" si="6"/>
        <v/>
      </c>
      <c r="Q92" s="232" t="str">
        <f t="shared" si="7"/>
        <v/>
      </c>
      <c r="R92" s="233" t="str">
        <f t="shared" si="8"/>
        <v/>
      </c>
      <c r="S92" s="234" t="str">
        <f t="shared" si="5"/>
        <v/>
      </c>
      <c r="T92" s="283" t="str">
        <f>IF(C92=0,"",SUM($S$4:S92)*365)</f>
        <v/>
      </c>
    </row>
    <row r="93" spans="1:20" ht="15.75" x14ac:dyDescent="0.25">
      <c r="A93" s="176">
        <v>88.955810000000099</v>
      </c>
      <c r="B93" s="173">
        <v>73416</v>
      </c>
      <c r="C93" s="203"/>
      <c r="D93" s="203"/>
      <c r="E93" s="203"/>
      <c r="F93" s="203"/>
      <c r="G93" s="203"/>
      <c r="H93" s="203"/>
      <c r="I93" s="119"/>
      <c r="J93" s="117"/>
      <c r="K93" s="117"/>
      <c r="L93" s="113"/>
      <c r="M93" s="113"/>
      <c r="P93" s="282" t="str">
        <f t="shared" si="6"/>
        <v/>
      </c>
      <c r="Q93" s="232" t="str">
        <f t="shared" si="7"/>
        <v/>
      </c>
      <c r="R93" s="233" t="str">
        <f t="shared" si="8"/>
        <v/>
      </c>
      <c r="S93" s="234" t="str">
        <f t="shared" si="5"/>
        <v/>
      </c>
      <c r="T93" s="283" t="str">
        <f>IF(C93=0,"",SUM($S$4:S93)*365)</f>
        <v/>
      </c>
    </row>
    <row r="94" spans="1:20" ht="15.75" x14ac:dyDescent="0.25">
      <c r="A94" s="176">
        <v>89.955130000000096</v>
      </c>
      <c r="B94" s="173">
        <v>73781</v>
      </c>
      <c r="C94" s="203"/>
      <c r="D94" s="203"/>
      <c r="E94" s="203"/>
      <c r="F94" s="203"/>
      <c r="G94" s="203"/>
      <c r="H94" s="203"/>
      <c r="I94" s="119"/>
      <c r="J94" s="117"/>
      <c r="K94" s="117"/>
      <c r="L94" s="113"/>
      <c r="M94" s="113"/>
      <c r="P94" s="282" t="str">
        <f t="shared" si="6"/>
        <v/>
      </c>
      <c r="Q94" s="232" t="str">
        <f t="shared" si="7"/>
        <v/>
      </c>
      <c r="R94" s="233" t="str">
        <f t="shared" si="8"/>
        <v/>
      </c>
      <c r="S94" s="234" t="str">
        <f t="shared" si="5"/>
        <v/>
      </c>
      <c r="T94" s="283" t="str">
        <f>IF(C94=0,"",SUM($S$4:S94)*365)</f>
        <v/>
      </c>
    </row>
    <row r="95" spans="1:20" ht="15.75" x14ac:dyDescent="0.25">
      <c r="A95" s="176">
        <v>90.954450000000094</v>
      </c>
      <c r="B95" s="173">
        <v>74146</v>
      </c>
      <c r="C95" s="203"/>
      <c r="D95" s="203"/>
      <c r="E95" s="203"/>
      <c r="F95" s="203"/>
      <c r="G95" s="203"/>
      <c r="H95" s="203"/>
      <c r="I95" s="119"/>
      <c r="J95" s="117"/>
      <c r="K95" s="117"/>
      <c r="L95" s="113"/>
      <c r="M95" s="113"/>
      <c r="P95" s="282" t="str">
        <f t="shared" si="6"/>
        <v/>
      </c>
      <c r="Q95" s="232" t="str">
        <f t="shared" si="7"/>
        <v/>
      </c>
      <c r="R95" s="233" t="str">
        <f t="shared" si="8"/>
        <v/>
      </c>
      <c r="S95" s="234" t="str">
        <f t="shared" si="5"/>
        <v/>
      </c>
      <c r="T95" s="283" t="str">
        <f>IF(C95=0,"",SUM($S$4:S95)*365)</f>
        <v/>
      </c>
    </row>
    <row r="96" spans="1:20" ht="15.75" x14ac:dyDescent="0.25">
      <c r="A96" s="176">
        <v>91.953770000000105</v>
      </c>
      <c r="B96" s="173">
        <v>74511</v>
      </c>
      <c r="C96" s="203"/>
      <c r="D96" s="203"/>
      <c r="E96" s="203"/>
      <c r="F96" s="203"/>
      <c r="G96" s="203"/>
      <c r="H96" s="203"/>
      <c r="I96" s="119"/>
      <c r="J96" s="117"/>
      <c r="K96" s="117"/>
      <c r="L96" s="113"/>
      <c r="M96" s="113"/>
      <c r="P96" s="282" t="str">
        <f t="shared" si="6"/>
        <v/>
      </c>
      <c r="Q96" s="232" t="str">
        <f t="shared" si="7"/>
        <v/>
      </c>
      <c r="R96" s="233" t="str">
        <f t="shared" si="8"/>
        <v/>
      </c>
      <c r="S96" s="234" t="str">
        <f t="shared" si="5"/>
        <v/>
      </c>
      <c r="T96" s="283" t="str">
        <f>IF(C96=0,"",SUM($S$4:S96)*365)</f>
        <v/>
      </c>
    </row>
    <row r="97" spans="1:20" ht="15.75" x14ac:dyDescent="0.25">
      <c r="A97" s="176">
        <v>92.953090000000103</v>
      </c>
      <c r="B97" s="173">
        <v>74877</v>
      </c>
      <c r="C97" s="203"/>
      <c r="D97" s="203"/>
      <c r="E97" s="203"/>
      <c r="F97" s="203"/>
      <c r="G97" s="203"/>
      <c r="H97" s="203"/>
      <c r="I97" s="119"/>
      <c r="J97" s="117"/>
      <c r="K97" s="117"/>
      <c r="L97" s="113"/>
      <c r="M97" s="113"/>
      <c r="P97" s="282" t="str">
        <f t="shared" si="6"/>
        <v/>
      </c>
      <c r="Q97" s="232" t="str">
        <f t="shared" si="7"/>
        <v/>
      </c>
      <c r="R97" s="233" t="str">
        <f t="shared" si="8"/>
        <v/>
      </c>
      <c r="S97" s="234" t="str">
        <f t="shared" si="5"/>
        <v/>
      </c>
      <c r="T97" s="283" t="str">
        <f>IF(C97=0,"",SUM($S$4:S97)*365)</f>
        <v/>
      </c>
    </row>
    <row r="98" spans="1:20" ht="15.75" x14ac:dyDescent="0.25">
      <c r="A98" s="176">
        <v>93.9524100000001</v>
      </c>
      <c r="B98" s="173">
        <v>75242</v>
      </c>
      <c r="C98" s="203"/>
      <c r="D98" s="203"/>
      <c r="E98" s="203"/>
      <c r="F98" s="203"/>
      <c r="G98" s="203"/>
      <c r="H98" s="203"/>
      <c r="I98" s="119"/>
      <c r="J98" s="117"/>
      <c r="K98" s="117"/>
      <c r="L98" s="113"/>
      <c r="M98" s="113"/>
      <c r="P98" s="282" t="str">
        <f t="shared" si="6"/>
        <v/>
      </c>
      <c r="Q98" s="232" t="str">
        <f t="shared" si="7"/>
        <v/>
      </c>
      <c r="R98" s="233" t="str">
        <f t="shared" si="8"/>
        <v/>
      </c>
      <c r="S98" s="234" t="str">
        <f t="shared" si="5"/>
        <v/>
      </c>
      <c r="T98" s="283" t="str">
        <f>IF(C98=0,"",SUM($S$4:S98)*365)</f>
        <v/>
      </c>
    </row>
    <row r="99" spans="1:20" ht="15.75" x14ac:dyDescent="0.25">
      <c r="A99" s="176">
        <v>94.951730000000097</v>
      </c>
      <c r="B99" s="173">
        <v>75607</v>
      </c>
      <c r="C99" s="203"/>
      <c r="D99" s="203"/>
      <c r="E99" s="203"/>
      <c r="F99" s="203"/>
      <c r="G99" s="203"/>
      <c r="H99" s="203"/>
      <c r="I99" s="119"/>
      <c r="J99" s="117"/>
      <c r="K99" s="117"/>
      <c r="L99" s="113"/>
      <c r="M99" s="113"/>
      <c r="P99" s="282" t="str">
        <f t="shared" si="6"/>
        <v/>
      </c>
      <c r="Q99" s="232" t="str">
        <f t="shared" si="7"/>
        <v/>
      </c>
      <c r="R99" s="233" t="str">
        <f t="shared" si="8"/>
        <v/>
      </c>
      <c r="S99" s="234" t="str">
        <f t="shared" si="5"/>
        <v/>
      </c>
      <c r="T99" s="283" t="str">
        <f>IF(C99=0,"",SUM($S$4:S99)*365)</f>
        <v/>
      </c>
    </row>
    <row r="100" spans="1:20" ht="15.75" x14ac:dyDescent="0.25">
      <c r="A100" s="176">
        <v>95.951050000000095</v>
      </c>
      <c r="B100" s="173">
        <v>75972</v>
      </c>
      <c r="C100" s="203"/>
      <c r="D100" s="203"/>
      <c r="E100" s="203"/>
      <c r="F100" s="203"/>
      <c r="G100" s="203"/>
      <c r="H100" s="203"/>
      <c r="I100" s="119"/>
      <c r="J100" s="117"/>
      <c r="K100" s="117"/>
      <c r="L100" s="113"/>
      <c r="M100" s="113"/>
      <c r="P100" s="282" t="str">
        <f t="shared" si="6"/>
        <v/>
      </c>
      <c r="Q100" s="232" t="str">
        <f t="shared" si="7"/>
        <v/>
      </c>
      <c r="R100" s="233" t="str">
        <f t="shared" si="8"/>
        <v/>
      </c>
      <c r="S100" s="234" t="str">
        <f t="shared" si="5"/>
        <v/>
      </c>
      <c r="T100" s="283" t="str">
        <f>IF(C100=0,"",SUM($S$4:S100)*365)</f>
        <v/>
      </c>
    </row>
    <row r="101" spans="1:20" ht="15.75" x14ac:dyDescent="0.25">
      <c r="A101" s="176">
        <v>96.950370000000106</v>
      </c>
      <c r="B101" s="173">
        <v>76338</v>
      </c>
      <c r="C101" s="203"/>
      <c r="D101" s="203"/>
      <c r="E101" s="203"/>
      <c r="F101" s="203"/>
      <c r="G101" s="203"/>
      <c r="H101" s="203"/>
      <c r="I101" s="119"/>
      <c r="J101" s="117"/>
      <c r="K101" s="117"/>
      <c r="L101" s="113"/>
      <c r="M101" s="113"/>
      <c r="P101" s="282" t="str">
        <f t="shared" si="6"/>
        <v/>
      </c>
      <c r="Q101" s="232" t="str">
        <f t="shared" si="7"/>
        <v/>
      </c>
      <c r="R101" s="233" t="str">
        <f t="shared" si="8"/>
        <v/>
      </c>
      <c r="S101" s="234" t="str">
        <f t="shared" ref="S101:S132" si="9">IF(C101=0,"",OCF*FPF*(C101+D101/10)/P101)</f>
        <v/>
      </c>
      <c r="T101" s="283" t="str">
        <f>IF(C101=0,"",SUM($S$4:S101)*365)</f>
        <v/>
      </c>
    </row>
    <row r="102" spans="1:20" ht="15.75" x14ac:dyDescent="0.25">
      <c r="A102" s="176">
        <v>97.949690000000103</v>
      </c>
      <c r="B102" s="173">
        <v>76703</v>
      </c>
      <c r="C102" s="203"/>
      <c r="D102" s="203"/>
      <c r="E102" s="203"/>
      <c r="F102" s="203"/>
      <c r="G102" s="203"/>
      <c r="H102" s="203"/>
      <c r="I102" s="119"/>
      <c r="J102" s="117"/>
      <c r="K102" s="117"/>
      <c r="L102" s="113"/>
      <c r="M102" s="113"/>
      <c r="P102" s="282" t="str">
        <f t="shared" si="6"/>
        <v/>
      </c>
      <c r="Q102" s="232" t="str">
        <f t="shared" si="7"/>
        <v/>
      </c>
      <c r="R102" s="233" t="str">
        <f t="shared" si="8"/>
        <v/>
      </c>
      <c r="S102" s="234" t="str">
        <f t="shared" si="9"/>
        <v/>
      </c>
      <c r="T102" s="283" t="str">
        <f>IF(C102=0,"",SUM($S$4:S102)*365)</f>
        <v/>
      </c>
    </row>
    <row r="103" spans="1:20" ht="15.75" x14ac:dyDescent="0.25">
      <c r="A103" s="176">
        <v>98.949010000000101</v>
      </c>
      <c r="B103" s="173">
        <v>77068</v>
      </c>
      <c r="C103" s="203"/>
      <c r="D103" s="203"/>
      <c r="E103" s="203"/>
      <c r="F103" s="203"/>
      <c r="G103" s="203"/>
      <c r="H103" s="203"/>
      <c r="I103" s="119"/>
      <c r="J103" s="117"/>
      <c r="K103" s="117"/>
      <c r="L103" s="113"/>
      <c r="M103" s="113"/>
      <c r="P103" s="282" t="str">
        <f t="shared" si="6"/>
        <v/>
      </c>
      <c r="Q103" s="232" t="str">
        <f t="shared" si="7"/>
        <v/>
      </c>
      <c r="R103" s="233" t="str">
        <f t="shared" si="8"/>
        <v/>
      </c>
      <c r="S103" s="234" t="str">
        <f t="shared" si="9"/>
        <v/>
      </c>
      <c r="T103" s="283" t="str">
        <f>IF(C103=0,"",SUM($S$4:S103)*365)</f>
        <v/>
      </c>
    </row>
    <row r="104" spans="1:20" ht="15.75" x14ac:dyDescent="0.25">
      <c r="A104" s="176">
        <v>99.948330000000098</v>
      </c>
      <c r="B104" s="173">
        <v>77433</v>
      </c>
      <c r="C104" s="203"/>
      <c r="D104" s="203"/>
      <c r="E104" s="203"/>
      <c r="F104" s="203"/>
      <c r="G104" s="203"/>
      <c r="H104" s="203"/>
      <c r="I104" s="119"/>
      <c r="J104" s="118"/>
      <c r="K104" s="118"/>
      <c r="L104" s="113"/>
      <c r="M104" s="113"/>
      <c r="P104" s="282" t="str">
        <f t="shared" si="6"/>
        <v/>
      </c>
      <c r="Q104" s="232" t="str">
        <f t="shared" si="7"/>
        <v/>
      </c>
      <c r="R104" s="233" t="str">
        <f t="shared" si="8"/>
        <v/>
      </c>
      <c r="S104" s="234" t="str">
        <f t="shared" si="9"/>
        <v/>
      </c>
      <c r="T104" s="283" t="str">
        <f>IF(C104=0,"",SUM($S$4:S104)*365)</f>
        <v/>
      </c>
    </row>
    <row r="105" spans="1:20" ht="15.75" x14ac:dyDescent="0.25">
      <c r="A105" s="176">
        <v>100.94833</v>
      </c>
      <c r="B105" s="173">
        <v>77799</v>
      </c>
      <c r="C105" s="203"/>
      <c r="D105" s="203"/>
      <c r="E105" s="203"/>
      <c r="F105" s="203"/>
      <c r="G105" s="203"/>
      <c r="H105" s="203"/>
      <c r="P105" s="282" t="str">
        <f t="shared" si="6"/>
        <v/>
      </c>
      <c r="Q105" s="232" t="str">
        <f t="shared" si="7"/>
        <v/>
      </c>
      <c r="R105" s="233" t="str">
        <f t="shared" si="8"/>
        <v/>
      </c>
      <c r="S105" s="234" t="str">
        <f t="shared" si="9"/>
        <v/>
      </c>
      <c r="T105" s="283" t="str">
        <f>IF(C105=0,"",SUM($S$4:S105)*365)</f>
        <v/>
      </c>
    </row>
    <row r="106" spans="1:20" ht="15.75" x14ac:dyDescent="0.25">
      <c r="A106" s="176">
        <v>101.94833</v>
      </c>
      <c r="B106" s="173">
        <v>78164</v>
      </c>
      <c r="C106" s="203"/>
      <c r="D106" s="203"/>
      <c r="E106" s="203"/>
      <c r="F106" s="203"/>
      <c r="G106" s="203"/>
      <c r="H106" s="203"/>
      <c r="P106" s="282" t="str">
        <f t="shared" si="6"/>
        <v/>
      </c>
      <c r="Q106" s="232" t="str">
        <f t="shared" si="7"/>
        <v/>
      </c>
      <c r="R106" s="233" t="str">
        <f t="shared" si="8"/>
        <v/>
      </c>
      <c r="S106" s="234" t="str">
        <f t="shared" si="9"/>
        <v/>
      </c>
      <c r="T106" s="283" t="str">
        <f>IF(C106=0,"",SUM($S$4:S106)*365)</f>
        <v/>
      </c>
    </row>
    <row r="107" spans="1:20" ht="15.75" x14ac:dyDescent="0.25">
      <c r="A107" s="176">
        <v>102.94833</v>
      </c>
      <c r="B107" s="173">
        <v>78529</v>
      </c>
      <c r="C107" s="203"/>
      <c r="D107" s="203"/>
      <c r="E107" s="203"/>
      <c r="F107" s="203"/>
      <c r="G107" s="203"/>
      <c r="H107" s="203"/>
      <c r="P107" s="282" t="str">
        <f t="shared" si="6"/>
        <v/>
      </c>
      <c r="Q107" s="232" t="str">
        <f t="shared" si="7"/>
        <v/>
      </c>
      <c r="R107" s="233" t="str">
        <f t="shared" si="8"/>
        <v/>
      </c>
      <c r="S107" s="234" t="str">
        <f t="shared" si="9"/>
        <v/>
      </c>
      <c r="T107" s="283" t="str">
        <f>IF(C107=0,"",SUM($S$4:S107)*365)</f>
        <v/>
      </c>
    </row>
    <row r="108" spans="1:20" ht="15.75" x14ac:dyDescent="0.25">
      <c r="A108" s="176">
        <v>103.94833</v>
      </c>
      <c r="B108" s="173">
        <v>78894</v>
      </c>
      <c r="C108" s="203"/>
      <c r="D108" s="203"/>
      <c r="E108" s="203"/>
      <c r="F108" s="203"/>
      <c r="G108" s="203"/>
      <c r="H108" s="203"/>
      <c r="P108" s="282" t="str">
        <f t="shared" si="6"/>
        <v/>
      </c>
      <c r="Q108" s="232" t="str">
        <f t="shared" si="7"/>
        <v/>
      </c>
      <c r="R108" s="233" t="str">
        <f t="shared" si="8"/>
        <v/>
      </c>
      <c r="S108" s="234" t="str">
        <f t="shared" si="9"/>
        <v/>
      </c>
      <c r="T108" s="283" t="str">
        <f>IF(C108=0,"",SUM($S$4:S108)*365)</f>
        <v/>
      </c>
    </row>
    <row r="109" spans="1:20" ht="15.75" x14ac:dyDescent="0.25">
      <c r="A109" s="176">
        <v>104.94833</v>
      </c>
      <c r="B109" s="173">
        <v>79260</v>
      </c>
      <c r="C109" s="203"/>
      <c r="D109" s="203"/>
      <c r="E109" s="203"/>
      <c r="F109" s="203"/>
      <c r="G109" s="203"/>
      <c r="H109" s="203"/>
      <c r="P109" s="282" t="str">
        <f t="shared" si="6"/>
        <v/>
      </c>
      <c r="Q109" s="232" t="str">
        <f t="shared" si="7"/>
        <v/>
      </c>
      <c r="R109" s="233" t="str">
        <f t="shared" si="8"/>
        <v/>
      </c>
      <c r="S109" s="234" t="str">
        <f t="shared" si="9"/>
        <v/>
      </c>
      <c r="T109" s="283" t="str">
        <f>IF(C109=0,"",SUM($S$4:S109)*365)</f>
        <v/>
      </c>
    </row>
    <row r="110" spans="1:20" ht="15.75" x14ac:dyDescent="0.25">
      <c r="A110" s="176">
        <v>105.94833</v>
      </c>
      <c r="B110" s="173">
        <v>79625</v>
      </c>
      <c r="C110" s="203"/>
      <c r="D110" s="203"/>
      <c r="E110" s="203"/>
      <c r="F110" s="203"/>
      <c r="G110" s="203"/>
      <c r="H110" s="203"/>
      <c r="P110" s="282" t="str">
        <f t="shared" si="6"/>
        <v/>
      </c>
      <c r="Q110" s="232" t="str">
        <f t="shared" si="7"/>
        <v/>
      </c>
      <c r="R110" s="233" t="str">
        <f t="shared" si="8"/>
        <v/>
      </c>
      <c r="S110" s="234" t="str">
        <f t="shared" si="9"/>
        <v/>
      </c>
      <c r="T110" s="283" t="str">
        <f>IF(C110=0,"",SUM($S$4:S110)*365)</f>
        <v/>
      </c>
    </row>
    <row r="111" spans="1:20" ht="15.75" x14ac:dyDescent="0.25">
      <c r="A111" s="176">
        <v>106.94833</v>
      </c>
      <c r="B111" s="173">
        <v>79990</v>
      </c>
      <c r="C111" s="203"/>
      <c r="D111" s="203"/>
      <c r="E111" s="203"/>
      <c r="F111" s="203"/>
      <c r="G111" s="203"/>
      <c r="H111" s="203"/>
      <c r="P111" s="282" t="str">
        <f t="shared" si="6"/>
        <v/>
      </c>
      <c r="Q111" s="232" t="str">
        <f t="shared" si="7"/>
        <v/>
      </c>
      <c r="R111" s="233" t="str">
        <f t="shared" si="8"/>
        <v/>
      </c>
      <c r="S111" s="234" t="str">
        <f t="shared" si="9"/>
        <v/>
      </c>
      <c r="T111" s="283" t="str">
        <f>IF(C111=0,"",SUM($S$4:S111)*365)</f>
        <v/>
      </c>
    </row>
    <row r="112" spans="1:20" ht="15.75" x14ac:dyDescent="0.25">
      <c r="A112" s="176">
        <v>107.94833</v>
      </c>
      <c r="B112" s="173">
        <v>80355</v>
      </c>
      <c r="C112" s="203"/>
      <c r="D112" s="203"/>
      <c r="E112" s="203"/>
      <c r="F112" s="203"/>
      <c r="G112" s="203"/>
      <c r="H112" s="203"/>
      <c r="P112" s="282" t="str">
        <f t="shared" si="6"/>
        <v/>
      </c>
      <c r="Q112" s="232" t="str">
        <f t="shared" si="7"/>
        <v/>
      </c>
      <c r="R112" s="233" t="str">
        <f t="shared" si="8"/>
        <v/>
      </c>
      <c r="S112" s="234" t="str">
        <f t="shared" si="9"/>
        <v/>
      </c>
      <c r="T112" s="283" t="str">
        <f>IF(C112=0,"",SUM($S$4:S112)*365)</f>
        <v/>
      </c>
    </row>
    <row r="113" spans="1:20" ht="15.75" x14ac:dyDescent="0.25">
      <c r="A113" s="176">
        <v>108.94833</v>
      </c>
      <c r="B113" s="173">
        <v>80721</v>
      </c>
      <c r="C113" s="203"/>
      <c r="D113" s="203"/>
      <c r="E113" s="203"/>
      <c r="F113" s="203"/>
      <c r="G113" s="203"/>
      <c r="H113" s="203"/>
      <c r="P113" s="282" t="str">
        <f t="shared" si="6"/>
        <v/>
      </c>
      <c r="Q113" s="232" t="str">
        <f t="shared" si="7"/>
        <v/>
      </c>
      <c r="R113" s="233" t="str">
        <f t="shared" si="8"/>
        <v/>
      </c>
      <c r="S113" s="234" t="str">
        <f t="shared" si="9"/>
        <v/>
      </c>
      <c r="T113" s="283" t="str">
        <f>IF(C113=0,"",SUM($S$4:S113)*365)</f>
        <v/>
      </c>
    </row>
    <row r="114" spans="1:20" ht="15.75" x14ac:dyDescent="0.25">
      <c r="A114" s="176">
        <v>109.94833</v>
      </c>
      <c r="B114" s="173">
        <v>81086</v>
      </c>
      <c r="C114" s="203"/>
      <c r="D114" s="203"/>
      <c r="E114" s="203"/>
      <c r="F114" s="203"/>
      <c r="G114" s="203"/>
      <c r="H114" s="203"/>
      <c r="P114" s="282" t="str">
        <f t="shared" si="6"/>
        <v/>
      </c>
      <c r="Q114" s="232" t="str">
        <f t="shared" si="7"/>
        <v/>
      </c>
      <c r="R114" s="233" t="str">
        <f t="shared" si="8"/>
        <v/>
      </c>
      <c r="S114" s="234" t="str">
        <f t="shared" si="9"/>
        <v/>
      </c>
      <c r="T114" s="283" t="str">
        <f>IF(C114=0,"",SUM($S$4:S114)*365)</f>
        <v/>
      </c>
    </row>
    <row r="115" spans="1:20" ht="15.75" x14ac:dyDescent="0.25">
      <c r="A115" s="176">
        <v>110.94833</v>
      </c>
      <c r="B115" s="173">
        <v>81451</v>
      </c>
      <c r="C115" s="203"/>
      <c r="D115" s="203"/>
      <c r="E115" s="203"/>
      <c r="F115" s="203"/>
      <c r="G115" s="203"/>
      <c r="H115" s="203"/>
      <c r="P115" s="282" t="str">
        <f t="shared" si="6"/>
        <v/>
      </c>
      <c r="Q115" s="232" t="str">
        <f t="shared" si="7"/>
        <v/>
      </c>
      <c r="R115" s="233" t="str">
        <f t="shared" si="8"/>
        <v/>
      </c>
      <c r="S115" s="234" t="str">
        <f t="shared" si="9"/>
        <v/>
      </c>
      <c r="T115" s="283" t="str">
        <f>IF(C115=0,"",SUM($S$4:S115)*365)</f>
        <v/>
      </c>
    </row>
    <row r="116" spans="1:20" ht="15.75" x14ac:dyDescent="0.25">
      <c r="A116" s="176">
        <v>111.94833</v>
      </c>
      <c r="B116" s="173">
        <v>81816</v>
      </c>
      <c r="C116" s="203"/>
      <c r="D116" s="203"/>
      <c r="E116" s="203"/>
      <c r="F116" s="203"/>
      <c r="G116" s="203"/>
      <c r="H116" s="203"/>
      <c r="P116" s="282" t="str">
        <f t="shared" si="6"/>
        <v/>
      </c>
      <c r="Q116" s="232" t="str">
        <f t="shared" si="7"/>
        <v/>
      </c>
      <c r="R116" s="233" t="str">
        <f t="shared" si="8"/>
        <v/>
      </c>
      <c r="S116" s="234" t="str">
        <f t="shared" si="9"/>
        <v/>
      </c>
      <c r="T116" s="283" t="str">
        <f>IF(C116=0,"",SUM($S$4:S116)*365)</f>
        <v/>
      </c>
    </row>
    <row r="117" spans="1:20" ht="15.75" x14ac:dyDescent="0.25">
      <c r="A117" s="176">
        <v>112.94833</v>
      </c>
      <c r="B117" s="173">
        <v>82182</v>
      </c>
      <c r="C117" s="203"/>
      <c r="D117" s="203"/>
      <c r="E117" s="203"/>
      <c r="F117" s="203"/>
      <c r="G117" s="203"/>
      <c r="H117" s="203"/>
      <c r="P117" s="282" t="str">
        <f t="shared" si="6"/>
        <v/>
      </c>
      <c r="Q117" s="232" t="str">
        <f t="shared" si="7"/>
        <v/>
      </c>
      <c r="R117" s="233" t="str">
        <f t="shared" si="8"/>
        <v/>
      </c>
      <c r="S117" s="234" t="str">
        <f t="shared" si="9"/>
        <v/>
      </c>
      <c r="T117" s="283" t="str">
        <f>IF(C117=0,"",SUM($S$4:S117)*365)</f>
        <v/>
      </c>
    </row>
    <row r="118" spans="1:20" ht="15.75" x14ac:dyDescent="0.25">
      <c r="A118" s="176">
        <v>113.94833</v>
      </c>
      <c r="B118" s="173">
        <v>82547</v>
      </c>
      <c r="C118" s="203"/>
      <c r="D118" s="203"/>
      <c r="E118" s="203"/>
      <c r="F118" s="203"/>
      <c r="G118" s="203"/>
      <c r="H118" s="203"/>
      <c r="P118" s="282" t="str">
        <f t="shared" si="6"/>
        <v/>
      </c>
      <c r="Q118" s="232" t="str">
        <f t="shared" si="7"/>
        <v/>
      </c>
      <c r="R118" s="233" t="str">
        <f t="shared" si="8"/>
        <v/>
      </c>
      <c r="S118" s="234" t="str">
        <f t="shared" si="9"/>
        <v/>
      </c>
      <c r="T118" s="283" t="str">
        <f>IF(C118=0,"",SUM($S$4:S118)*365)</f>
        <v/>
      </c>
    </row>
    <row r="119" spans="1:20" ht="15.75" x14ac:dyDescent="0.25">
      <c r="A119" s="176">
        <v>114.94833</v>
      </c>
      <c r="B119" s="173">
        <v>82912</v>
      </c>
      <c r="C119" s="203"/>
      <c r="D119" s="203"/>
      <c r="E119" s="203"/>
      <c r="F119" s="203"/>
      <c r="G119" s="203"/>
      <c r="H119" s="203"/>
      <c r="P119" s="282" t="str">
        <f t="shared" si="6"/>
        <v/>
      </c>
      <c r="Q119" s="232" t="str">
        <f t="shared" si="7"/>
        <v/>
      </c>
      <c r="R119" s="233" t="str">
        <f t="shared" si="8"/>
        <v/>
      </c>
      <c r="S119" s="234" t="str">
        <f t="shared" si="9"/>
        <v/>
      </c>
      <c r="T119" s="283" t="str">
        <f>IF(C119=0,"",SUM($S$4:S119)*365)</f>
        <v/>
      </c>
    </row>
    <row r="120" spans="1:20" ht="15.75" x14ac:dyDescent="0.25">
      <c r="A120" s="176">
        <v>115.94833</v>
      </c>
      <c r="B120" s="173">
        <v>83277</v>
      </c>
      <c r="C120" s="203"/>
      <c r="D120" s="203"/>
      <c r="E120" s="203"/>
      <c r="F120" s="203"/>
      <c r="G120" s="203"/>
      <c r="H120" s="203"/>
      <c r="P120" s="282" t="str">
        <f t="shared" si="6"/>
        <v/>
      </c>
      <c r="Q120" s="232" t="str">
        <f t="shared" si="7"/>
        <v/>
      </c>
      <c r="R120" s="233" t="str">
        <f t="shared" si="8"/>
        <v/>
      </c>
      <c r="S120" s="234" t="str">
        <f t="shared" si="9"/>
        <v/>
      </c>
      <c r="T120" s="283" t="str">
        <f>IF(C120=0,"",SUM($S$4:S120)*365)</f>
        <v/>
      </c>
    </row>
    <row r="121" spans="1:20" ht="15.75" x14ac:dyDescent="0.25">
      <c r="A121" s="176">
        <v>116.94833</v>
      </c>
      <c r="B121" s="173">
        <v>83643</v>
      </c>
      <c r="C121" s="203"/>
      <c r="D121" s="203"/>
      <c r="E121" s="203"/>
      <c r="F121" s="203"/>
      <c r="G121" s="203"/>
      <c r="H121" s="203"/>
      <c r="P121" s="282" t="str">
        <f t="shared" si="6"/>
        <v/>
      </c>
      <c r="Q121" s="232" t="str">
        <f t="shared" si="7"/>
        <v/>
      </c>
      <c r="R121" s="233" t="str">
        <f t="shared" si="8"/>
        <v/>
      </c>
      <c r="S121" s="234" t="str">
        <f t="shared" si="9"/>
        <v/>
      </c>
      <c r="T121" s="283" t="str">
        <f>IF(C121=0,"",SUM($S$4:S121)*365)</f>
        <v/>
      </c>
    </row>
    <row r="122" spans="1:20" ht="15.75" x14ac:dyDescent="0.25">
      <c r="A122" s="176">
        <v>117.94833</v>
      </c>
      <c r="B122" s="173">
        <v>84008</v>
      </c>
      <c r="C122" s="203"/>
      <c r="D122" s="203"/>
      <c r="E122" s="203"/>
      <c r="F122" s="203"/>
      <c r="G122" s="203"/>
      <c r="H122" s="203"/>
      <c r="P122" s="282" t="str">
        <f t="shared" si="6"/>
        <v/>
      </c>
      <c r="Q122" s="232" t="str">
        <f t="shared" si="7"/>
        <v/>
      </c>
      <c r="R122" s="233" t="str">
        <f t="shared" si="8"/>
        <v/>
      </c>
      <c r="S122" s="234" t="str">
        <f t="shared" si="9"/>
        <v/>
      </c>
      <c r="T122" s="283" t="str">
        <f>IF(C122=0,"",SUM($S$4:S122)*365)</f>
        <v/>
      </c>
    </row>
    <row r="123" spans="1:20" ht="15.75" x14ac:dyDescent="0.25">
      <c r="A123" s="176">
        <v>118.94833</v>
      </c>
      <c r="B123" s="173">
        <v>84373</v>
      </c>
      <c r="C123" s="203"/>
      <c r="D123" s="203"/>
      <c r="E123" s="203"/>
      <c r="F123" s="203"/>
      <c r="G123" s="203"/>
      <c r="H123" s="203"/>
      <c r="P123" s="282" t="str">
        <f t="shared" si="6"/>
        <v/>
      </c>
      <c r="Q123" s="232" t="str">
        <f t="shared" si="7"/>
        <v/>
      </c>
      <c r="R123" s="233" t="str">
        <f t="shared" si="8"/>
        <v/>
      </c>
      <c r="S123" s="234" t="str">
        <f t="shared" si="9"/>
        <v/>
      </c>
      <c r="T123" s="283" t="str">
        <f>IF(C123=0,"",SUM($S$4:S123)*365)</f>
        <v/>
      </c>
    </row>
    <row r="124" spans="1:20" ht="15.75" x14ac:dyDescent="0.25">
      <c r="A124" s="176">
        <v>119.94833</v>
      </c>
      <c r="B124" s="173">
        <v>84738</v>
      </c>
      <c r="C124" s="203"/>
      <c r="D124" s="203"/>
      <c r="E124" s="203"/>
      <c r="F124" s="203"/>
      <c r="G124" s="203"/>
      <c r="H124" s="203"/>
      <c r="P124" s="282" t="str">
        <f t="shared" si="6"/>
        <v/>
      </c>
      <c r="Q124" s="232" t="str">
        <f t="shared" si="7"/>
        <v/>
      </c>
      <c r="R124" s="233" t="str">
        <f t="shared" si="8"/>
        <v/>
      </c>
      <c r="S124" s="234" t="str">
        <f t="shared" si="9"/>
        <v/>
      </c>
      <c r="T124" s="283" t="str">
        <f>IF(C124=0,"",SUM($S$4:S124)*365)</f>
        <v/>
      </c>
    </row>
    <row r="125" spans="1:20" ht="15.75" x14ac:dyDescent="0.25">
      <c r="A125" s="176">
        <v>120.94833</v>
      </c>
      <c r="B125" s="173">
        <v>85104</v>
      </c>
      <c r="C125" s="203"/>
      <c r="D125" s="203"/>
      <c r="E125" s="203"/>
      <c r="F125" s="203"/>
      <c r="G125" s="203"/>
      <c r="H125" s="203"/>
      <c r="P125" s="282" t="str">
        <f t="shared" si="6"/>
        <v/>
      </c>
      <c r="Q125" s="232" t="str">
        <f t="shared" si="7"/>
        <v/>
      </c>
      <c r="R125" s="233" t="str">
        <f t="shared" si="8"/>
        <v/>
      </c>
      <c r="S125" s="234" t="str">
        <f t="shared" si="9"/>
        <v/>
      </c>
      <c r="T125" s="283" t="str">
        <f>IF(C125=0,"",SUM($S$4:S125)*365)</f>
        <v/>
      </c>
    </row>
    <row r="126" spans="1:20" ht="15.75" x14ac:dyDescent="0.25">
      <c r="A126" s="176">
        <v>121.94833</v>
      </c>
      <c r="B126" s="173">
        <v>85469</v>
      </c>
      <c r="C126" s="203"/>
      <c r="D126" s="203"/>
      <c r="E126" s="203"/>
      <c r="F126" s="203"/>
      <c r="G126" s="203"/>
      <c r="H126" s="203"/>
      <c r="P126" s="282" t="str">
        <f t="shared" si="6"/>
        <v/>
      </c>
      <c r="Q126" s="232" t="str">
        <f t="shared" si="7"/>
        <v/>
      </c>
      <c r="R126" s="233" t="str">
        <f t="shared" si="8"/>
        <v/>
      </c>
      <c r="S126" s="234" t="str">
        <f t="shared" si="9"/>
        <v/>
      </c>
      <c r="T126" s="283" t="str">
        <f>IF(C126=0,"",SUM($S$4:S126)*365)</f>
        <v/>
      </c>
    </row>
    <row r="127" spans="1:20" ht="15.75" x14ac:dyDescent="0.25">
      <c r="A127" s="176">
        <v>122.94833</v>
      </c>
      <c r="B127" s="173">
        <v>85834</v>
      </c>
      <c r="C127" s="203"/>
      <c r="D127" s="203"/>
      <c r="E127" s="203"/>
      <c r="F127" s="203"/>
      <c r="G127" s="203"/>
      <c r="H127" s="203"/>
      <c r="P127" s="282" t="str">
        <f t="shared" si="6"/>
        <v/>
      </c>
      <c r="Q127" s="232" t="str">
        <f t="shared" si="7"/>
        <v/>
      </c>
      <c r="R127" s="233" t="str">
        <f t="shared" si="8"/>
        <v/>
      </c>
      <c r="S127" s="234" t="str">
        <f t="shared" si="9"/>
        <v/>
      </c>
      <c r="T127" s="283" t="str">
        <f>IF(C127=0,"",SUM($S$4:S127)*365)</f>
        <v/>
      </c>
    </row>
    <row r="128" spans="1:20" ht="15.75" x14ac:dyDescent="0.25">
      <c r="A128" s="176">
        <v>123.94833</v>
      </c>
      <c r="B128" s="173">
        <v>86199</v>
      </c>
      <c r="C128" s="203"/>
      <c r="D128" s="203"/>
      <c r="E128" s="203"/>
      <c r="F128" s="203"/>
      <c r="G128" s="203"/>
      <c r="H128" s="203"/>
      <c r="P128" s="282" t="str">
        <f t="shared" si="6"/>
        <v/>
      </c>
      <c r="Q128" s="232" t="str">
        <f t="shared" si="7"/>
        <v/>
      </c>
      <c r="R128" s="233" t="str">
        <f t="shared" si="8"/>
        <v/>
      </c>
      <c r="S128" s="234" t="str">
        <f t="shared" si="9"/>
        <v/>
      </c>
      <c r="T128" s="283" t="str">
        <f>IF(C128=0,"",SUM($S$4:S128)*365)</f>
        <v/>
      </c>
    </row>
    <row r="129" spans="1:20" ht="15.75" x14ac:dyDescent="0.25">
      <c r="A129" s="176">
        <v>124.94833</v>
      </c>
      <c r="B129" s="173">
        <v>86565</v>
      </c>
      <c r="C129" s="203"/>
      <c r="D129" s="203"/>
      <c r="E129" s="203"/>
      <c r="F129" s="203"/>
      <c r="G129" s="203"/>
      <c r="H129" s="203"/>
      <c r="P129" s="282" t="str">
        <f t="shared" si="6"/>
        <v/>
      </c>
      <c r="Q129" s="232" t="str">
        <f t="shared" si="7"/>
        <v/>
      </c>
      <c r="R129" s="233" t="str">
        <f t="shared" si="8"/>
        <v/>
      </c>
      <c r="S129" s="234" t="str">
        <f t="shared" si="9"/>
        <v/>
      </c>
      <c r="T129" s="283" t="str">
        <f>IF(C129=0,"",SUM($S$4:S129)*365)</f>
        <v/>
      </c>
    </row>
    <row r="130" spans="1:20" ht="15.75" x14ac:dyDescent="0.25">
      <c r="A130" s="176">
        <v>125.94833</v>
      </c>
      <c r="B130" s="173">
        <v>86930</v>
      </c>
      <c r="C130" s="203"/>
      <c r="D130" s="203"/>
      <c r="E130" s="203"/>
      <c r="F130" s="203"/>
      <c r="G130" s="203"/>
      <c r="H130" s="203"/>
      <c r="P130" s="282" t="str">
        <f t="shared" si="6"/>
        <v/>
      </c>
      <c r="Q130" s="232" t="str">
        <f t="shared" si="7"/>
        <v/>
      </c>
      <c r="R130" s="233" t="str">
        <f t="shared" si="8"/>
        <v/>
      </c>
      <c r="S130" s="234" t="str">
        <f t="shared" si="9"/>
        <v/>
      </c>
      <c r="T130" s="283" t="str">
        <f>IF(C130=0,"",SUM($S$4:S130)*365)</f>
        <v/>
      </c>
    </row>
    <row r="131" spans="1:20" ht="15.75" x14ac:dyDescent="0.25">
      <c r="A131" s="176">
        <v>126.94833</v>
      </c>
      <c r="B131" s="173">
        <v>87295</v>
      </c>
      <c r="C131" s="203"/>
      <c r="D131" s="203"/>
      <c r="E131" s="203"/>
      <c r="F131" s="203"/>
      <c r="G131" s="203"/>
      <c r="H131" s="203"/>
      <c r="P131" s="282" t="str">
        <f t="shared" si="6"/>
        <v/>
      </c>
      <c r="Q131" s="232" t="str">
        <f t="shared" si="7"/>
        <v/>
      </c>
      <c r="R131" s="233" t="str">
        <f t="shared" si="8"/>
        <v/>
      </c>
      <c r="S131" s="234" t="str">
        <f t="shared" si="9"/>
        <v/>
      </c>
      <c r="T131" s="283" t="str">
        <f>IF(C131=0,"",SUM($S$4:S131)*365)</f>
        <v/>
      </c>
    </row>
    <row r="132" spans="1:20" ht="15.75" x14ac:dyDescent="0.25">
      <c r="A132" s="176">
        <v>127.94833</v>
      </c>
      <c r="B132" s="173">
        <v>87660</v>
      </c>
      <c r="C132" s="203"/>
      <c r="D132" s="203"/>
      <c r="E132" s="203"/>
      <c r="F132" s="203"/>
      <c r="G132" s="203"/>
      <c r="H132" s="203"/>
      <c r="P132" s="282" t="str">
        <f t="shared" si="6"/>
        <v/>
      </c>
      <c r="Q132" s="232" t="str">
        <f t="shared" si="7"/>
        <v/>
      </c>
      <c r="R132" s="233" t="str">
        <f t="shared" si="8"/>
        <v/>
      </c>
      <c r="S132" s="234" t="str">
        <f t="shared" si="9"/>
        <v/>
      </c>
      <c r="T132" s="283" t="str">
        <f>IF(C132=0,"",SUM($S$4:S132)*365)</f>
        <v/>
      </c>
    </row>
    <row r="133" spans="1:20" ht="15.75" x14ac:dyDescent="0.25">
      <c r="A133" s="176">
        <v>128.94833</v>
      </c>
      <c r="B133" s="173">
        <v>88026</v>
      </c>
      <c r="C133" s="203"/>
      <c r="D133" s="203"/>
      <c r="E133" s="203"/>
      <c r="F133" s="203"/>
      <c r="G133" s="203"/>
      <c r="H133" s="203"/>
      <c r="P133" s="282" t="str">
        <f t="shared" si="6"/>
        <v/>
      </c>
      <c r="Q133" s="232" t="str">
        <f t="shared" si="7"/>
        <v/>
      </c>
      <c r="R133" s="233" t="str">
        <f t="shared" si="8"/>
        <v/>
      </c>
      <c r="S133" s="234" t="str">
        <f t="shared" ref="S133:S164" si="10">IF(C133=0,"",OCF*FPF*(C133+D133/10)/P133)</f>
        <v/>
      </c>
      <c r="T133" s="283" t="str">
        <f>IF(C133=0,"",SUM($S$4:S133)*365)</f>
        <v/>
      </c>
    </row>
    <row r="134" spans="1:20" ht="15.75" x14ac:dyDescent="0.25">
      <c r="A134" s="176">
        <v>129.94833</v>
      </c>
      <c r="B134" s="173">
        <v>88391</v>
      </c>
      <c r="C134" s="203"/>
      <c r="D134" s="203"/>
      <c r="E134" s="203"/>
      <c r="F134" s="203"/>
      <c r="G134" s="203"/>
      <c r="H134" s="203"/>
      <c r="P134" s="282" t="str">
        <f t="shared" ref="P134:P197" si="11">IF(C134="","",(IF($L$4=5,IF((G134+H134)=0,5,3),IF($L$4=7,IF((G134+H134)=0,7,4),"Invaid"))))</f>
        <v/>
      </c>
      <c r="Q134" s="232" t="str">
        <f t="shared" ref="Q134:Q197" si="12">IF(C134=0,"",IF($L$4=5,IF((G134+H134)=0,0,2),IF($L$4=7,IF((G134+H134)=0,0,3),"Invaid")))</f>
        <v/>
      </c>
      <c r="R134" s="233" t="str">
        <f t="shared" ref="R134:R197" si="13">IF(C134=0,"",IF((G134+H134)=0,1,IF(H134&gt;0, 3, 2)))</f>
        <v/>
      </c>
      <c r="S134" s="234" t="str">
        <f t="shared" si="10"/>
        <v/>
      </c>
      <c r="T134" s="283" t="str">
        <f>IF(C134=0,"",SUM($S$4:S134)*365)</f>
        <v/>
      </c>
    </row>
    <row r="135" spans="1:20" ht="15.75" x14ac:dyDescent="0.25">
      <c r="A135" s="176">
        <v>130.94833</v>
      </c>
      <c r="B135" s="173">
        <v>88756</v>
      </c>
      <c r="C135" s="203"/>
      <c r="D135" s="203"/>
      <c r="E135" s="203"/>
      <c r="F135" s="203"/>
      <c r="G135" s="203"/>
      <c r="H135" s="203"/>
      <c r="P135" s="282" t="str">
        <f t="shared" si="11"/>
        <v/>
      </c>
      <c r="Q135" s="232" t="str">
        <f t="shared" si="12"/>
        <v/>
      </c>
      <c r="R135" s="233" t="str">
        <f t="shared" si="13"/>
        <v/>
      </c>
      <c r="S135" s="234" t="str">
        <f t="shared" si="10"/>
        <v/>
      </c>
      <c r="T135" s="283" t="str">
        <f>IF(C135=0,"",SUM($S$4:S135)*365)</f>
        <v/>
      </c>
    </row>
    <row r="136" spans="1:20" ht="15.75" x14ac:dyDescent="0.25">
      <c r="A136" s="176">
        <v>131.94833</v>
      </c>
      <c r="B136" s="173">
        <v>89121</v>
      </c>
      <c r="C136" s="203"/>
      <c r="D136" s="203"/>
      <c r="E136" s="203"/>
      <c r="F136" s="203"/>
      <c r="G136" s="203"/>
      <c r="H136" s="203"/>
      <c r="P136" s="282" t="str">
        <f t="shared" si="11"/>
        <v/>
      </c>
      <c r="Q136" s="232" t="str">
        <f t="shared" si="12"/>
        <v/>
      </c>
      <c r="R136" s="233" t="str">
        <f t="shared" si="13"/>
        <v/>
      </c>
      <c r="S136" s="234" t="str">
        <f t="shared" si="10"/>
        <v/>
      </c>
      <c r="T136" s="283" t="str">
        <f>IF(C136=0,"",SUM($S$4:S136)*365)</f>
        <v/>
      </c>
    </row>
    <row r="137" spans="1:20" ht="15.75" x14ac:dyDescent="0.25">
      <c r="A137" s="176">
        <v>132.94833</v>
      </c>
      <c r="B137" s="173">
        <v>89487</v>
      </c>
      <c r="C137" s="203"/>
      <c r="D137" s="203"/>
      <c r="E137" s="203"/>
      <c r="F137" s="203"/>
      <c r="G137" s="203"/>
      <c r="H137" s="203"/>
      <c r="P137" s="282" t="str">
        <f t="shared" si="11"/>
        <v/>
      </c>
      <c r="Q137" s="232" t="str">
        <f t="shared" si="12"/>
        <v/>
      </c>
      <c r="R137" s="233" t="str">
        <f t="shared" si="13"/>
        <v/>
      </c>
      <c r="S137" s="234" t="str">
        <f t="shared" si="10"/>
        <v/>
      </c>
      <c r="T137" s="283" t="str">
        <f>IF(C137=0,"",SUM($S$4:S137)*365)</f>
        <v/>
      </c>
    </row>
    <row r="138" spans="1:20" ht="15.75" x14ac:dyDescent="0.25">
      <c r="A138" s="176">
        <v>133.94833</v>
      </c>
      <c r="B138" s="173">
        <v>89852</v>
      </c>
      <c r="C138" s="203"/>
      <c r="D138" s="203"/>
      <c r="E138" s="203"/>
      <c r="F138" s="203"/>
      <c r="G138" s="203"/>
      <c r="H138" s="203"/>
      <c r="P138" s="282" t="str">
        <f t="shared" si="11"/>
        <v/>
      </c>
      <c r="Q138" s="232" t="str">
        <f t="shared" si="12"/>
        <v/>
      </c>
      <c r="R138" s="233" t="str">
        <f t="shared" si="13"/>
        <v/>
      </c>
      <c r="S138" s="234" t="str">
        <f t="shared" si="10"/>
        <v/>
      </c>
      <c r="T138" s="283" t="str">
        <f>IF(C138=0,"",SUM($S$4:S138)*365)</f>
        <v/>
      </c>
    </row>
    <row r="139" spans="1:20" ht="15.75" x14ac:dyDescent="0.25">
      <c r="A139" s="176">
        <v>134.94833</v>
      </c>
      <c r="B139" s="173">
        <v>90217</v>
      </c>
      <c r="C139" s="203"/>
      <c r="D139" s="203"/>
      <c r="E139" s="203"/>
      <c r="F139" s="203"/>
      <c r="G139" s="203"/>
      <c r="H139" s="203"/>
      <c r="P139" s="282" t="str">
        <f t="shared" si="11"/>
        <v/>
      </c>
      <c r="Q139" s="232" t="str">
        <f t="shared" si="12"/>
        <v/>
      </c>
      <c r="R139" s="233" t="str">
        <f t="shared" si="13"/>
        <v/>
      </c>
      <c r="S139" s="234" t="str">
        <f t="shared" si="10"/>
        <v/>
      </c>
      <c r="T139" s="283" t="str">
        <f>IF(C139=0,"",SUM($S$4:S139)*365)</f>
        <v/>
      </c>
    </row>
    <row r="140" spans="1:20" ht="15.75" x14ac:dyDescent="0.25">
      <c r="A140" s="176">
        <v>135.94833</v>
      </c>
      <c r="B140" s="173">
        <v>90582</v>
      </c>
      <c r="C140" s="203"/>
      <c r="D140" s="203"/>
      <c r="E140" s="203"/>
      <c r="F140" s="203"/>
      <c r="G140" s="203"/>
      <c r="H140" s="203"/>
      <c r="P140" s="282" t="str">
        <f t="shared" si="11"/>
        <v/>
      </c>
      <c r="Q140" s="232" t="str">
        <f t="shared" si="12"/>
        <v/>
      </c>
      <c r="R140" s="233" t="str">
        <f t="shared" si="13"/>
        <v/>
      </c>
      <c r="S140" s="234" t="str">
        <f t="shared" si="10"/>
        <v/>
      </c>
      <c r="T140" s="283" t="str">
        <f>IF(C140=0,"",SUM($S$4:S140)*365)</f>
        <v/>
      </c>
    </row>
    <row r="141" spans="1:20" ht="15.75" x14ac:dyDescent="0.25">
      <c r="A141" s="176">
        <v>136.94833</v>
      </c>
      <c r="B141" s="173">
        <v>90948</v>
      </c>
      <c r="C141" s="203"/>
      <c r="D141" s="203"/>
      <c r="E141" s="203"/>
      <c r="F141" s="203"/>
      <c r="G141" s="203"/>
      <c r="H141" s="203"/>
      <c r="P141" s="282" t="str">
        <f t="shared" si="11"/>
        <v/>
      </c>
      <c r="Q141" s="232" t="str">
        <f t="shared" si="12"/>
        <v/>
      </c>
      <c r="R141" s="233" t="str">
        <f t="shared" si="13"/>
        <v/>
      </c>
      <c r="S141" s="234" t="str">
        <f t="shared" si="10"/>
        <v/>
      </c>
      <c r="T141" s="283" t="str">
        <f>IF(C141=0,"",SUM($S$4:S141)*365)</f>
        <v/>
      </c>
    </row>
    <row r="142" spans="1:20" ht="15.75" x14ac:dyDescent="0.25">
      <c r="A142" s="176">
        <v>137.94833</v>
      </c>
      <c r="B142" s="173">
        <v>91313</v>
      </c>
      <c r="C142" s="203"/>
      <c r="D142" s="203"/>
      <c r="E142" s="203"/>
      <c r="F142" s="203"/>
      <c r="G142" s="203"/>
      <c r="H142" s="203"/>
      <c r="P142" s="282" t="str">
        <f t="shared" si="11"/>
        <v/>
      </c>
      <c r="Q142" s="232" t="str">
        <f t="shared" si="12"/>
        <v/>
      </c>
      <c r="R142" s="233" t="str">
        <f t="shared" si="13"/>
        <v/>
      </c>
      <c r="S142" s="234" t="str">
        <f t="shared" si="10"/>
        <v/>
      </c>
      <c r="T142" s="283" t="str">
        <f>IF(C142=0,"",SUM($S$4:S142)*365)</f>
        <v/>
      </c>
    </row>
    <row r="143" spans="1:20" ht="15.75" x14ac:dyDescent="0.25">
      <c r="A143" s="176">
        <v>138.94833</v>
      </c>
      <c r="B143" s="173">
        <v>91678</v>
      </c>
      <c r="C143" s="203"/>
      <c r="D143" s="203"/>
      <c r="E143" s="203"/>
      <c r="F143" s="203"/>
      <c r="G143" s="203"/>
      <c r="H143" s="203"/>
      <c r="P143" s="282" t="str">
        <f t="shared" si="11"/>
        <v/>
      </c>
      <c r="Q143" s="232" t="str">
        <f t="shared" si="12"/>
        <v/>
      </c>
      <c r="R143" s="233" t="str">
        <f t="shared" si="13"/>
        <v/>
      </c>
      <c r="S143" s="234" t="str">
        <f t="shared" si="10"/>
        <v/>
      </c>
      <c r="T143" s="283" t="str">
        <f>IF(C143=0,"",SUM($S$4:S143)*365)</f>
        <v/>
      </c>
    </row>
    <row r="144" spans="1:20" ht="15.75" x14ac:dyDescent="0.25">
      <c r="A144" s="176">
        <v>139.94833</v>
      </c>
      <c r="B144" s="173">
        <v>92043</v>
      </c>
      <c r="C144" s="203"/>
      <c r="D144" s="203"/>
      <c r="E144" s="203"/>
      <c r="F144" s="203"/>
      <c r="G144" s="203"/>
      <c r="H144" s="203"/>
      <c r="P144" s="282" t="str">
        <f t="shared" si="11"/>
        <v/>
      </c>
      <c r="Q144" s="232" t="str">
        <f t="shared" si="12"/>
        <v/>
      </c>
      <c r="R144" s="233" t="str">
        <f t="shared" si="13"/>
        <v/>
      </c>
      <c r="S144" s="234" t="str">
        <f t="shared" si="10"/>
        <v/>
      </c>
      <c r="T144" s="283" t="str">
        <f>IF(C144=0,"",SUM($S$4:S144)*365)</f>
        <v/>
      </c>
    </row>
    <row r="145" spans="1:20" ht="15.75" x14ac:dyDescent="0.25">
      <c r="A145" s="176">
        <v>140.94833</v>
      </c>
      <c r="B145" s="173">
        <v>92409</v>
      </c>
      <c r="C145" s="203"/>
      <c r="D145" s="203"/>
      <c r="E145" s="203"/>
      <c r="F145" s="203"/>
      <c r="G145" s="203"/>
      <c r="H145" s="203"/>
      <c r="P145" s="282" t="str">
        <f t="shared" si="11"/>
        <v/>
      </c>
      <c r="Q145" s="232" t="str">
        <f t="shared" si="12"/>
        <v/>
      </c>
      <c r="R145" s="233" t="str">
        <f t="shared" si="13"/>
        <v/>
      </c>
      <c r="S145" s="234" t="str">
        <f t="shared" si="10"/>
        <v/>
      </c>
      <c r="T145" s="283" t="str">
        <f>IF(C145=0,"",SUM($S$4:S145)*365)</f>
        <v/>
      </c>
    </row>
    <row r="146" spans="1:20" ht="15.75" x14ac:dyDescent="0.25">
      <c r="A146" s="176">
        <v>141.94833</v>
      </c>
      <c r="B146" s="173">
        <v>92774</v>
      </c>
      <c r="C146" s="203"/>
      <c r="D146" s="203"/>
      <c r="E146" s="203"/>
      <c r="F146" s="203"/>
      <c r="G146" s="203"/>
      <c r="H146" s="203"/>
      <c r="P146" s="282" t="str">
        <f t="shared" si="11"/>
        <v/>
      </c>
      <c r="Q146" s="232" t="str">
        <f t="shared" si="12"/>
        <v/>
      </c>
      <c r="R146" s="233" t="str">
        <f t="shared" si="13"/>
        <v/>
      </c>
      <c r="S146" s="234" t="str">
        <f t="shared" si="10"/>
        <v/>
      </c>
      <c r="T146" s="283" t="str">
        <f>IF(C146=0,"",SUM($S$4:S146)*365)</f>
        <v/>
      </c>
    </row>
    <row r="147" spans="1:20" ht="15.75" x14ac:dyDescent="0.25">
      <c r="A147" s="176">
        <v>142.94833</v>
      </c>
      <c r="B147" s="173">
        <v>93139</v>
      </c>
      <c r="C147" s="203"/>
      <c r="D147" s="203"/>
      <c r="E147" s="203"/>
      <c r="F147" s="203"/>
      <c r="G147" s="203"/>
      <c r="H147" s="203"/>
      <c r="P147" s="282" t="str">
        <f t="shared" si="11"/>
        <v/>
      </c>
      <c r="Q147" s="232" t="str">
        <f t="shared" si="12"/>
        <v/>
      </c>
      <c r="R147" s="233" t="str">
        <f t="shared" si="13"/>
        <v/>
      </c>
      <c r="S147" s="234" t="str">
        <f t="shared" si="10"/>
        <v/>
      </c>
      <c r="T147" s="283" t="str">
        <f>IF(C147=0,"",SUM($S$4:S147)*365)</f>
        <v/>
      </c>
    </row>
    <row r="148" spans="1:20" ht="15.75" x14ac:dyDescent="0.25">
      <c r="A148" s="176">
        <v>143.94833</v>
      </c>
      <c r="B148" s="173">
        <v>93504</v>
      </c>
      <c r="C148" s="203"/>
      <c r="D148" s="203"/>
      <c r="E148" s="203"/>
      <c r="F148" s="203"/>
      <c r="G148" s="203"/>
      <c r="H148" s="203"/>
      <c r="P148" s="282" t="str">
        <f t="shared" si="11"/>
        <v/>
      </c>
      <c r="Q148" s="232" t="str">
        <f t="shared" si="12"/>
        <v/>
      </c>
      <c r="R148" s="233" t="str">
        <f t="shared" si="13"/>
        <v/>
      </c>
      <c r="S148" s="234" t="str">
        <f t="shared" si="10"/>
        <v/>
      </c>
      <c r="T148" s="283" t="str">
        <f>IF(C148=0,"",SUM($S$4:S148)*365)</f>
        <v/>
      </c>
    </row>
    <row r="149" spans="1:20" ht="15.75" x14ac:dyDescent="0.25">
      <c r="A149" s="176">
        <v>144.94833</v>
      </c>
      <c r="B149" s="173">
        <v>93870</v>
      </c>
      <c r="C149" s="203"/>
      <c r="D149" s="203"/>
      <c r="E149" s="203"/>
      <c r="F149" s="203"/>
      <c r="G149" s="203"/>
      <c r="H149" s="203"/>
      <c r="P149" s="282" t="str">
        <f t="shared" si="11"/>
        <v/>
      </c>
      <c r="Q149" s="232" t="str">
        <f t="shared" si="12"/>
        <v/>
      </c>
      <c r="R149" s="233" t="str">
        <f t="shared" si="13"/>
        <v/>
      </c>
      <c r="S149" s="234" t="str">
        <f t="shared" si="10"/>
        <v/>
      </c>
      <c r="T149" s="283" t="str">
        <f>IF(C149=0,"",SUM($S$4:S149)*365)</f>
        <v/>
      </c>
    </row>
    <row r="150" spans="1:20" ht="15.75" x14ac:dyDescent="0.25">
      <c r="A150" s="176">
        <v>145.94833</v>
      </c>
      <c r="B150" s="173">
        <v>94235</v>
      </c>
      <c r="C150" s="203"/>
      <c r="D150" s="203"/>
      <c r="E150" s="203"/>
      <c r="F150" s="203"/>
      <c r="G150" s="203"/>
      <c r="H150" s="203"/>
      <c r="P150" s="282" t="str">
        <f t="shared" si="11"/>
        <v/>
      </c>
      <c r="Q150" s="232" t="str">
        <f t="shared" si="12"/>
        <v/>
      </c>
      <c r="R150" s="233" t="str">
        <f t="shared" si="13"/>
        <v/>
      </c>
      <c r="S150" s="234" t="str">
        <f t="shared" si="10"/>
        <v/>
      </c>
      <c r="T150" s="283" t="str">
        <f>IF(C150=0,"",SUM($S$4:S150)*365)</f>
        <v/>
      </c>
    </row>
    <row r="151" spans="1:20" ht="15.75" x14ac:dyDescent="0.25">
      <c r="A151" s="176">
        <v>146.94833</v>
      </c>
      <c r="B151" s="173">
        <v>94600</v>
      </c>
      <c r="C151" s="203"/>
      <c r="D151" s="203"/>
      <c r="E151" s="203"/>
      <c r="F151" s="203"/>
      <c r="G151" s="203"/>
      <c r="H151" s="203"/>
      <c r="P151" s="282" t="str">
        <f t="shared" si="11"/>
        <v/>
      </c>
      <c r="Q151" s="232" t="str">
        <f t="shared" si="12"/>
        <v/>
      </c>
      <c r="R151" s="233" t="str">
        <f t="shared" si="13"/>
        <v/>
      </c>
      <c r="S151" s="234" t="str">
        <f t="shared" si="10"/>
        <v/>
      </c>
      <c r="T151" s="283" t="str">
        <f>IF(C151=0,"",SUM($S$4:S151)*365)</f>
        <v/>
      </c>
    </row>
    <row r="152" spans="1:20" ht="15.75" x14ac:dyDescent="0.25">
      <c r="A152" s="176">
        <v>147.94833</v>
      </c>
      <c r="B152" s="173">
        <v>94965</v>
      </c>
      <c r="C152" s="203"/>
      <c r="D152" s="203"/>
      <c r="E152" s="203"/>
      <c r="F152" s="203"/>
      <c r="G152" s="203"/>
      <c r="H152" s="203"/>
      <c r="P152" s="282" t="str">
        <f t="shared" si="11"/>
        <v/>
      </c>
      <c r="Q152" s="232" t="str">
        <f t="shared" si="12"/>
        <v/>
      </c>
      <c r="R152" s="233" t="str">
        <f t="shared" si="13"/>
        <v/>
      </c>
      <c r="S152" s="234" t="str">
        <f t="shared" si="10"/>
        <v/>
      </c>
      <c r="T152" s="283" t="str">
        <f>IF(C152=0,"",SUM($S$4:S152)*365)</f>
        <v/>
      </c>
    </row>
    <row r="153" spans="1:20" ht="15.75" x14ac:dyDescent="0.25">
      <c r="A153" s="176">
        <v>148.94833</v>
      </c>
      <c r="B153" s="173">
        <v>95331</v>
      </c>
      <c r="C153" s="203"/>
      <c r="D153" s="203"/>
      <c r="E153" s="203"/>
      <c r="F153" s="203"/>
      <c r="G153" s="203"/>
      <c r="H153" s="203"/>
      <c r="P153" s="282" t="str">
        <f t="shared" si="11"/>
        <v/>
      </c>
      <c r="Q153" s="232" t="str">
        <f t="shared" si="12"/>
        <v/>
      </c>
      <c r="R153" s="233" t="str">
        <f t="shared" si="13"/>
        <v/>
      </c>
      <c r="S153" s="234" t="str">
        <f t="shared" si="10"/>
        <v/>
      </c>
      <c r="T153" s="283" t="str">
        <f>IF(C153=0,"",SUM($S$4:S153)*365)</f>
        <v/>
      </c>
    </row>
    <row r="154" spans="1:20" ht="15.75" x14ac:dyDescent="0.25">
      <c r="A154" s="176">
        <v>149.94833</v>
      </c>
      <c r="B154" s="173">
        <v>95696</v>
      </c>
      <c r="C154" s="203"/>
      <c r="D154" s="203"/>
      <c r="E154" s="203"/>
      <c r="F154" s="203"/>
      <c r="G154" s="203"/>
      <c r="H154" s="203"/>
      <c r="P154" s="282" t="str">
        <f t="shared" si="11"/>
        <v/>
      </c>
      <c r="Q154" s="232" t="str">
        <f t="shared" si="12"/>
        <v/>
      </c>
      <c r="R154" s="233" t="str">
        <f t="shared" si="13"/>
        <v/>
      </c>
      <c r="S154" s="234" t="str">
        <f t="shared" si="10"/>
        <v/>
      </c>
      <c r="T154" s="283" t="str">
        <f>IF(C154=0,"",SUM($S$4:S154)*365)</f>
        <v/>
      </c>
    </row>
    <row r="155" spans="1:20" ht="15.75" x14ac:dyDescent="0.25">
      <c r="A155" s="176">
        <v>150.94833</v>
      </c>
      <c r="B155" s="173">
        <v>96061</v>
      </c>
      <c r="C155" s="203"/>
      <c r="D155" s="203"/>
      <c r="E155" s="203"/>
      <c r="F155" s="203"/>
      <c r="G155" s="203"/>
      <c r="H155" s="203"/>
      <c r="P155" s="282" t="str">
        <f t="shared" si="11"/>
        <v/>
      </c>
      <c r="Q155" s="232" t="str">
        <f t="shared" si="12"/>
        <v/>
      </c>
      <c r="R155" s="233" t="str">
        <f t="shared" si="13"/>
        <v/>
      </c>
      <c r="S155" s="234" t="str">
        <f t="shared" si="10"/>
        <v/>
      </c>
      <c r="T155" s="283" t="str">
        <f>IF(C155=0,"",SUM($S$4:S155)*365)</f>
        <v/>
      </c>
    </row>
    <row r="156" spans="1:20" ht="15.75" x14ac:dyDescent="0.25">
      <c r="A156" s="176">
        <v>151.94833</v>
      </c>
      <c r="B156" s="173">
        <v>96426</v>
      </c>
      <c r="C156" s="203"/>
      <c r="D156" s="203"/>
      <c r="E156" s="203"/>
      <c r="F156" s="203"/>
      <c r="G156" s="203"/>
      <c r="H156" s="203"/>
      <c r="P156" s="282" t="str">
        <f t="shared" si="11"/>
        <v/>
      </c>
      <c r="Q156" s="232" t="str">
        <f t="shared" si="12"/>
        <v/>
      </c>
      <c r="R156" s="233" t="str">
        <f t="shared" si="13"/>
        <v/>
      </c>
      <c r="S156" s="234" t="str">
        <f t="shared" si="10"/>
        <v/>
      </c>
      <c r="T156" s="283" t="str">
        <f>IF(C156=0,"",SUM($S$4:S156)*365)</f>
        <v/>
      </c>
    </row>
    <row r="157" spans="1:20" ht="15.75" x14ac:dyDescent="0.25">
      <c r="A157" s="176">
        <v>152.94833</v>
      </c>
      <c r="B157" s="173">
        <v>96792</v>
      </c>
      <c r="C157" s="203"/>
      <c r="D157" s="203"/>
      <c r="E157" s="203"/>
      <c r="F157" s="203"/>
      <c r="G157" s="203"/>
      <c r="H157" s="203"/>
      <c r="P157" s="282" t="str">
        <f t="shared" si="11"/>
        <v/>
      </c>
      <c r="Q157" s="232" t="str">
        <f t="shared" si="12"/>
        <v/>
      </c>
      <c r="R157" s="233" t="str">
        <f t="shared" si="13"/>
        <v/>
      </c>
      <c r="S157" s="234" t="str">
        <f t="shared" si="10"/>
        <v/>
      </c>
      <c r="T157" s="283" t="str">
        <f>IF(C157=0,"",SUM($S$4:S157)*365)</f>
        <v/>
      </c>
    </row>
    <row r="158" spans="1:20" ht="15.75" x14ac:dyDescent="0.25">
      <c r="A158" s="176">
        <v>153.94833</v>
      </c>
      <c r="B158" s="173">
        <v>97157</v>
      </c>
      <c r="C158" s="203"/>
      <c r="D158" s="203"/>
      <c r="E158" s="203"/>
      <c r="F158" s="203"/>
      <c r="G158" s="203"/>
      <c r="H158" s="203"/>
      <c r="P158" s="282" t="str">
        <f t="shared" si="11"/>
        <v/>
      </c>
      <c r="Q158" s="232" t="str">
        <f t="shared" si="12"/>
        <v/>
      </c>
      <c r="R158" s="233" t="str">
        <f t="shared" si="13"/>
        <v/>
      </c>
      <c r="S158" s="234" t="str">
        <f t="shared" si="10"/>
        <v/>
      </c>
      <c r="T158" s="283" t="str">
        <f>IF(C158=0,"",SUM($S$4:S158)*365)</f>
        <v/>
      </c>
    </row>
    <row r="159" spans="1:20" ht="15.75" x14ac:dyDescent="0.25">
      <c r="A159" s="176">
        <v>154.94833</v>
      </c>
      <c r="B159" s="173">
        <v>97522</v>
      </c>
      <c r="C159" s="203"/>
      <c r="D159" s="203"/>
      <c r="E159" s="203"/>
      <c r="F159" s="203"/>
      <c r="G159" s="203"/>
      <c r="H159" s="203"/>
      <c r="P159" s="282" t="str">
        <f t="shared" si="11"/>
        <v/>
      </c>
      <c r="Q159" s="232" t="str">
        <f t="shared" si="12"/>
        <v/>
      </c>
      <c r="R159" s="233" t="str">
        <f t="shared" si="13"/>
        <v/>
      </c>
      <c r="S159" s="234" t="str">
        <f t="shared" si="10"/>
        <v/>
      </c>
      <c r="T159" s="283" t="str">
        <f>IF(C159=0,"",SUM($S$4:S159)*365)</f>
        <v/>
      </c>
    </row>
    <row r="160" spans="1:20" ht="15.75" x14ac:dyDescent="0.25">
      <c r="A160" s="176">
        <v>155.94833</v>
      </c>
      <c r="B160" s="173">
        <v>97887</v>
      </c>
      <c r="C160" s="203"/>
      <c r="D160" s="203"/>
      <c r="E160" s="203"/>
      <c r="F160" s="203"/>
      <c r="G160" s="203"/>
      <c r="H160" s="203"/>
      <c r="P160" s="282" t="str">
        <f t="shared" si="11"/>
        <v/>
      </c>
      <c r="Q160" s="232" t="str">
        <f t="shared" si="12"/>
        <v/>
      </c>
      <c r="R160" s="233" t="str">
        <f t="shared" si="13"/>
        <v/>
      </c>
      <c r="S160" s="234" t="str">
        <f t="shared" si="10"/>
        <v/>
      </c>
      <c r="T160" s="283" t="str">
        <f>IF(C160=0,"",SUM($S$4:S160)*365)</f>
        <v/>
      </c>
    </row>
    <row r="161" spans="1:20" ht="15.75" x14ac:dyDescent="0.25">
      <c r="A161" s="176">
        <v>156.94833</v>
      </c>
      <c r="B161" s="173">
        <v>98253</v>
      </c>
      <c r="C161" s="203"/>
      <c r="D161" s="203"/>
      <c r="E161" s="203"/>
      <c r="F161" s="203"/>
      <c r="G161" s="203"/>
      <c r="H161" s="203"/>
      <c r="P161" s="282" t="str">
        <f t="shared" si="11"/>
        <v/>
      </c>
      <c r="Q161" s="232" t="str">
        <f t="shared" si="12"/>
        <v/>
      </c>
      <c r="R161" s="233" t="str">
        <f t="shared" si="13"/>
        <v/>
      </c>
      <c r="S161" s="234" t="str">
        <f t="shared" si="10"/>
        <v/>
      </c>
      <c r="T161" s="283" t="str">
        <f>IF(C161=0,"",SUM($S$4:S161)*365)</f>
        <v/>
      </c>
    </row>
    <row r="162" spans="1:20" ht="15.75" x14ac:dyDescent="0.25">
      <c r="A162" s="176">
        <v>157.94833</v>
      </c>
      <c r="B162" s="173">
        <v>98618</v>
      </c>
      <c r="C162" s="203"/>
      <c r="D162" s="203"/>
      <c r="E162" s="203"/>
      <c r="F162" s="203"/>
      <c r="G162" s="203"/>
      <c r="H162" s="203"/>
      <c r="P162" s="282" t="str">
        <f t="shared" si="11"/>
        <v/>
      </c>
      <c r="Q162" s="232" t="str">
        <f t="shared" si="12"/>
        <v/>
      </c>
      <c r="R162" s="233" t="str">
        <f t="shared" si="13"/>
        <v/>
      </c>
      <c r="S162" s="234" t="str">
        <f t="shared" si="10"/>
        <v/>
      </c>
      <c r="T162" s="283" t="str">
        <f>IF(C162=0,"",SUM($S$4:S162)*365)</f>
        <v/>
      </c>
    </row>
    <row r="163" spans="1:20" ht="15.75" x14ac:dyDescent="0.25">
      <c r="A163" s="176">
        <v>158.94833</v>
      </c>
      <c r="B163" s="173">
        <v>98983</v>
      </c>
      <c r="C163" s="203"/>
      <c r="D163" s="203"/>
      <c r="E163" s="203"/>
      <c r="F163" s="203"/>
      <c r="G163" s="203"/>
      <c r="H163" s="203"/>
      <c r="P163" s="282" t="str">
        <f t="shared" si="11"/>
        <v/>
      </c>
      <c r="Q163" s="232" t="str">
        <f t="shared" si="12"/>
        <v/>
      </c>
      <c r="R163" s="233" t="str">
        <f t="shared" si="13"/>
        <v/>
      </c>
      <c r="S163" s="234" t="str">
        <f t="shared" si="10"/>
        <v/>
      </c>
      <c r="T163" s="283" t="str">
        <f>IF(C163=0,"",SUM($S$4:S163)*365)</f>
        <v/>
      </c>
    </row>
    <row r="164" spans="1:20" ht="15.75" x14ac:dyDescent="0.25">
      <c r="A164" s="176">
        <v>159.94833</v>
      </c>
      <c r="B164" s="173">
        <v>99348</v>
      </c>
      <c r="C164" s="203"/>
      <c r="D164" s="203"/>
      <c r="E164" s="203"/>
      <c r="F164" s="203"/>
      <c r="G164" s="203"/>
      <c r="H164" s="203"/>
      <c r="P164" s="282" t="str">
        <f t="shared" si="11"/>
        <v/>
      </c>
      <c r="Q164" s="232" t="str">
        <f t="shared" si="12"/>
        <v/>
      </c>
      <c r="R164" s="233" t="str">
        <f t="shared" si="13"/>
        <v/>
      </c>
      <c r="S164" s="234" t="str">
        <f t="shared" si="10"/>
        <v/>
      </c>
      <c r="T164" s="283" t="str">
        <f>IF(C164=0,"",SUM($S$4:S164)*365)</f>
        <v/>
      </c>
    </row>
    <row r="165" spans="1:20" ht="15.75" x14ac:dyDescent="0.25">
      <c r="A165" s="176">
        <v>160.94833</v>
      </c>
      <c r="B165" s="173">
        <v>99714</v>
      </c>
      <c r="C165" s="203"/>
      <c r="D165" s="203"/>
      <c r="E165" s="203"/>
      <c r="F165" s="203"/>
      <c r="G165" s="203"/>
      <c r="H165" s="203"/>
      <c r="P165" s="282" t="str">
        <f t="shared" si="11"/>
        <v/>
      </c>
      <c r="Q165" s="232" t="str">
        <f t="shared" si="12"/>
        <v/>
      </c>
      <c r="R165" s="233" t="str">
        <f t="shared" si="13"/>
        <v/>
      </c>
      <c r="S165" s="234" t="str">
        <f t="shared" ref="S165:S196" si="14">IF(C165=0,"",OCF*FPF*(C165+D165/10)/P165)</f>
        <v/>
      </c>
      <c r="T165" s="283" t="str">
        <f>IF(C165=0,"",SUM($S$4:S165)*365)</f>
        <v/>
      </c>
    </row>
    <row r="166" spans="1:20" ht="15.75" x14ac:dyDescent="0.25">
      <c r="A166" s="176">
        <v>161.94833</v>
      </c>
      <c r="B166" s="173">
        <v>100079</v>
      </c>
      <c r="C166" s="203"/>
      <c r="D166" s="203"/>
      <c r="E166" s="203"/>
      <c r="F166" s="203"/>
      <c r="G166" s="203"/>
      <c r="H166" s="203"/>
      <c r="P166" s="282" t="str">
        <f t="shared" si="11"/>
        <v/>
      </c>
      <c r="Q166" s="232" t="str">
        <f t="shared" si="12"/>
        <v/>
      </c>
      <c r="R166" s="233" t="str">
        <f t="shared" si="13"/>
        <v/>
      </c>
      <c r="S166" s="234" t="str">
        <f t="shared" si="14"/>
        <v/>
      </c>
      <c r="T166" s="283" t="str">
        <f>IF(C166=0,"",SUM($S$4:S166)*365)</f>
        <v/>
      </c>
    </row>
    <row r="167" spans="1:20" ht="15.75" x14ac:dyDescent="0.25">
      <c r="A167" s="176">
        <v>162.94833</v>
      </c>
      <c r="B167" s="173">
        <v>100444</v>
      </c>
      <c r="C167" s="203"/>
      <c r="D167" s="203"/>
      <c r="E167" s="203"/>
      <c r="F167" s="203"/>
      <c r="G167" s="203"/>
      <c r="H167" s="203"/>
      <c r="P167" s="282" t="str">
        <f t="shared" si="11"/>
        <v/>
      </c>
      <c r="Q167" s="232" t="str">
        <f t="shared" si="12"/>
        <v/>
      </c>
      <c r="R167" s="233" t="str">
        <f t="shared" si="13"/>
        <v/>
      </c>
      <c r="S167" s="234" t="str">
        <f t="shared" si="14"/>
        <v/>
      </c>
      <c r="T167" s="283" t="str">
        <f>IF(C167=0,"",SUM($S$4:S167)*365)</f>
        <v/>
      </c>
    </row>
    <row r="168" spans="1:20" ht="15.75" x14ac:dyDescent="0.25">
      <c r="A168" s="176">
        <v>163.94833</v>
      </c>
      <c r="B168" s="173">
        <v>100809</v>
      </c>
      <c r="C168" s="203"/>
      <c r="D168" s="203"/>
      <c r="E168" s="203"/>
      <c r="F168" s="203"/>
      <c r="G168" s="203"/>
      <c r="H168" s="203"/>
      <c r="P168" s="282" t="str">
        <f t="shared" si="11"/>
        <v/>
      </c>
      <c r="Q168" s="232" t="str">
        <f t="shared" si="12"/>
        <v/>
      </c>
      <c r="R168" s="233" t="str">
        <f t="shared" si="13"/>
        <v/>
      </c>
      <c r="S168" s="234" t="str">
        <f t="shared" si="14"/>
        <v/>
      </c>
      <c r="T168" s="283" t="str">
        <f>IF(C168=0,"",SUM($S$4:S168)*365)</f>
        <v/>
      </c>
    </row>
    <row r="169" spans="1:20" ht="15.75" x14ac:dyDescent="0.25">
      <c r="A169" s="176">
        <v>164.94833</v>
      </c>
      <c r="B169" s="173">
        <v>101175</v>
      </c>
      <c r="C169" s="203"/>
      <c r="D169" s="203"/>
      <c r="E169" s="203"/>
      <c r="F169" s="203"/>
      <c r="G169" s="203"/>
      <c r="H169" s="203"/>
      <c r="P169" s="282" t="str">
        <f t="shared" si="11"/>
        <v/>
      </c>
      <c r="Q169" s="232" t="str">
        <f t="shared" si="12"/>
        <v/>
      </c>
      <c r="R169" s="233" t="str">
        <f t="shared" si="13"/>
        <v/>
      </c>
      <c r="S169" s="234" t="str">
        <f t="shared" si="14"/>
        <v/>
      </c>
      <c r="T169" s="283" t="str">
        <f>IF(C169=0,"",SUM($S$4:S169)*365)</f>
        <v/>
      </c>
    </row>
    <row r="170" spans="1:20" ht="15.75" x14ac:dyDescent="0.25">
      <c r="A170" s="176">
        <v>165.948329999994</v>
      </c>
      <c r="B170" s="173">
        <v>101540</v>
      </c>
      <c r="C170" s="203"/>
      <c r="D170" s="203"/>
      <c r="E170" s="203"/>
      <c r="F170" s="203"/>
      <c r="G170" s="203"/>
      <c r="H170" s="203"/>
      <c r="P170" s="282" t="str">
        <f t="shared" si="11"/>
        <v/>
      </c>
      <c r="Q170" s="232" t="str">
        <f t="shared" si="12"/>
        <v/>
      </c>
      <c r="R170" s="233" t="str">
        <f t="shared" si="13"/>
        <v/>
      </c>
      <c r="S170" s="234" t="str">
        <f t="shared" si="14"/>
        <v/>
      </c>
      <c r="T170" s="283" t="str">
        <f>IF(C170=0,"",SUM($S$4:S170)*365)</f>
        <v/>
      </c>
    </row>
    <row r="171" spans="1:20" ht="15.75" x14ac:dyDescent="0.25">
      <c r="A171" s="176">
        <v>166.94832999999301</v>
      </c>
      <c r="B171" s="173">
        <v>101905</v>
      </c>
      <c r="C171" s="203"/>
      <c r="D171" s="203"/>
      <c r="E171" s="203"/>
      <c r="F171" s="203"/>
      <c r="G171" s="203"/>
      <c r="H171" s="203"/>
      <c r="P171" s="282" t="str">
        <f t="shared" si="11"/>
        <v/>
      </c>
      <c r="Q171" s="232" t="str">
        <f t="shared" si="12"/>
        <v/>
      </c>
      <c r="R171" s="233" t="str">
        <f t="shared" si="13"/>
        <v/>
      </c>
      <c r="S171" s="234" t="str">
        <f t="shared" si="14"/>
        <v/>
      </c>
      <c r="T171" s="283" t="str">
        <f>IF(C171=0,"",SUM($S$4:S171)*365)</f>
        <v/>
      </c>
    </row>
    <row r="172" spans="1:20" ht="15.75" x14ac:dyDescent="0.25">
      <c r="A172" s="176">
        <v>167.94832999999301</v>
      </c>
      <c r="B172" s="173">
        <v>102270</v>
      </c>
      <c r="C172" s="203"/>
      <c r="D172" s="203"/>
      <c r="E172" s="203"/>
      <c r="F172" s="203"/>
      <c r="G172" s="203"/>
      <c r="H172" s="203"/>
      <c r="P172" s="282" t="str">
        <f t="shared" si="11"/>
        <v/>
      </c>
      <c r="Q172" s="232" t="str">
        <f t="shared" si="12"/>
        <v/>
      </c>
      <c r="R172" s="233" t="str">
        <f t="shared" si="13"/>
        <v/>
      </c>
      <c r="S172" s="234" t="str">
        <f t="shared" si="14"/>
        <v/>
      </c>
      <c r="T172" s="283" t="str">
        <f>IF(C172=0,"",SUM($S$4:S172)*365)</f>
        <v/>
      </c>
    </row>
    <row r="173" spans="1:20" ht="15.75" x14ac:dyDescent="0.25">
      <c r="A173" s="176">
        <v>168.94832999999301</v>
      </c>
      <c r="B173" s="173">
        <v>102636</v>
      </c>
      <c r="C173" s="203"/>
      <c r="D173" s="203"/>
      <c r="E173" s="203"/>
      <c r="F173" s="203"/>
      <c r="G173" s="203"/>
      <c r="H173" s="203"/>
      <c r="P173" s="282" t="str">
        <f t="shared" si="11"/>
        <v/>
      </c>
      <c r="Q173" s="232" t="str">
        <f t="shared" si="12"/>
        <v/>
      </c>
      <c r="R173" s="233" t="str">
        <f t="shared" si="13"/>
        <v/>
      </c>
      <c r="S173" s="234" t="str">
        <f t="shared" si="14"/>
        <v/>
      </c>
      <c r="T173" s="283" t="str">
        <f>IF(C173=0,"",SUM($S$4:S173)*365)</f>
        <v/>
      </c>
    </row>
    <row r="174" spans="1:20" ht="15.75" x14ac:dyDescent="0.25">
      <c r="A174" s="176">
        <v>169.94832999999301</v>
      </c>
      <c r="B174" s="173">
        <v>103001</v>
      </c>
      <c r="C174" s="203"/>
      <c r="D174" s="203"/>
      <c r="E174" s="203"/>
      <c r="F174" s="203"/>
      <c r="G174" s="203"/>
      <c r="H174" s="203"/>
      <c r="P174" s="282" t="str">
        <f t="shared" si="11"/>
        <v/>
      </c>
      <c r="Q174" s="232" t="str">
        <f t="shared" si="12"/>
        <v/>
      </c>
      <c r="R174" s="233" t="str">
        <f t="shared" si="13"/>
        <v/>
      </c>
      <c r="S174" s="234" t="str">
        <f t="shared" si="14"/>
        <v/>
      </c>
      <c r="T174" s="283" t="str">
        <f>IF(C174=0,"",SUM($S$4:S174)*365)</f>
        <v/>
      </c>
    </row>
    <row r="175" spans="1:20" ht="15.75" x14ac:dyDescent="0.25">
      <c r="A175" s="176">
        <v>170.94832999999301</v>
      </c>
      <c r="B175" s="173">
        <v>103366</v>
      </c>
      <c r="C175" s="203"/>
      <c r="D175" s="203"/>
      <c r="E175" s="203"/>
      <c r="F175" s="203"/>
      <c r="G175" s="203"/>
      <c r="H175" s="203"/>
      <c r="P175" s="282" t="str">
        <f t="shared" si="11"/>
        <v/>
      </c>
      <c r="Q175" s="232" t="str">
        <f t="shared" si="12"/>
        <v/>
      </c>
      <c r="R175" s="233" t="str">
        <f t="shared" si="13"/>
        <v/>
      </c>
      <c r="S175" s="234" t="str">
        <f t="shared" si="14"/>
        <v/>
      </c>
      <c r="T175" s="283" t="str">
        <f>IF(C175=0,"",SUM($S$4:S175)*365)</f>
        <v/>
      </c>
    </row>
    <row r="176" spans="1:20" ht="15.75" x14ac:dyDescent="0.25">
      <c r="A176" s="176">
        <v>171.94832999999301</v>
      </c>
      <c r="B176" s="173">
        <v>103731</v>
      </c>
      <c r="C176" s="203"/>
      <c r="D176" s="203"/>
      <c r="E176" s="203"/>
      <c r="F176" s="203"/>
      <c r="G176" s="203"/>
      <c r="H176" s="203"/>
      <c r="P176" s="282" t="str">
        <f t="shared" si="11"/>
        <v/>
      </c>
      <c r="Q176" s="232" t="str">
        <f t="shared" si="12"/>
        <v/>
      </c>
      <c r="R176" s="233" t="str">
        <f t="shared" si="13"/>
        <v/>
      </c>
      <c r="S176" s="234" t="str">
        <f t="shared" si="14"/>
        <v/>
      </c>
      <c r="T176" s="283" t="str">
        <f>IF(C176=0,"",SUM($S$4:S176)*365)</f>
        <v/>
      </c>
    </row>
    <row r="177" spans="1:20" ht="15.75" x14ac:dyDescent="0.25">
      <c r="A177" s="176">
        <v>172.94832999999301</v>
      </c>
      <c r="B177" s="173">
        <v>104097</v>
      </c>
      <c r="C177" s="203"/>
      <c r="D177" s="203"/>
      <c r="E177" s="203"/>
      <c r="F177" s="203"/>
      <c r="G177" s="203"/>
      <c r="H177" s="203"/>
      <c r="P177" s="282" t="str">
        <f t="shared" si="11"/>
        <v/>
      </c>
      <c r="Q177" s="232" t="str">
        <f t="shared" si="12"/>
        <v/>
      </c>
      <c r="R177" s="233" t="str">
        <f t="shared" si="13"/>
        <v/>
      </c>
      <c r="S177" s="234" t="str">
        <f t="shared" si="14"/>
        <v/>
      </c>
      <c r="T177" s="283" t="str">
        <f>IF(C177=0,"",SUM($S$4:S177)*365)</f>
        <v/>
      </c>
    </row>
    <row r="178" spans="1:20" ht="15.75" x14ac:dyDescent="0.25">
      <c r="A178" s="176">
        <v>173.94832999999301</v>
      </c>
      <c r="B178" s="173">
        <v>104462</v>
      </c>
      <c r="C178" s="203"/>
      <c r="D178" s="203"/>
      <c r="E178" s="203"/>
      <c r="F178" s="203"/>
      <c r="G178" s="203"/>
      <c r="H178" s="203"/>
      <c r="P178" s="282" t="str">
        <f t="shared" si="11"/>
        <v/>
      </c>
      <c r="Q178" s="232" t="str">
        <f t="shared" si="12"/>
        <v/>
      </c>
      <c r="R178" s="233" t="str">
        <f t="shared" si="13"/>
        <v/>
      </c>
      <c r="S178" s="234" t="str">
        <f t="shared" si="14"/>
        <v/>
      </c>
      <c r="T178" s="283" t="str">
        <f>IF(C178=0,"",SUM($S$4:S178)*365)</f>
        <v/>
      </c>
    </row>
    <row r="179" spans="1:20" ht="15.75" x14ac:dyDescent="0.25">
      <c r="A179" s="176">
        <v>174.94832999999301</v>
      </c>
      <c r="B179" s="173">
        <v>104827</v>
      </c>
      <c r="C179" s="203"/>
      <c r="D179" s="203"/>
      <c r="E179" s="203"/>
      <c r="F179" s="203"/>
      <c r="G179" s="203"/>
      <c r="H179" s="203"/>
      <c r="P179" s="282" t="str">
        <f t="shared" si="11"/>
        <v/>
      </c>
      <c r="Q179" s="232" t="str">
        <f t="shared" si="12"/>
        <v/>
      </c>
      <c r="R179" s="233" t="str">
        <f t="shared" si="13"/>
        <v/>
      </c>
      <c r="S179" s="234" t="str">
        <f t="shared" si="14"/>
        <v/>
      </c>
      <c r="T179" s="283" t="str">
        <f>IF(C179=0,"",SUM($S$4:S179)*365)</f>
        <v/>
      </c>
    </row>
    <row r="180" spans="1:20" ht="15.75" x14ac:dyDescent="0.25">
      <c r="A180" s="176">
        <v>175.94832999999201</v>
      </c>
      <c r="B180" s="173">
        <v>105192</v>
      </c>
      <c r="C180" s="203"/>
      <c r="D180" s="203"/>
      <c r="E180" s="203"/>
      <c r="F180" s="203"/>
      <c r="G180" s="203"/>
      <c r="H180" s="203"/>
      <c r="P180" s="282" t="str">
        <f t="shared" si="11"/>
        <v/>
      </c>
      <c r="Q180" s="232" t="str">
        <f t="shared" si="12"/>
        <v/>
      </c>
      <c r="R180" s="233" t="str">
        <f t="shared" si="13"/>
        <v/>
      </c>
      <c r="S180" s="234" t="str">
        <f t="shared" si="14"/>
        <v/>
      </c>
      <c r="T180" s="283" t="str">
        <f>IF(C180=0,"",SUM($S$4:S180)*365)</f>
        <v/>
      </c>
    </row>
    <row r="181" spans="1:20" ht="15.75" x14ac:dyDescent="0.25">
      <c r="A181" s="176">
        <v>176.94832999999201</v>
      </c>
      <c r="B181" s="173">
        <v>105558</v>
      </c>
      <c r="C181" s="203"/>
      <c r="D181" s="203"/>
      <c r="E181" s="203"/>
      <c r="F181" s="203"/>
      <c r="G181" s="203"/>
      <c r="H181" s="203"/>
      <c r="P181" s="282" t="str">
        <f t="shared" si="11"/>
        <v/>
      </c>
      <c r="Q181" s="232" t="str">
        <f t="shared" si="12"/>
        <v/>
      </c>
      <c r="R181" s="233" t="str">
        <f t="shared" si="13"/>
        <v/>
      </c>
      <c r="S181" s="234" t="str">
        <f t="shared" si="14"/>
        <v/>
      </c>
      <c r="T181" s="283" t="str">
        <f>IF(C181=0,"",SUM($S$4:S181)*365)</f>
        <v/>
      </c>
    </row>
    <row r="182" spans="1:20" ht="15.75" x14ac:dyDescent="0.25">
      <c r="A182" s="176">
        <v>177.94832999999201</v>
      </c>
      <c r="B182" s="173">
        <v>105923</v>
      </c>
      <c r="C182" s="203"/>
      <c r="D182" s="203"/>
      <c r="E182" s="203"/>
      <c r="F182" s="203"/>
      <c r="G182" s="203"/>
      <c r="H182" s="203"/>
      <c r="P182" s="282" t="str">
        <f t="shared" si="11"/>
        <v/>
      </c>
      <c r="Q182" s="232" t="str">
        <f t="shared" si="12"/>
        <v/>
      </c>
      <c r="R182" s="233" t="str">
        <f t="shared" si="13"/>
        <v/>
      </c>
      <c r="S182" s="234" t="str">
        <f t="shared" si="14"/>
        <v/>
      </c>
      <c r="T182" s="283" t="str">
        <f>IF(C182=0,"",SUM($S$4:S182)*365)</f>
        <v/>
      </c>
    </row>
    <row r="183" spans="1:20" ht="15.75" x14ac:dyDescent="0.25">
      <c r="A183" s="176">
        <v>178.94832999999201</v>
      </c>
      <c r="B183" s="173">
        <v>106288</v>
      </c>
      <c r="C183" s="203"/>
      <c r="D183" s="203"/>
      <c r="E183" s="203"/>
      <c r="F183" s="203"/>
      <c r="G183" s="203"/>
      <c r="H183" s="203"/>
      <c r="P183" s="282" t="str">
        <f t="shared" si="11"/>
        <v/>
      </c>
      <c r="Q183" s="232" t="str">
        <f t="shared" si="12"/>
        <v/>
      </c>
      <c r="R183" s="233" t="str">
        <f t="shared" si="13"/>
        <v/>
      </c>
      <c r="S183" s="234" t="str">
        <f t="shared" si="14"/>
        <v/>
      </c>
      <c r="T183" s="283" t="str">
        <f>IF(C183=0,"",SUM($S$4:S183)*365)</f>
        <v/>
      </c>
    </row>
    <row r="184" spans="1:20" ht="15.75" x14ac:dyDescent="0.25">
      <c r="A184" s="176">
        <v>179.94832999999201</v>
      </c>
      <c r="B184" s="173">
        <v>106653</v>
      </c>
      <c r="C184" s="203"/>
      <c r="D184" s="203"/>
      <c r="E184" s="203"/>
      <c r="F184" s="203"/>
      <c r="G184" s="203"/>
      <c r="H184" s="203"/>
      <c r="P184" s="282" t="str">
        <f t="shared" si="11"/>
        <v/>
      </c>
      <c r="Q184" s="232" t="str">
        <f t="shared" si="12"/>
        <v/>
      </c>
      <c r="R184" s="233" t="str">
        <f t="shared" si="13"/>
        <v/>
      </c>
      <c r="S184" s="234" t="str">
        <f t="shared" si="14"/>
        <v/>
      </c>
      <c r="T184" s="283" t="str">
        <f>IF(C184=0,"",SUM($S$4:S184)*365)</f>
        <v/>
      </c>
    </row>
    <row r="185" spans="1:20" ht="15.75" x14ac:dyDescent="0.25">
      <c r="A185" s="176">
        <v>180.94832999999201</v>
      </c>
      <c r="B185" s="173">
        <v>107019</v>
      </c>
      <c r="C185" s="203"/>
      <c r="D185" s="203"/>
      <c r="E185" s="203"/>
      <c r="F185" s="203"/>
      <c r="G185" s="203"/>
      <c r="H185" s="203"/>
      <c r="P185" s="282" t="str">
        <f t="shared" si="11"/>
        <v/>
      </c>
      <c r="Q185" s="232" t="str">
        <f t="shared" si="12"/>
        <v/>
      </c>
      <c r="R185" s="233" t="str">
        <f t="shared" si="13"/>
        <v/>
      </c>
      <c r="S185" s="234" t="str">
        <f t="shared" si="14"/>
        <v/>
      </c>
      <c r="T185" s="283" t="str">
        <f>IF(C185=0,"",SUM($S$4:S185)*365)</f>
        <v/>
      </c>
    </row>
    <row r="186" spans="1:20" ht="15.75" x14ac:dyDescent="0.25">
      <c r="A186" s="176">
        <v>181.94832999999201</v>
      </c>
      <c r="B186" s="173">
        <v>107384</v>
      </c>
      <c r="C186" s="203"/>
      <c r="D186" s="203"/>
      <c r="E186" s="203"/>
      <c r="F186" s="203"/>
      <c r="G186" s="203"/>
      <c r="H186" s="203"/>
      <c r="P186" s="282" t="str">
        <f t="shared" si="11"/>
        <v/>
      </c>
      <c r="Q186" s="232" t="str">
        <f t="shared" si="12"/>
        <v/>
      </c>
      <c r="R186" s="233" t="str">
        <f t="shared" si="13"/>
        <v/>
      </c>
      <c r="S186" s="234" t="str">
        <f t="shared" si="14"/>
        <v/>
      </c>
      <c r="T186" s="283" t="str">
        <f>IF(C186=0,"",SUM($S$4:S186)*365)</f>
        <v/>
      </c>
    </row>
    <row r="187" spans="1:20" ht="15.75" x14ac:dyDescent="0.25">
      <c r="A187" s="176">
        <v>182.94832999999201</v>
      </c>
      <c r="B187" s="173">
        <v>107749</v>
      </c>
      <c r="C187" s="203"/>
      <c r="D187" s="203"/>
      <c r="E187" s="203"/>
      <c r="F187" s="203"/>
      <c r="G187" s="203"/>
      <c r="H187" s="203"/>
      <c r="P187" s="282" t="str">
        <f t="shared" si="11"/>
        <v/>
      </c>
      <c r="Q187" s="232" t="str">
        <f t="shared" si="12"/>
        <v/>
      </c>
      <c r="R187" s="233" t="str">
        <f t="shared" si="13"/>
        <v/>
      </c>
      <c r="S187" s="234" t="str">
        <f t="shared" si="14"/>
        <v/>
      </c>
      <c r="T187" s="283" t="str">
        <f>IF(C187=0,"",SUM($S$4:S187)*365)</f>
        <v/>
      </c>
    </row>
    <row r="188" spans="1:20" ht="15.75" x14ac:dyDescent="0.25">
      <c r="A188" s="176">
        <v>183.94832999999201</v>
      </c>
      <c r="B188" s="173">
        <v>108114</v>
      </c>
      <c r="C188" s="203"/>
      <c r="D188" s="203"/>
      <c r="E188" s="203"/>
      <c r="F188" s="203"/>
      <c r="G188" s="203"/>
      <c r="H188" s="203"/>
      <c r="P188" s="282" t="str">
        <f t="shared" si="11"/>
        <v/>
      </c>
      <c r="Q188" s="232" t="str">
        <f t="shared" si="12"/>
        <v/>
      </c>
      <c r="R188" s="233" t="str">
        <f t="shared" si="13"/>
        <v/>
      </c>
      <c r="S188" s="234" t="str">
        <f t="shared" si="14"/>
        <v/>
      </c>
      <c r="T188" s="283" t="str">
        <f>IF(C188=0,"",SUM($S$4:S188)*365)</f>
        <v/>
      </c>
    </row>
    <row r="189" spans="1:20" ht="15.75" x14ac:dyDescent="0.25">
      <c r="A189" s="176">
        <v>184.94832999999201</v>
      </c>
      <c r="B189" s="173">
        <v>108480</v>
      </c>
      <c r="C189" s="203"/>
      <c r="D189" s="203"/>
      <c r="E189" s="203"/>
      <c r="F189" s="203"/>
      <c r="G189" s="203"/>
      <c r="H189" s="203"/>
      <c r="P189" s="282" t="str">
        <f t="shared" si="11"/>
        <v/>
      </c>
      <c r="Q189" s="232" t="str">
        <f t="shared" si="12"/>
        <v/>
      </c>
      <c r="R189" s="233" t="str">
        <f t="shared" si="13"/>
        <v/>
      </c>
      <c r="S189" s="234" t="str">
        <f t="shared" si="14"/>
        <v/>
      </c>
      <c r="T189" s="283" t="str">
        <f>IF(C189=0,"",SUM($S$4:S189)*365)</f>
        <v/>
      </c>
    </row>
    <row r="190" spans="1:20" ht="15.75" x14ac:dyDescent="0.25">
      <c r="A190" s="176">
        <v>185.94832999999201</v>
      </c>
      <c r="B190" s="173">
        <v>108845</v>
      </c>
      <c r="C190" s="203"/>
      <c r="D190" s="203"/>
      <c r="E190" s="203"/>
      <c r="F190" s="203"/>
      <c r="G190" s="203"/>
      <c r="H190" s="203"/>
      <c r="P190" s="282" t="str">
        <f t="shared" si="11"/>
        <v/>
      </c>
      <c r="Q190" s="232" t="str">
        <f t="shared" si="12"/>
        <v/>
      </c>
      <c r="R190" s="233" t="str">
        <f t="shared" si="13"/>
        <v/>
      </c>
      <c r="S190" s="234" t="str">
        <f t="shared" si="14"/>
        <v/>
      </c>
      <c r="T190" s="283" t="str">
        <f>IF(C190=0,"",SUM($S$4:S190)*365)</f>
        <v/>
      </c>
    </row>
    <row r="191" spans="1:20" ht="15.75" x14ac:dyDescent="0.25">
      <c r="A191" s="176">
        <v>186.94832999999099</v>
      </c>
      <c r="B191" s="173">
        <v>109210</v>
      </c>
      <c r="C191" s="203"/>
      <c r="D191" s="203"/>
      <c r="E191" s="203"/>
      <c r="F191" s="203"/>
      <c r="G191" s="203"/>
      <c r="H191" s="203"/>
      <c r="P191" s="282" t="str">
        <f t="shared" si="11"/>
        <v/>
      </c>
      <c r="Q191" s="232" t="str">
        <f t="shared" si="12"/>
        <v/>
      </c>
      <c r="R191" s="233" t="str">
        <f t="shared" si="13"/>
        <v/>
      </c>
      <c r="S191" s="234" t="str">
        <f t="shared" si="14"/>
        <v/>
      </c>
      <c r="T191" s="283" t="str">
        <f>IF(C191=0,"",SUM($S$4:S191)*365)</f>
        <v/>
      </c>
    </row>
    <row r="192" spans="1:20" ht="15.75" x14ac:dyDescent="0.25">
      <c r="A192" s="176">
        <v>187.94832999999099</v>
      </c>
      <c r="B192" s="173">
        <v>109575</v>
      </c>
      <c r="C192" s="203"/>
      <c r="D192" s="203"/>
      <c r="E192" s="203"/>
      <c r="F192" s="203"/>
      <c r="G192" s="203"/>
      <c r="H192" s="203"/>
      <c r="P192" s="282" t="str">
        <f t="shared" si="11"/>
        <v/>
      </c>
      <c r="Q192" s="232" t="str">
        <f t="shared" si="12"/>
        <v/>
      </c>
      <c r="R192" s="233" t="str">
        <f t="shared" si="13"/>
        <v/>
      </c>
      <c r="S192" s="234" t="str">
        <f t="shared" si="14"/>
        <v/>
      </c>
      <c r="T192" s="283" t="str">
        <f>IF(C192=0,"",SUM($S$4:S192)*365)</f>
        <v/>
      </c>
    </row>
    <row r="193" spans="1:20" ht="15.75" x14ac:dyDescent="0.25">
      <c r="A193" s="176">
        <v>188.94832999999099</v>
      </c>
      <c r="B193" s="173">
        <v>109940</v>
      </c>
      <c r="C193" s="203"/>
      <c r="D193" s="203"/>
      <c r="E193" s="203"/>
      <c r="F193" s="203"/>
      <c r="G193" s="203"/>
      <c r="H193" s="203"/>
      <c r="P193" s="282" t="str">
        <f t="shared" si="11"/>
        <v/>
      </c>
      <c r="Q193" s="232" t="str">
        <f t="shared" si="12"/>
        <v/>
      </c>
      <c r="R193" s="233" t="str">
        <f t="shared" si="13"/>
        <v/>
      </c>
      <c r="S193" s="234" t="str">
        <f t="shared" si="14"/>
        <v/>
      </c>
      <c r="T193" s="283" t="str">
        <f>IF(C193=0,"",SUM($S$4:S193)*365)</f>
        <v/>
      </c>
    </row>
    <row r="194" spans="1:20" ht="15.75" x14ac:dyDescent="0.25">
      <c r="A194" s="176">
        <v>189.94832999999099</v>
      </c>
      <c r="B194" s="173">
        <v>110305</v>
      </c>
      <c r="C194" s="203"/>
      <c r="D194" s="203"/>
      <c r="E194" s="203"/>
      <c r="F194" s="203"/>
      <c r="G194" s="203"/>
      <c r="H194" s="203"/>
      <c r="P194" s="282" t="str">
        <f t="shared" si="11"/>
        <v/>
      </c>
      <c r="Q194" s="232" t="str">
        <f t="shared" si="12"/>
        <v/>
      </c>
      <c r="R194" s="233" t="str">
        <f t="shared" si="13"/>
        <v/>
      </c>
      <c r="S194" s="234" t="str">
        <f t="shared" si="14"/>
        <v/>
      </c>
      <c r="T194" s="283" t="str">
        <f>IF(C194=0,"",SUM($S$4:S194)*365)</f>
        <v/>
      </c>
    </row>
    <row r="195" spans="1:20" ht="15.75" x14ac:dyDescent="0.25">
      <c r="A195" s="176">
        <v>190.94832999999099</v>
      </c>
      <c r="B195" s="173">
        <v>110670</v>
      </c>
      <c r="C195" s="203"/>
      <c r="D195" s="203"/>
      <c r="E195" s="203"/>
      <c r="F195" s="203"/>
      <c r="G195" s="203"/>
      <c r="H195" s="203"/>
      <c r="P195" s="282" t="str">
        <f t="shared" si="11"/>
        <v/>
      </c>
      <c r="Q195" s="232" t="str">
        <f t="shared" si="12"/>
        <v/>
      </c>
      <c r="R195" s="233" t="str">
        <f t="shared" si="13"/>
        <v/>
      </c>
      <c r="S195" s="234" t="str">
        <f t="shared" si="14"/>
        <v/>
      </c>
      <c r="T195" s="283" t="str">
        <f>IF(C195=0,"",SUM($S$4:S195)*365)</f>
        <v/>
      </c>
    </row>
    <row r="196" spans="1:20" ht="15.75" x14ac:dyDescent="0.25">
      <c r="A196" s="176">
        <v>191.94832999999099</v>
      </c>
      <c r="B196" s="173">
        <v>111035</v>
      </c>
      <c r="C196" s="203"/>
      <c r="D196" s="203"/>
      <c r="E196" s="203"/>
      <c r="F196" s="203"/>
      <c r="G196" s="203"/>
      <c r="H196" s="203"/>
      <c r="P196" s="282" t="str">
        <f t="shared" si="11"/>
        <v/>
      </c>
      <c r="Q196" s="232" t="str">
        <f t="shared" si="12"/>
        <v/>
      </c>
      <c r="R196" s="233" t="str">
        <f t="shared" si="13"/>
        <v/>
      </c>
      <c r="S196" s="234" t="str">
        <f t="shared" si="14"/>
        <v/>
      </c>
      <c r="T196" s="283" t="str">
        <f>IF(C196=0,"",SUM($S$4:S196)*365)</f>
        <v/>
      </c>
    </row>
    <row r="197" spans="1:20" ht="15.75" x14ac:dyDescent="0.25">
      <c r="A197" s="176">
        <v>192.94832999999099</v>
      </c>
      <c r="B197" s="173">
        <v>111401</v>
      </c>
      <c r="C197" s="203"/>
      <c r="D197" s="203"/>
      <c r="E197" s="203"/>
      <c r="F197" s="203"/>
      <c r="G197" s="203"/>
      <c r="H197" s="203"/>
      <c r="P197" s="282" t="str">
        <f t="shared" si="11"/>
        <v/>
      </c>
      <c r="Q197" s="232" t="str">
        <f t="shared" si="12"/>
        <v/>
      </c>
      <c r="R197" s="233" t="str">
        <f t="shared" si="13"/>
        <v/>
      </c>
      <c r="S197" s="234" t="str">
        <f t="shared" ref="S197:S204" si="15">IF(C197=0,"",OCF*FPF*(C197+D197/10)/P197)</f>
        <v/>
      </c>
      <c r="T197" s="283" t="str">
        <f>IF(C197=0,"",SUM($S$4:S197)*365)</f>
        <v/>
      </c>
    </row>
    <row r="198" spans="1:20" ht="15.75" x14ac:dyDescent="0.25">
      <c r="A198" s="176">
        <v>193.94832999999099</v>
      </c>
      <c r="B198" s="173">
        <v>111766</v>
      </c>
      <c r="C198" s="203"/>
      <c r="D198" s="203"/>
      <c r="E198" s="203"/>
      <c r="F198" s="203"/>
      <c r="G198" s="203"/>
      <c r="H198" s="203"/>
      <c r="P198" s="282" t="str">
        <f t="shared" ref="P198:P204" si="16">IF(C198="","",(IF($L$4=5,IF((G198+H198)=0,5,3),IF($L$4=7,IF((G198+H198)=0,7,4),"Invaid"))))</f>
        <v/>
      </c>
      <c r="Q198" s="232" t="str">
        <f t="shared" ref="Q198:Q204" si="17">IF(C198=0,"",IF($L$4=5,IF((G198+H198)=0,0,2),IF($L$4=7,IF((G198+H198)=0,0,3),"Invaid")))</f>
        <v/>
      </c>
      <c r="R198" s="233" t="str">
        <f t="shared" ref="R198:R204" si="18">IF(C198=0,"",IF((G198+H198)=0,1,IF(H198&gt;0, 3, 2)))</f>
        <v/>
      </c>
      <c r="S198" s="234" t="str">
        <f t="shared" si="15"/>
        <v/>
      </c>
      <c r="T198" s="283" t="str">
        <f>IF(C198=0,"",SUM($S$4:S198)*365)</f>
        <v/>
      </c>
    </row>
    <row r="199" spans="1:20" ht="15.75" x14ac:dyDescent="0.25">
      <c r="A199" s="176">
        <v>194.94832999999099</v>
      </c>
      <c r="B199" s="173">
        <v>112131</v>
      </c>
      <c r="C199" s="203"/>
      <c r="D199" s="203"/>
      <c r="E199" s="203"/>
      <c r="F199" s="203"/>
      <c r="G199" s="203"/>
      <c r="H199" s="203"/>
      <c r="P199" s="282" t="str">
        <f t="shared" si="16"/>
        <v/>
      </c>
      <c r="Q199" s="232" t="str">
        <f t="shared" si="17"/>
        <v/>
      </c>
      <c r="R199" s="233" t="str">
        <f t="shared" si="18"/>
        <v/>
      </c>
      <c r="S199" s="234" t="str">
        <f t="shared" si="15"/>
        <v/>
      </c>
      <c r="T199" s="283" t="str">
        <f>IF(C199=0,"",SUM($S$4:S199)*365)</f>
        <v/>
      </c>
    </row>
    <row r="200" spans="1:20" ht="15.75" x14ac:dyDescent="0.25">
      <c r="A200" s="176">
        <v>195.94832999999099</v>
      </c>
      <c r="B200" s="173">
        <v>112496</v>
      </c>
      <c r="C200" s="203"/>
      <c r="D200" s="203"/>
      <c r="E200" s="203"/>
      <c r="F200" s="203"/>
      <c r="G200" s="203"/>
      <c r="H200" s="203"/>
      <c r="O200" s="231"/>
      <c r="P200" s="282" t="str">
        <f t="shared" si="16"/>
        <v/>
      </c>
      <c r="Q200" s="232" t="str">
        <f t="shared" si="17"/>
        <v/>
      </c>
      <c r="R200" s="233" t="str">
        <f t="shared" si="18"/>
        <v/>
      </c>
      <c r="S200" s="234" t="str">
        <f t="shared" si="15"/>
        <v/>
      </c>
      <c r="T200" s="283" t="str">
        <f>IF(C200=0,"",SUM($S$4:S200)*365)</f>
        <v/>
      </c>
    </row>
    <row r="201" spans="1:20" ht="15.75" x14ac:dyDescent="0.25">
      <c r="A201" s="176">
        <v>196.94832999999099</v>
      </c>
      <c r="B201" s="173">
        <v>112862</v>
      </c>
      <c r="C201" s="203"/>
      <c r="D201" s="203"/>
      <c r="E201" s="203"/>
      <c r="F201" s="203"/>
      <c r="G201" s="203"/>
      <c r="H201" s="203"/>
      <c r="O201" s="231"/>
      <c r="P201" s="282" t="str">
        <f t="shared" si="16"/>
        <v/>
      </c>
      <c r="Q201" s="232" t="str">
        <f t="shared" si="17"/>
        <v/>
      </c>
      <c r="R201" s="233" t="str">
        <f t="shared" si="18"/>
        <v/>
      </c>
      <c r="S201" s="234" t="str">
        <f t="shared" si="15"/>
        <v/>
      </c>
      <c r="T201" s="283" t="str">
        <f>IF(C201=0,"",SUM($S$4:S201)*365)</f>
        <v/>
      </c>
    </row>
    <row r="202" spans="1:20" ht="15.75" x14ac:dyDescent="0.25">
      <c r="A202" s="176">
        <v>197.94832999999099</v>
      </c>
      <c r="B202" s="173">
        <v>113227</v>
      </c>
      <c r="C202" s="203"/>
      <c r="D202" s="203"/>
      <c r="E202" s="203"/>
      <c r="F202" s="203"/>
      <c r="G202" s="203"/>
      <c r="H202" s="203"/>
      <c r="O202" s="231"/>
      <c r="P202" s="282" t="str">
        <f t="shared" si="16"/>
        <v/>
      </c>
      <c r="Q202" s="232" t="str">
        <f t="shared" si="17"/>
        <v/>
      </c>
      <c r="R202" s="233" t="str">
        <f t="shared" si="18"/>
        <v/>
      </c>
      <c r="S202" s="234" t="str">
        <f t="shared" si="15"/>
        <v/>
      </c>
      <c r="T202" s="283" t="str">
        <f>IF(C202=0,"",SUM($S$4:S202)*365)</f>
        <v/>
      </c>
    </row>
    <row r="203" spans="1:20" ht="15.75" x14ac:dyDescent="0.25">
      <c r="A203" s="176">
        <v>198.94832999999099</v>
      </c>
      <c r="B203" s="173">
        <v>113592</v>
      </c>
      <c r="C203" s="203"/>
      <c r="D203" s="203"/>
      <c r="E203" s="203"/>
      <c r="F203" s="203"/>
      <c r="G203" s="203"/>
      <c r="H203" s="203"/>
      <c r="O203" s="231"/>
      <c r="P203" s="282" t="str">
        <f t="shared" si="16"/>
        <v/>
      </c>
      <c r="Q203" s="232" t="str">
        <f t="shared" si="17"/>
        <v/>
      </c>
      <c r="R203" s="233" t="str">
        <f t="shared" si="18"/>
        <v/>
      </c>
      <c r="S203" s="234" t="str">
        <f t="shared" si="15"/>
        <v/>
      </c>
      <c r="T203" s="283" t="str">
        <f>IF(C203=0,"",SUM($S$4:S203)*365)</f>
        <v/>
      </c>
    </row>
    <row r="204" spans="1:20" ht="16.5" thickBot="1" x14ac:dyDescent="0.3">
      <c r="A204" s="177">
        <v>199.94832999999099</v>
      </c>
      <c r="B204" s="173">
        <v>113957</v>
      </c>
      <c r="C204" s="203"/>
      <c r="D204" s="203"/>
      <c r="E204" s="203"/>
      <c r="F204" s="203"/>
      <c r="G204" s="203"/>
      <c r="H204" s="203"/>
      <c r="O204" s="231"/>
      <c r="P204" s="284" t="str">
        <f t="shared" si="16"/>
        <v/>
      </c>
      <c r="Q204" s="285" t="str">
        <f t="shared" si="17"/>
        <v/>
      </c>
      <c r="R204" s="286" t="str">
        <f t="shared" si="18"/>
        <v/>
      </c>
      <c r="S204" s="287" t="str">
        <f t="shared" si="15"/>
        <v/>
      </c>
      <c r="T204" s="288" t="str">
        <f>IF(C204=0,"",SUM($S$4:S204)*365)</f>
        <v/>
      </c>
    </row>
  </sheetData>
  <mergeCells count="12">
    <mergeCell ref="B2:B3"/>
    <mergeCell ref="C1:F1"/>
    <mergeCell ref="G1:H1"/>
    <mergeCell ref="P2:P3"/>
    <mergeCell ref="Q2:Q3"/>
    <mergeCell ref="M1:M3"/>
    <mergeCell ref="P1:Q1"/>
    <mergeCell ref="S1:T3"/>
    <mergeCell ref="R1:R3"/>
    <mergeCell ref="L1:L3"/>
    <mergeCell ref="N1:N3"/>
    <mergeCell ref="O1:O3"/>
  </mergeCells>
  <conditionalFormatting sqref="N21">
    <cfRule type="cellIs" dxfId="15" priority="7" operator="equal">
      <formula>3</formula>
    </cfRule>
  </conditionalFormatting>
  <conditionalFormatting sqref="R1:R1048576">
    <cfRule type="cellIs" dxfId="14" priority="2" operator="equal">
      <formula>1</formula>
    </cfRule>
    <cfRule type="cellIs" dxfId="13" priority="3" operator="equal">
      <formula>3</formula>
    </cfRule>
    <cfRule type="cellIs" dxfId="12" priority="4" operator="equal">
      <formula>2</formula>
    </cfRule>
    <cfRule type="cellIs" dxfId="11" priority="5" operator="equal">
      <formula>2</formula>
    </cfRule>
    <cfRule type="cellIs" dxfId="10" priority="6" operator="equal">
      <formula>2</formula>
    </cfRule>
  </conditionalFormatting>
  <conditionalFormatting sqref="A1:A1048576">
    <cfRule type="duplicateValues" dxfId="9" priority="1"/>
  </conditionalFormatting>
  <pageMargins left="0.7" right="0.7" top="0.75" bottom="0.75" header="0.3" footer="0.3"/>
  <pageSetup orientation="portrait" verticalDpi="0" r:id="rId1"/>
  <drawing r:id="rId2"/>
  <legacyDrawing r:id="rId3"/>
  <controls>
    <mc:AlternateContent xmlns:mc="http://schemas.openxmlformats.org/markup-compatibility/2006">
      <mc:Choice Requires="x14">
        <control shapeId="3074" r:id="rId4" name="CommandButton1">
          <controlPr defaultSize="0" autoLine="0" r:id="rId5">
            <anchor moveWithCells="1">
              <from>
                <xdr:col>8</xdr:col>
                <xdr:colOff>66675</xdr:colOff>
                <xdr:row>0</xdr:row>
                <xdr:rowOff>76200</xdr:rowOff>
              </from>
              <to>
                <xdr:col>8</xdr:col>
                <xdr:colOff>847725</xdr:colOff>
                <xdr:row>1</xdr:row>
                <xdr:rowOff>152400</xdr:rowOff>
              </to>
            </anchor>
          </controlPr>
        </control>
      </mc:Choice>
      <mc:Fallback>
        <control shapeId="3074"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39997558519241921"/>
  </sheetPr>
  <dimension ref="A1:BC220"/>
  <sheetViews>
    <sheetView tabSelected="1" topLeftCell="Q18" zoomScale="90" zoomScaleNormal="90" workbookViewId="0">
      <selection activeCell="AD43" sqref="AD21:AD43"/>
    </sheetView>
  </sheetViews>
  <sheetFormatPr defaultColWidth="8.85546875" defaultRowHeight="12.75" x14ac:dyDescent="0.2"/>
  <cols>
    <col min="1" max="1" width="15.42578125" customWidth="1"/>
    <col min="2" max="2" width="16.28515625" style="44" bestFit="1" customWidth="1"/>
    <col min="3" max="3" width="17.42578125" customWidth="1"/>
    <col min="4" max="4" width="14.140625" customWidth="1"/>
    <col min="5" max="5" width="15.5703125" customWidth="1"/>
    <col min="6" max="6" width="15" customWidth="1"/>
    <col min="7" max="7" width="12.28515625" customWidth="1"/>
    <col min="8" max="9" width="13.85546875" customWidth="1"/>
    <col min="10" max="10" width="12.5703125" customWidth="1"/>
    <col min="11" max="11" width="14.85546875" customWidth="1"/>
    <col min="12" max="12" width="14.28515625" customWidth="1"/>
    <col min="13" max="13" width="13" customWidth="1"/>
    <col min="14" max="14" width="13.7109375" customWidth="1"/>
    <col min="15" max="15" width="12.140625" customWidth="1"/>
    <col min="16" max="16" width="12" bestFit="1" customWidth="1"/>
    <col min="17" max="17" width="19.42578125" customWidth="1"/>
    <col min="18" max="18" width="12.28515625" customWidth="1"/>
    <col min="19" max="19" width="11.85546875" customWidth="1"/>
    <col min="20" max="20" width="10.42578125" bestFit="1" customWidth="1"/>
    <col min="21" max="21" width="11" customWidth="1"/>
    <col min="22" max="22" width="11.5703125" bestFit="1" customWidth="1"/>
    <col min="23" max="23" width="13.140625" customWidth="1"/>
    <col min="24" max="24" width="12.28515625" style="44" customWidth="1"/>
    <col min="25" max="25" width="13.140625" style="305" customWidth="1"/>
    <col min="26" max="26" width="12.5703125" style="305" customWidth="1"/>
    <col min="27" max="27" width="14.5703125" style="44" customWidth="1"/>
    <col min="28" max="28" width="13.140625" style="371" customWidth="1"/>
    <col min="29" max="29" width="13.140625" style="375" customWidth="1"/>
    <col min="30" max="30" width="17.5703125" style="375" customWidth="1"/>
    <col min="31" max="31" width="8.28515625" customWidth="1"/>
    <col min="32" max="32" width="10.5703125" customWidth="1"/>
    <col min="33" max="33" width="9.42578125" customWidth="1"/>
    <col min="34" max="34" width="12" customWidth="1"/>
    <col min="35" max="35" width="13.7109375" customWidth="1"/>
    <col min="36" max="36" width="10" bestFit="1" customWidth="1"/>
    <col min="37" max="37" width="12.7109375" customWidth="1"/>
    <col min="38" max="38" width="12" customWidth="1"/>
    <col min="39" max="39" width="10.7109375" bestFit="1" customWidth="1"/>
    <col min="40" max="40" width="10.7109375" customWidth="1"/>
    <col min="41" max="41" width="10.28515625" customWidth="1"/>
    <col min="42" max="42" width="7.85546875" bestFit="1" customWidth="1"/>
    <col min="43" max="43" width="8.85546875" bestFit="1" customWidth="1"/>
    <col min="44" max="44" width="10.140625" bestFit="1" customWidth="1"/>
    <col min="45" max="45" width="11.7109375" bestFit="1" customWidth="1"/>
    <col min="46" max="46" width="13.140625" bestFit="1" customWidth="1"/>
    <col min="47" max="47" width="10.7109375" bestFit="1" customWidth="1"/>
    <col min="48" max="48" width="15.42578125" bestFit="1" customWidth="1"/>
    <col min="49" max="49" width="7" bestFit="1" customWidth="1"/>
    <col min="50" max="50" width="7.85546875" bestFit="1" customWidth="1"/>
    <col min="51" max="51" width="9.28515625" bestFit="1" customWidth="1"/>
    <col min="52" max="52" width="10.85546875" bestFit="1" customWidth="1"/>
    <col min="53" max="53" width="12.140625" bestFit="1" customWidth="1"/>
    <col min="54" max="54" width="10" bestFit="1" customWidth="1"/>
    <col min="55" max="55" width="11" bestFit="1" customWidth="1"/>
  </cols>
  <sheetData>
    <row r="1" spans="1:18" ht="25.5" customHeight="1" x14ac:dyDescent="0.3">
      <c r="A1" s="21" t="s">
        <v>64</v>
      </c>
      <c r="C1" s="9"/>
      <c r="D1" s="9"/>
      <c r="I1" s="100" t="s">
        <v>5</v>
      </c>
    </row>
    <row r="2" spans="1:18" ht="18" customHeight="1" x14ac:dyDescent="0.25">
      <c r="A2" s="127" t="s">
        <v>126</v>
      </c>
      <c r="B2" s="8"/>
      <c r="C2" s="9"/>
      <c r="D2" s="9"/>
      <c r="R2" s="133"/>
    </row>
    <row r="3" spans="1:18" ht="15.75" customHeight="1" x14ac:dyDescent="0.2">
      <c r="B3"/>
      <c r="D3" s="9"/>
      <c r="R3" s="134"/>
    </row>
    <row r="4" spans="1:18" ht="13.5" customHeight="1" thickBot="1" x14ac:dyDescent="0.25">
      <c r="B4"/>
      <c r="D4" s="9"/>
      <c r="E4" s="436"/>
      <c r="F4" s="436"/>
      <c r="G4" s="8"/>
      <c r="H4" s="8"/>
      <c r="I4" s="8"/>
      <c r="R4" s="135"/>
    </row>
    <row r="5" spans="1:18" ht="15" customHeight="1" thickBot="1" x14ac:dyDescent="0.25">
      <c r="A5" s="210" t="s">
        <v>27</v>
      </c>
      <c r="B5" s="211" t="s">
        <v>61</v>
      </c>
      <c r="C5" s="211" t="s">
        <v>166</v>
      </c>
      <c r="D5" s="9"/>
      <c r="E5" s="446" t="s">
        <v>115</v>
      </c>
      <c r="F5" s="447"/>
      <c r="G5" s="447"/>
      <c r="H5" s="448"/>
      <c r="I5" s="8"/>
      <c r="J5" s="456" t="s">
        <v>195</v>
      </c>
      <c r="K5" s="457"/>
      <c r="L5" s="323" t="s">
        <v>138</v>
      </c>
      <c r="M5" s="326" t="s">
        <v>204</v>
      </c>
      <c r="N5" s="342" t="s">
        <v>203</v>
      </c>
      <c r="P5" s="416" t="s">
        <v>196</v>
      </c>
      <c r="Q5" s="417"/>
      <c r="R5" s="418"/>
    </row>
    <row r="6" spans="1:18" ht="13.5" customHeight="1" thickBot="1" x14ac:dyDescent="0.25">
      <c r="A6" s="340">
        <v>5.000000074505806E-2</v>
      </c>
      <c r="B6" s="209">
        <v>1</v>
      </c>
      <c r="C6" s="209">
        <v>0.25</v>
      </c>
      <c r="D6" s="9"/>
      <c r="E6" s="437" t="s">
        <v>116</v>
      </c>
      <c r="F6" s="438"/>
      <c r="G6" s="195" t="s">
        <v>131</v>
      </c>
      <c r="H6" s="196" t="s">
        <v>130</v>
      </c>
      <c r="J6" s="197" t="s">
        <v>29</v>
      </c>
      <c r="K6" s="68">
        <v>95</v>
      </c>
      <c r="L6" s="324">
        <v>9.9999997764825821E-3</v>
      </c>
      <c r="M6" s="321">
        <v>120</v>
      </c>
      <c r="N6" s="322">
        <v>60</v>
      </c>
      <c r="P6" s="419" t="s">
        <v>139</v>
      </c>
      <c r="Q6" s="420"/>
      <c r="R6" s="199">
        <v>0.78</v>
      </c>
    </row>
    <row r="7" spans="1:18" ht="13.5" customHeight="1" thickBot="1" x14ac:dyDescent="0.25">
      <c r="A7" s="6"/>
      <c r="B7"/>
      <c r="D7" s="9"/>
      <c r="E7" s="439" t="s">
        <v>117</v>
      </c>
      <c r="F7" s="440"/>
      <c r="G7" s="38">
        <v>4000</v>
      </c>
      <c r="H7" s="75">
        <f>$G$7*1.15</f>
        <v>4600</v>
      </c>
      <c r="J7" s="197" t="s">
        <v>30</v>
      </c>
      <c r="K7" s="68">
        <v>3.5</v>
      </c>
      <c r="L7" s="324">
        <v>0.01</v>
      </c>
      <c r="M7" s="4">
        <v>4</v>
      </c>
      <c r="N7" s="327">
        <v>1</v>
      </c>
      <c r="P7" s="461" t="s">
        <v>140</v>
      </c>
      <c r="Q7" s="462"/>
      <c r="R7" s="200">
        <v>1.2999999523162842</v>
      </c>
    </row>
    <row r="8" spans="1:18" ht="13.5" customHeight="1" thickBot="1" x14ac:dyDescent="0.3">
      <c r="E8" s="439" t="s">
        <v>118</v>
      </c>
      <c r="F8" s="440"/>
      <c r="G8" s="212">
        <v>16</v>
      </c>
      <c r="H8" s="449"/>
      <c r="J8" s="198" t="s">
        <v>79</v>
      </c>
      <c r="K8" s="70">
        <v>12</v>
      </c>
      <c r="L8" s="325">
        <v>0.01</v>
      </c>
      <c r="M8" s="5">
        <v>16</v>
      </c>
      <c r="N8" s="75">
        <v>10</v>
      </c>
      <c r="P8" s="427" t="s">
        <v>209</v>
      </c>
      <c r="Q8" s="428"/>
      <c r="R8" s="343">
        <v>5.000000074505806E-2</v>
      </c>
    </row>
    <row r="9" spans="1:18" ht="13.5" customHeight="1" thickBot="1" x14ac:dyDescent="0.3">
      <c r="E9" s="439" t="s">
        <v>119</v>
      </c>
      <c r="F9" s="440"/>
      <c r="G9" s="213">
        <v>600</v>
      </c>
      <c r="H9" s="449"/>
      <c r="P9" s="427" t="s">
        <v>210</v>
      </c>
      <c r="Q9" s="428"/>
      <c r="R9" s="380">
        <v>10</v>
      </c>
    </row>
    <row r="10" spans="1:18" ht="12.75" customHeight="1" thickBot="1" x14ac:dyDescent="0.25">
      <c r="B10"/>
      <c r="E10" s="450" t="s">
        <v>120</v>
      </c>
      <c r="F10" s="451"/>
      <c r="G10" s="214">
        <v>300</v>
      </c>
      <c r="H10" s="449"/>
      <c r="M10" s="136"/>
      <c r="N10" s="136"/>
    </row>
    <row r="11" spans="1:18" ht="13.5" customHeight="1" thickBot="1" x14ac:dyDescent="0.25">
      <c r="B11"/>
      <c r="L11" s="136"/>
      <c r="M11" s="136"/>
      <c r="N11" s="136"/>
    </row>
    <row r="12" spans="1:18" ht="21.75" customHeight="1" thickBot="1" x14ac:dyDescent="0.3">
      <c r="A12" s="441" t="s">
        <v>57</v>
      </c>
      <c r="B12" s="444" t="s">
        <v>122</v>
      </c>
      <c r="C12" s="445"/>
      <c r="D12" s="445"/>
      <c r="E12" s="425" t="s">
        <v>58</v>
      </c>
      <c r="F12" s="425" t="s">
        <v>211</v>
      </c>
      <c r="G12" s="434" t="s">
        <v>59</v>
      </c>
      <c r="H12" s="425" t="s">
        <v>60</v>
      </c>
      <c r="I12" s="434" t="s">
        <v>66</v>
      </c>
      <c r="J12" s="425" t="s">
        <v>65</v>
      </c>
      <c r="K12" s="421" t="s">
        <v>221</v>
      </c>
      <c r="L12" s="421" t="s">
        <v>232</v>
      </c>
      <c r="M12" s="194"/>
      <c r="N12" s="194"/>
      <c r="O12" s="194"/>
    </row>
    <row r="13" spans="1:18" ht="26.25" customHeight="1" thickBot="1" x14ac:dyDescent="0.25">
      <c r="A13" s="442"/>
      <c r="B13" s="162" t="s">
        <v>81</v>
      </c>
      <c r="C13" s="162" t="s">
        <v>82</v>
      </c>
      <c r="D13" s="162" t="s">
        <v>83</v>
      </c>
      <c r="E13" s="426"/>
      <c r="F13" s="426"/>
      <c r="G13" s="435"/>
      <c r="H13" s="426"/>
      <c r="I13" s="435"/>
      <c r="J13" s="426"/>
      <c r="K13" s="422"/>
      <c r="L13" s="422"/>
      <c r="M13" s="194"/>
      <c r="N13" s="194"/>
      <c r="O13" s="194"/>
      <c r="R13" s="130"/>
    </row>
    <row r="14" spans="1:18" ht="18.75" customHeight="1" thickBot="1" x14ac:dyDescent="0.25">
      <c r="A14" s="443"/>
      <c r="B14" s="103">
        <f>$F$20</f>
        <v>1922480.7709728223</v>
      </c>
      <c r="C14" s="101">
        <f>$G$20</f>
        <v>1126893.3545550967</v>
      </c>
      <c r="D14" s="102">
        <f>$H$20</f>
        <v>73248.068046081287</v>
      </c>
      <c r="E14" s="104">
        <f>IF(ISNUMBER($L$20/$F$20),1000*$L$20/$F$20,"N/A")</f>
        <v>0.4681451245645375</v>
      </c>
      <c r="F14" s="104">
        <f>(NPV($A$6, V22:V220)+V21)/1000</f>
        <v>3.4325588381852277</v>
      </c>
      <c r="G14" s="104">
        <f>IF(ISNUMBER($T$20/$L$20), $T$20/$L$20, "N/A")</f>
        <v>-4.3384925759268382</v>
      </c>
      <c r="H14" s="104">
        <f>IF(ISNUMBER($T$20/$B$14), 1000*$T$20/$B$14, "N/A")</f>
        <v>-2.0310441473795908</v>
      </c>
      <c r="I14" s="105">
        <f>IF(ISNUMBER($U$20/$L$20), $U$20/$L$20, "N/A")</f>
        <v>10.685676869980885</v>
      </c>
      <c r="J14" s="126">
        <f>IF(SUM(V21:V120)=0, "N/A", IRR(V21:V120))</f>
        <v>3.2440424887329344E-2</v>
      </c>
      <c r="K14" s="379">
        <f>(NPV($A$6, AA22:AA220)+AA21)/1000</f>
        <v>25.142755130579815</v>
      </c>
      <c r="L14" s="379">
        <f>(NPV($A$6, AD22:AD220)+AD21)/1000</f>
        <v>5.3645014852641086</v>
      </c>
      <c r="M14" s="206" t="s">
        <v>200</v>
      </c>
      <c r="N14" s="207"/>
      <c r="O14" s="208"/>
    </row>
    <row r="16" spans="1:18" x14ac:dyDescent="0.2">
      <c r="A16" s="1" t="s">
        <v>114</v>
      </c>
      <c r="B16" s="1">
        <v>2012</v>
      </c>
      <c r="P16" s="42"/>
      <c r="Q16" s="42"/>
      <c r="R16" s="42"/>
    </row>
    <row r="17" spans="1:55" ht="13.5" thickBot="1" x14ac:dyDescent="0.25">
      <c r="B17" s="334"/>
      <c r="H17" s="20"/>
      <c r="I17" s="20"/>
    </row>
    <row r="18" spans="1:55" ht="60.75" customHeight="1" thickBot="1" x14ac:dyDescent="0.25">
      <c r="A18" s="414"/>
      <c r="B18" s="415"/>
      <c r="C18" s="429" t="s">
        <v>28</v>
      </c>
      <c r="D18" s="430"/>
      <c r="E18" s="431"/>
      <c r="F18" s="432" t="s">
        <v>88</v>
      </c>
      <c r="G18" s="430"/>
      <c r="H18" s="433"/>
      <c r="I18" s="432" t="s">
        <v>86</v>
      </c>
      <c r="J18" s="430"/>
      <c r="K18" s="433"/>
      <c r="L18" s="432" t="s">
        <v>123</v>
      </c>
      <c r="M18" s="431"/>
      <c r="N18" s="423" t="s">
        <v>102</v>
      </c>
      <c r="O18" s="423" t="s">
        <v>56</v>
      </c>
      <c r="P18" s="463" t="s">
        <v>105</v>
      </c>
      <c r="Q18" s="463" t="s">
        <v>106</v>
      </c>
      <c r="R18" s="463" t="s">
        <v>108</v>
      </c>
      <c r="S18" s="423" t="s">
        <v>109</v>
      </c>
      <c r="T18" s="423" t="s">
        <v>124</v>
      </c>
      <c r="U18" s="423" t="s">
        <v>111</v>
      </c>
      <c r="V18" s="459" t="s">
        <v>112</v>
      </c>
      <c r="W18" s="423" t="s">
        <v>113</v>
      </c>
      <c r="X18" s="452" t="s">
        <v>125</v>
      </c>
      <c r="Y18" s="454" t="s">
        <v>212</v>
      </c>
      <c r="Z18" s="454" t="s">
        <v>233</v>
      </c>
      <c r="AA18" s="452" t="s">
        <v>229</v>
      </c>
      <c r="AB18" s="408" t="s">
        <v>231</v>
      </c>
      <c r="AC18" s="412" t="s">
        <v>234</v>
      </c>
      <c r="AD18" s="410" t="s">
        <v>230</v>
      </c>
    </row>
    <row r="19" spans="1:55" ht="27.75" customHeight="1" thickBot="1" x14ac:dyDescent="0.25">
      <c r="A19" s="166" t="s">
        <v>0</v>
      </c>
      <c r="B19" s="165"/>
      <c r="C19" s="162" t="s">
        <v>29</v>
      </c>
      <c r="D19" s="162" t="s">
        <v>30</v>
      </c>
      <c r="E19" s="163" t="s">
        <v>79</v>
      </c>
      <c r="F19" s="162" t="s">
        <v>81</v>
      </c>
      <c r="G19" s="162" t="s">
        <v>82</v>
      </c>
      <c r="H19" s="164" t="s">
        <v>83</v>
      </c>
      <c r="I19" s="162" t="s">
        <v>77</v>
      </c>
      <c r="J19" s="162" t="s">
        <v>78</v>
      </c>
      <c r="K19" s="164" t="s">
        <v>80</v>
      </c>
      <c r="L19" s="161" t="s">
        <v>87</v>
      </c>
      <c r="M19" s="162" t="s">
        <v>121</v>
      </c>
      <c r="N19" s="424"/>
      <c r="O19" s="424"/>
      <c r="P19" s="464"/>
      <c r="Q19" s="464"/>
      <c r="R19" s="464"/>
      <c r="S19" s="424"/>
      <c r="T19" s="424"/>
      <c r="U19" s="424"/>
      <c r="V19" s="460"/>
      <c r="W19" s="424"/>
      <c r="X19" s="458"/>
      <c r="Y19" s="455"/>
      <c r="Z19" s="455"/>
      <c r="AA19" s="453"/>
      <c r="AB19" s="409"/>
      <c r="AC19" s="413"/>
      <c r="AD19" s="411"/>
    </row>
    <row r="20" spans="1:55" s="98" customFormat="1" ht="18.95" customHeight="1" thickBot="1" x14ac:dyDescent="0.25">
      <c r="A20" s="162" t="s">
        <v>1</v>
      </c>
      <c r="B20" s="162" t="s">
        <v>0</v>
      </c>
      <c r="C20" s="308">
        <f>AVERAGE(C21:C220)</f>
        <v>106.21950730984149</v>
      </c>
      <c r="D20" s="308">
        <f>AVERAGE(D21:D220)</f>
        <v>3.8398249840507743</v>
      </c>
      <c r="E20" s="308">
        <f t="shared" ref="D20:E20" si="0">AVERAGE(E21:E220)</f>
        <v>13.417200957309401</v>
      </c>
      <c r="F20" s="309">
        <f t="shared" ref="F20:L20" si="1">SUM(F21:F220)</f>
        <v>1922480.7709728223</v>
      </c>
      <c r="G20" s="309">
        <f t="shared" si="1"/>
        <v>1126893.3545550967</v>
      </c>
      <c r="H20" s="309">
        <f t="shared" si="1"/>
        <v>73248.068046081287</v>
      </c>
      <c r="I20" s="310">
        <f t="shared" si="1"/>
        <v>200099.47186442345</v>
      </c>
      <c r="J20" s="311">
        <f t="shared" si="1"/>
        <v>4265.8161747515196</v>
      </c>
      <c r="K20" s="310">
        <f t="shared" si="1"/>
        <v>962.60409021336079</v>
      </c>
      <c r="L20" s="312">
        <f t="shared" si="1"/>
        <v>900</v>
      </c>
      <c r="M20" s="310"/>
      <c r="N20" s="313">
        <f>SUM(N21:N220)</f>
        <v>198966.14068827187</v>
      </c>
      <c r="O20" s="308">
        <f>IF(SUM(O21:O220)=0, 0, AVERAGEIF(O21:O220,"&gt;0"))</f>
        <v>109.97200927479044</v>
      </c>
      <c r="P20" s="314"/>
      <c r="Q20" s="310"/>
      <c r="R20" s="315">
        <f>IF(F20=0, 0, SUMPRODUCT(F21:F220,R21:R220)/F20)</f>
        <v>0.39550635508786203</v>
      </c>
      <c r="S20" s="316">
        <f>IF(F20=0, 0, SUMPRODUCT(F21:F220,S21:S220)/F20)</f>
        <v>5.0000000745058081E-2</v>
      </c>
      <c r="T20" s="317">
        <f>SUM(T21:T220)</f>
        <v>-3904.6433183341542</v>
      </c>
      <c r="U20" s="317">
        <f>SUM(U21:U220)</f>
        <v>9617.1091829827965</v>
      </c>
      <c r="V20" s="345">
        <f>SUM(V21:V220)</f>
        <v>-10966.551310909395</v>
      </c>
      <c r="W20" s="318">
        <f>MAX(W21:W220)</f>
        <v>18485.723977725709</v>
      </c>
      <c r="X20" s="319">
        <f>INDEX(CO2_PercenatgeStorage,MATCH("",N21:N220,0)-1)</f>
        <v>0.18661162584749102</v>
      </c>
      <c r="Y20" s="320">
        <f>INDEX(CO2_StoredVol,MATCH("",O21:O220,0)-1)</f>
        <v>4832.033045500003</v>
      </c>
      <c r="Z20" s="372">
        <f>INDEX(CO2_StoredMass,MATCH("",P21:P220,0)-1)</f>
        <v>277.7030485919542</v>
      </c>
      <c r="AA20" s="367">
        <f>SUM(AA21:AA220)</f>
        <v>29798.448546577609</v>
      </c>
      <c r="AB20" s="374">
        <f>AVERAGE(AB21:AB220)</f>
        <v>3.0050881501804683E-2</v>
      </c>
      <c r="AC20" s="376">
        <f>SUM(AC21:AC220)</f>
        <v>-128.44091953724183</v>
      </c>
      <c r="AD20" s="376">
        <f>SUM(AD21:AD220)</f>
        <v>-7580.1507634849577</v>
      </c>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row>
    <row r="21" spans="1:55" x14ac:dyDescent="0.2">
      <c r="A21" s="185">
        <v>0</v>
      </c>
      <c r="B21" s="185">
        <f>A21+$B$16</f>
        <v>2012</v>
      </c>
      <c r="C21" s="289">
        <f>IF(IN_DATA!C5="","",$K$6)</f>
        <v>95</v>
      </c>
      <c r="D21" s="290">
        <f>IF(IN_DATA!C5="","",$K$7)</f>
        <v>3.5</v>
      </c>
      <c r="E21" s="291">
        <f>IF(IN_DATA!C5="","",$K$8)</f>
        <v>12</v>
      </c>
      <c r="F21" s="110">
        <f>IF(O21="", "", IN_DATA!C5*365*OCF*FPF)</f>
        <v>108772.54918524652</v>
      </c>
      <c r="G21" s="184">
        <f>IF(O21="","",IN_DATA!D5*365*FPF*OCF)</f>
        <v>64232.107000980272</v>
      </c>
      <c r="H21" s="235">
        <f>IF(O21="","",G21*0.065)</f>
        <v>4175.0869550637181</v>
      </c>
      <c r="I21" s="186">
        <f>IF(F21="","",C21*F21/1000)</f>
        <v>10333.39217259842</v>
      </c>
      <c r="J21" s="111">
        <f>IF(G21="","",D21*G21/1000)</f>
        <v>224.81237450343093</v>
      </c>
      <c r="K21" s="237">
        <f>IF(H21="","",E21*H21/1000)</f>
        <v>50.101043460764615</v>
      </c>
      <c r="L21" s="246">
        <f>IF(F21="","",IF(IN_DATA!$R$5=3,IN_DATA!$Q$5*'Economics Summary'!$G$10,0))</f>
        <v>900</v>
      </c>
      <c r="M21" s="243" t="str">
        <f>IF(I21=""," ",IF(IN_DATA!R5=1,"Primary Rec.",IF(IN_DATA!R5=2,"Water Flood",IF(IN_DATA!R5=3,"CO2 Flood",""))))</f>
        <v>CO2 Flood</v>
      </c>
      <c r="N21" s="109">
        <f>IF(I21="","",IF(O21=0, 0, OpCost!AD10))</f>
        <v>7549.4893398236673</v>
      </c>
      <c r="O21" s="187">
        <f>IF(OpCost!AE10="", "", OpCost!AE10)</f>
        <v>65.536173790925517</v>
      </c>
      <c r="P21" s="188">
        <f>IF(F21="","",((IN_DATA!C5+IN_DATA!D5/10)/IN_DATA!P5))</f>
        <v>77.811842499999997</v>
      </c>
      <c r="Q21" s="189">
        <f>IF(F21="","",SUM($P$21:P21)*365)</f>
        <v>28401.322512499999</v>
      </c>
      <c r="R21" s="125">
        <f>IF(F21="", "", HLOOKUP(C21,'Reference-Crown Royalties'!$D$2:$AB$49,MATCH(P21,'Reference-Crown Royalties'!$A$2:$A$49,1),TRUE))</f>
        <v>0.4</v>
      </c>
      <c r="S21" s="276">
        <f>IF(F21="", "", IF(IN_DATA!R5=3, CO2_Royalty_Factor, IF('Economics Summary'!A21&lt;2, IF('Economics Summary'!Q21&lt;60000, 0.05, ((60000*0.05+('Economics Summary'!Q21-60000)*R21)/'Economics Summary'!Q21)),R21)))</f>
        <v>5.000000074505806E-2</v>
      </c>
      <c r="T21" s="183">
        <f>IF(F21="","",(I21+J21+K21)*$B$6*(1-S21)-N21)</f>
        <v>2528.4009633070145</v>
      </c>
      <c r="U21" s="183">
        <f>IF(F21="","",T21/(1+$A$6)^$A21)</f>
        <v>2528.4009633070145</v>
      </c>
      <c r="V21" s="344">
        <f t="shared" ref="V21:V52" si="2">IF(F21="","",IF(T21-L21&lt;0,T21-L21,(T21-L21)*(1-Tax_Rate)))</f>
        <v>1221.3007224802609</v>
      </c>
      <c r="W21" s="256">
        <f>IF(F21="","",SUM($V$21:V21))</f>
        <v>1221.3007224802609</v>
      </c>
      <c r="X21" s="259">
        <f xml:space="preserve"> IF(OR(F21="",SUM(IN_DATA!$H$5:'IN_DATA'!H5)=0), "", 1-SUM(IN_DATA!$F$5:'IN_DATA'!F5)/SUM(IN_DATA!$H$5:'IN_DATA'!H5))</f>
        <v>0.76796307102367456</v>
      </c>
      <c r="Y21" s="306">
        <f>IF(OR(F21="",SUM(IN_DATA!$H$5:'IN_DATA'!H5)=0),"",365*(SUM(IN_DATA!$H$5:'IN_DATA'!H5)-SUM(IN_DATA!$F$5:'IN_DATA'!F5))/1000)</f>
        <v>739.76254549999999</v>
      </c>
      <c r="Z21" s="368">
        <f>IF(Y21="","",Y21/17.4)</f>
        <v>42.515088821839086</v>
      </c>
      <c r="AA21" s="370">
        <f t="shared" ref="AA21:AA52" si="3">IF(F21="","",IF(T21-L21+(Z21*CO2_Incentive)&lt;0,T21-L21+(Z21*CO2_Incentive),(T21-L21+(Z21*CO2_Incentive))*(1-Tax_Rate)))</f>
        <v>1540.1638886440539</v>
      </c>
      <c r="AB21" s="373">
        <f>IF(F21="", "", IF(IN_DATA!R5=3, MAX(CO2_Royalty_Factor-Z21/10000,0), IF('Economics Summary'!A21&lt;2, IF('Economics Summary'!Q21&lt;60000, 0.05, ((60000*0.05+('Economics Summary'!Q21-60000)*R21)/'Economics Summary'!Q21)),R21)))</f>
        <v>4.5748491862874149E-2</v>
      </c>
      <c r="AC21" s="377">
        <f>IF(F21="","",(I21+J21+K21)*$B$6*(1-AB21)-N21)</f>
        <v>2573.5022687502133</v>
      </c>
      <c r="AD21" s="378">
        <f t="shared" ref="AD21:AD52" si="4">IF(F21="","",IF(AC21-L21&lt;0,AC21-L21,(AC21-L21)*(1-Tax_Rate)))</f>
        <v>1255.1267015626599</v>
      </c>
    </row>
    <row r="22" spans="1:55" x14ac:dyDescent="0.2">
      <c r="A22" s="178">
        <v>1</v>
      </c>
      <c r="B22" s="178">
        <f t="shared" ref="B22:B61" si="5">A22+$B$16</f>
        <v>2013</v>
      </c>
      <c r="C22" s="292">
        <f>IF(IN_DATA!C6="","",MAX(min_oil_price,MIN(C21+C21*$L$6,max_oil_price)))</f>
        <v>95.949999978765845</v>
      </c>
      <c r="D22" s="293">
        <f>IF(IN_DATA!C6="","",MAX(min_gas_price,MIN(D21+D21*$L$7,max_gas_price)))</f>
        <v>3.5350000000000001</v>
      </c>
      <c r="E22" s="294">
        <f>IF(IN_DATA!C6="","",MAX(min_NGL_price,MIN(E21+E21*$L$8,16)))</f>
        <v>12.12</v>
      </c>
      <c r="F22" s="110">
        <f>IF(O22="", "", IN_DATA!C6*365*OCF*FPF)</f>
        <v>135937.36381484702</v>
      </c>
      <c r="G22" s="184">
        <f>IF(O22="","",IN_DATA!D6*365*FPF*OCF)</f>
        <v>80483.488460883134</v>
      </c>
      <c r="H22" s="235">
        <f t="shared" ref="H22:H85" si="6">IF(O22="","",G22*0.065)</f>
        <v>5231.4267499574044</v>
      </c>
      <c r="I22" s="238">
        <f t="shared" ref="I22:I85" si="7">IF(F22="","",C22*F22/1000)</f>
        <v>13043.190055148056</v>
      </c>
      <c r="J22" s="236">
        <f t="shared" ref="J22:J85" si="8">IF(G22="","",D22*G22/1000)</f>
        <v>284.50913170922189</v>
      </c>
      <c r="K22" s="239">
        <f t="shared" ref="K22:K85" si="9">IF(H22="","",E22*H22/1000)</f>
        <v>63.404892209483741</v>
      </c>
      <c r="L22" s="247">
        <f>IF(F22="","",0)</f>
        <v>0</v>
      </c>
      <c r="M22" s="244" t="str">
        <f>IF(I22=""," ",IF(IN_DATA!R6=1,"Primary Rec.",IF(IN_DATA!R6=2,"Water Flood",IF(IN_DATA!R6=3,"CO2 Flood",""))))</f>
        <v>CO2 Flood</v>
      </c>
      <c r="N22" s="109">
        <f>IF(I22="","",IF(O22=0, 0, OpCost!AD11))</f>
        <v>7925.3920718155759</v>
      </c>
      <c r="O22" s="187">
        <f>IF(OpCost!AE11="", "", OpCost!AE11)</f>
        <v>55.042906169993962</v>
      </c>
      <c r="P22" s="251">
        <f>IF(F22="","",((IN_DATA!C6+IN_DATA!D6/10)/IN_DATA!P6))</f>
        <v>97.258732500000008</v>
      </c>
      <c r="Q22" s="248">
        <f>IF(F22="","",SUM($P$21:P22)*365)</f>
        <v>63900.759875000011</v>
      </c>
      <c r="R22" s="249">
        <f>IF(F22="", "", HLOOKUP(C22,'Reference-Crown Royalties'!$D$2:$AB$49,MATCH(P22,'Reference-Crown Royalties'!$A$2:$A$49,1),TRUE))</f>
        <v>0.4</v>
      </c>
      <c r="S22" s="276">
        <f>IF(F22="", "", IF(IN_DATA!R6=3, CO2_Royalty_Factor, IF('Economics Summary'!A22&lt;2, IF('Economics Summary'!Q22&lt;60000, 0.05, ((60000*0.05+('Economics Summary'!Q22-60000)*R22)/'Economics Summary'!Q22)),R22)))</f>
        <v>5.000000074505806E-2</v>
      </c>
      <c r="T22" s="250">
        <f t="shared" ref="T22:T85" si="10">IF(F22="","",(I22+J22+K22)*$B$6*(1-S22)-N22)</f>
        <v>4796.1567933206979</v>
      </c>
      <c r="U22" s="250">
        <f t="shared" ref="U22:U85" si="11">IF(F22="","",T22/(1+$A$6)^$A22)</f>
        <v>4567.7683713499482</v>
      </c>
      <c r="V22" s="344">
        <f t="shared" si="2"/>
        <v>3597.1175949905237</v>
      </c>
      <c r="W22" s="257">
        <f>IF(F22="","",SUM($V$21:V22))</f>
        <v>4818.418317470785</v>
      </c>
      <c r="X22" s="260">
        <f xml:space="preserve"> IF(OR(F22="",SUM(IN_DATA!$H$5:'IN_DATA'!H6)=0), "", 1-SUM(IN_DATA!$F$5:'IN_DATA'!F6)/SUM(IN_DATA!$H$5:'IN_DATA'!H6))</f>
        <v>0.67928672392144895</v>
      </c>
      <c r="Y22" s="307">
        <f>IF(OR(F22="",SUM(IN_DATA!$H$5:'IN_DATA'!H6)=0),"",365*(SUM(IN_DATA!$H$5:'IN_DATA'!H6)-SUM(IN_DATA!$F$5:'IN_DATA'!F6))/1000)</f>
        <v>1312.7650955000001</v>
      </c>
      <c r="Z22" s="346">
        <f t="shared" ref="Z22:Z85" si="12">IF(Y22="","",Y22/17.4)</f>
        <v>75.446269856321848</v>
      </c>
      <c r="AA22" s="370">
        <f t="shared" si="3"/>
        <v>4162.9646189129371</v>
      </c>
      <c r="AB22" s="373">
        <f>IF(F22="", "", IF(IN_DATA!R6=3, MAX(CO2_Royalty_Factor-Z22/10000,0), IF('Economics Summary'!A22&lt;2, IF('Economics Summary'!Q22&lt;60000, 0.05, ((60000*0.05+('Economics Summary'!Q22-60000)*R22)/'Economics Summary'!Q22)),R22)))</f>
        <v>4.2455373759425874E-2</v>
      </c>
      <c r="AC22" s="377">
        <f t="shared" ref="AC22:AC85" si="13">IF(F22="","",(I22+J22+K22)*$B$6*(1-AB22)-N22)</f>
        <v>4897.1876785230334</v>
      </c>
      <c r="AD22" s="378">
        <f t="shared" si="4"/>
        <v>3672.8907588922748</v>
      </c>
    </row>
    <row r="23" spans="1:55" x14ac:dyDescent="0.2">
      <c r="A23" s="178">
        <v>2</v>
      </c>
      <c r="B23" s="178">
        <f t="shared" si="5"/>
        <v>2014</v>
      </c>
      <c r="C23" s="292">
        <f>IF(IN_DATA!C7="","",MAX(min_oil_price,MIN(C22+C22*$L$6,max_oil_price)))</f>
        <v>96.909499957107002</v>
      </c>
      <c r="D23" s="293">
        <f>IF(IN_DATA!C7="","",MAX(min_gas_price,MIN(D22+D22*$L$7,max_gas_price)))</f>
        <v>3.5703500000000004</v>
      </c>
      <c r="E23" s="294">
        <f>IF(IN_DATA!C7="","",MIN(E22+E22*$L$8,16))</f>
        <v>12.241199999999999</v>
      </c>
      <c r="F23" s="110">
        <f>IF(O23="", "", IN_DATA!C7*365*OCF*FPF)</f>
        <v>135360.65843400048</v>
      </c>
      <c r="G23" s="184">
        <f>IF(O23="","",IN_DATA!D7*365*FPF*OCF)</f>
        <v>79835.536907649861</v>
      </c>
      <c r="H23" s="235">
        <f t="shared" si="6"/>
        <v>5189.3098989972414</v>
      </c>
      <c r="I23" s="238">
        <f t="shared" si="7"/>
        <v>13117.733722703746</v>
      </c>
      <c r="J23" s="236">
        <f t="shared" si="8"/>
        <v>285.04080919822769</v>
      </c>
      <c r="K23" s="239">
        <f t="shared" si="9"/>
        <v>63.523380335605026</v>
      </c>
      <c r="L23" s="247">
        <f t="shared" ref="L23:L86" si="14">IF(F23="","",0)</f>
        <v>0</v>
      </c>
      <c r="M23" s="244" t="str">
        <f>IF(I23=""," ",IF(IN_DATA!R7=1,"Primary Rec.",IF(IN_DATA!R7=2,"Water Flood",IF(IN_DATA!R7=3,"CO2 Flood",""))))</f>
        <v>CO2 Flood</v>
      </c>
      <c r="N23" s="109">
        <f>IF(I23="","",IF(O23=0, 0, OpCost!AD12))</f>
        <v>8043.7633752428746</v>
      </c>
      <c r="O23" s="187">
        <f>IF(OpCost!AE12="", "", OpCost!AE12)</f>
        <v>56.115020313772135</v>
      </c>
      <c r="P23" s="251">
        <f>IF(F23="","",((IN_DATA!C7+IN_DATA!D7/10)/IN_DATA!P7))</f>
        <v>96.825415000000007</v>
      </c>
      <c r="Q23" s="248">
        <f>IF(F23="","",SUM($P$21:P23)*365)</f>
        <v>99242.036350000009</v>
      </c>
      <c r="R23" s="249">
        <f>IF(F23="", "", HLOOKUP(C23,'Reference-Crown Royalties'!$D$2:$AB$49,MATCH(P23,'Reference-Crown Royalties'!$A$2:$A$49,1),TRUE))</f>
        <v>0.4</v>
      </c>
      <c r="S23" s="276">
        <f>IF(F23="", "", IF(IN_DATA!R7=3, CO2_Royalty_Factor, IF('Economics Summary'!A23&lt;2, IF('Economics Summary'!Q23&lt;60000, 0.05, ((60000*0.05+('Economics Summary'!Q23-60000)*R23)/'Economics Summary'!Q23)),R23)))</f>
        <v>5.000000074505806E-2</v>
      </c>
      <c r="T23" s="250">
        <f t="shared" si="10"/>
        <v>4749.2196313496524</v>
      </c>
      <c r="U23" s="250">
        <f t="shared" si="11"/>
        <v>4307.6821991925244</v>
      </c>
      <c r="V23" s="344">
        <f t="shared" si="2"/>
        <v>3561.9147235122391</v>
      </c>
      <c r="W23" s="257">
        <f>IF(F23="","",SUM($V$21:V23))</f>
        <v>8380.3330409830232</v>
      </c>
      <c r="X23" s="260">
        <f xml:space="preserve"> IF(OR(F23="",SUM(IN_DATA!$H$5:'IN_DATA'!H7)=0), "", 1-SUM(IN_DATA!$F$5:'IN_DATA'!F7)/SUM(IN_DATA!$H$5:'IN_DATA'!H7))</f>
        <v>0.60220944910824747</v>
      </c>
      <c r="Y23" s="307">
        <f>IF(OR(F23="",SUM(IN_DATA!$H$5:'IN_DATA'!H7)=0),"",365*(SUM(IN_DATA!$H$5:'IN_DATA'!H7)-SUM(IN_DATA!$F$5:'IN_DATA'!F7))/1000)</f>
        <v>1752.5926504999998</v>
      </c>
      <c r="Z23" s="346">
        <f t="shared" si="12"/>
        <v>100.723715545977</v>
      </c>
      <c r="AA23" s="370">
        <f t="shared" si="3"/>
        <v>4317.3425901070668</v>
      </c>
      <c r="AB23" s="373">
        <f>IF(F23="", "", IF(IN_DATA!R7=3, MAX(CO2_Royalty_Factor-Z23/10000,0), IF('Economics Summary'!A23&lt;2, IF('Economics Summary'!Q23&lt;60000, 0.05, ((60000*0.05+('Economics Summary'!Q23-60000)*R23)/'Economics Summary'!Q23)),R23)))</f>
        <v>3.9927629190460362E-2</v>
      </c>
      <c r="AC23" s="377">
        <f t="shared" si="13"/>
        <v>4884.857187386614</v>
      </c>
      <c r="AD23" s="378">
        <f t="shared" si="4"/>
        <v>3663.6428905399607</v>
      </c>
    </row>
    <row r="24" spans="1:55" x14ac:dyDescent="0.2">
      <c r="A24" s="178">
        <v>3</v>
      </c>
      <c r="B24" s="178">
        <f t="shared" si="5"/>
        <v>2015</v>
      </c>
      <c r="C24" s="292">
        <f>IF(IN_DATA!C8="","",MAX(min_oil_price,MIN(C23+C23*$L$6,max_oil_price)))</f>
        <v>97.878594935017105</v>
      </c>
      <c r="D24" s="293">
        <f>IF(IN_DATA!C8="","",MAX(min_gas_price,MIN(D23+D23*$L$7,max_gas_price)))</f>
        <v>3.6060535000000002</v>
      </c>
      <c r="E24" s="294">
        <f>IF(IN_DATA!C8="","",MIN(E23+E23*$L$8,16))</f>
        <v>12.363612</v>
      </c>
      <c r="F24" s="110">
        <f>IF(O24="", "", IN_DATA!C8*365*OCF*FPF)</f>
        <v>123128.00522869153</v>
      </c>
      <c r="G24" s="184">
        <f>IF(O24="","",IN_DATA!D8*365*FPF*OCF)</f>
        <v>72800.893406679053</v>
      </c>
      <c r="H24" s="235">
        <f t="shared" si="6"/>
        <v>4732.0580714341386</v>
      </c>
      <c r="I24" s="238">
        <f t="shared" si="7"/>
        <v>12051.596148935767</v>
      </c>
      <c r="J24" s="236">
        <f t="shared" si="8"/>
        <v>262.523916472282</v>
      </c>
      <c r="K24" s="239">
        <f t="shared" si="9"/>
        <v>58.505329956679972</v>
      </c>
      <c r="L24" s="247">
        <f t="shared" si="14"/>
        <v>0</v>
      </c>
      <c r="M24" s="244" t="str">
        <f>IF(I24=""," ",IF(IN_DATA!R8=1,"Primary Rec.",IF(IN_DATA!R8=2,"Water Flood",IF(IN_DATA!R8=3,"CO2 Flood",""))))</f>
        <v>CO2 Flood</v>
      </c>
      <c r="N24" s="109">
        <f>IF(I24="","",IF(O24=0, 0, OpCost!AD13))</f>
        <v>8042.2545603461149</v>
      </c>
      <c r="O24" s="187">
        <f>IF(OpCost!AE13="", "", OpCost!AE13)</f>
        <v>61.669903136792826</v>
      </c>
      <c r="P24" s="251">
        <f>IF(F24="","",((IN_DATA!C8+IN_DATA!D8/10)/IN_DATA!P8))</f>
        <v>88.087392500000007</v>
      </c>
      <c r="Q24" s="248">
        <f>IF(F24="","",SUM($P$21:P24)*365)</f>
        <v>131393.93461250002</v>
      </c>
      <c r="R24" s="249">
        <f>IF(F24="", "", HLOOKUP(C24,'Reference-Crown Royalties'!$D$2:$AB$49,MATCH(P24,'Reference-Crown Royalties'!$A$2:$A$49,1),TRUE))</f>
        <v>0.4</v>
      </c>
      <c r="S24" s="276">
        <f>IF(F24="", "", IF(IN_DATA!R8=3, CO2_Royalty_Factor, IF('Economics Summary'!A24&lt;2, IF('Economics Summary'!Q24&lt;60000, 0.05, ((60000*0.05+('Economics Summary'!Q24-60000)*R24)/'Economics Summary'!Q24)),R24)))</f>
        <v>5.000000074505806E-2</v>
      </c>
      <c r="T24" s="250">
        <f t="shared" si="10"/>
        <v>3711.7395560320547</v>
      </c>
      <c r="U24" s="250">
        <f t="shared" si="11"/>
        <v>3206.3401776315613</v>
      </c>
      <c r="V24" s="344">
        <f t="shared" si="2"/>
        <v>2783.804667024041</v>
      </c>
      <c r="W24" s="257">
        <f>IF(F24="","",SUM($V$21:V24))</f>
        <v>11164.137708007063</v>
      </c>
      <c r="X24" s="260">
        <f xml:space="preserve"> IF(OR(F24="",SUM(IN_DATA!$H$5:'IN_DATA'!H8)=0), "", 1-SUM(IN_DATA!$F$5:'IN_DATA'!F8)/SUM(IN_DATA!$H$5:'IN_DATA'!H8))</f>
        <v>0.53833053981616641</v>
      </c>
      <c r="Y24" s="307">
        <f>IF(OR(F24="",SUM(IN_DATA!$H$5:'IN_DATA'!H8)=0),"",365*(SUM(IN_DATA!$H$5:'IN_DATA'!H8)-SUM(IN_DATA!$F$5:'IN_DATA'!F8))/1000)</f>
        <v>2097.8333754999994</v>
      </c>
      <c r="Z24" s="346">
        <f t="shared" si="12"/>
        <v>120.56513652298848</v>
      </c>
      <c r="AA24" s="370">
        <f t="shared" si="3"/>
        <v>3688.0431909464542</v>
      </c>
      <c r="AB24" s="373">
        <f>IF(F24="", "", IF(IN_DATA!R8=3, MAX(CO2_Royalty_Factor-Z24/10000,0), IF('Economics Summary'!A24&lt;2, IF('Economics Summary'!Q24&lt;60000, 0.05, ((60000*0.05+('Economics Summary'!Q24-60000)*R24)/'Economics Summary'!Q24)),R24)))</f>
        <v>3.7943487092759215E-2</v>
      </c>
      <c r="AC24" s="377">
        <f t="shared" si="13"/>
        <v>3860.910283026049</v>
      </c>
      <c r="AD24" s="378">
        <f t="shared" si="4"/>
        <v>2895.6827122695368</v>
      </c>
    </row>
    <row r="25" spans="1:55" x14ac:dyDescent="0.2">
      <c r="A25" s="178">
        <v>4</v>
      </c>
      <c r="B25" s="178">
        <f t="shared" si="5"/>
        <v>2016</v>
      </c>
      <c r="C25" s="292">
        <f>IF(IN_DATA!C9="","",MAX(min_oil_price,MIN(C24+C24*$L$6,max_oil_price)))</f>
        <v>98.857380862489705</v>
      </c>
      <c r="D25" s="293">
        <f>IF(IN_DATA!C9="","",MAX(min_gas_price,MIN(D24+D24*$L$7,max_gas_price)))</f>
        <v>3.6421140350000001</v>
      </c>
      <c r="E25" s="294">
        <f>IF(IN_DATA!C9="","",MIN(E24+E24*$L$8,16))</f>
        <v>12.48724812</v>
      </c>
      <c r="F25" s="110">
        <f>IF(O25="", "", IN_DATA!C9*365*OCF*FPF)</f>
        <v>112424.86855328025</v>
      </c>
      <c r="G25" s="184">
        <f>IF(O25="","",IN_DATA!D9*365*FPF*OCF)</f>
        <v>66431.892716292612</v>
      </c>
      <c r="H25" s="235">
        <f t="shared" si="6"/>
        <v>4318.07302655902</v>
      </c>
      <c r="I25" s="238">
        <f t="shared" si="7"/>
        <v>11114.028048986967</v>
      </c>
      <c r="J25" s="236">
        <f t="shared" si="8"/>
        <v>241.9525288336236</v>
      </c>
      <c r="K25" s="239">
        <f t="shared" si="9"/>
        <v>53.920849282921836</v>
      </c>
      <c r="L25" s="247">
        <f t="shared" si="14"/>
        <v>0</v>
      </c>
      <c r="M25" s="244" t="str">
        <f>IF(I25=""," ",IF(IN_DATA!R9=1,"Primary Rec.",IF(IN_DATA!R9=2,"Water Flood",IF(IN_DATA!R9=3,"CO2 Flood",""))))</f>
        <v>CO2 Flood</v>
      </c>
      <c r="N25" s="109">
        <f>IF(I25="","",IF(O25=0, 0, OpCost!AD14))</f>
        <v>8051.4227199919887</v>
      </c>
      <c r="O25" s="187">
        <f>IF(OpCost!AE14="", "", OpCost!AE14)</f>
        <v>67.620341400307936</v>
      </c>
      <c r="P25" s="251">
        <f>IF(F25="","",((IN_DATA!C9+IN_DATA!D9/10)/IN_DATA!P9))</f>
        <v>80.427482499999996</v>
      </c>
      <c r="Q25" s="248">
        <f>IF(F25="","",SUM($P$21:P25)*365)</f>
        <v>160749.96572500002</v>
      </c>
      <c r="R25" s="249">
        <f>IF(F25="", "", HLOOKUP(C25,'Reference-Crown Royalties'!$D$2:$AB$49,MATCH(P25,'Reference-Crown Royalties'!$A$2:$A$49,1),TRUE))</f>
        <v>0.4</v>
      </c>
      <c r="S25" s="276">
        <f>IF(F25="", "", IF(IN_DATA!R9=3, CO2_Royalty_Factor, IF('Economics Summary'!A25&lt;2, IF('Economics Summary'!Q25&lt;60000, 0.05, ((60000*0.05+('Economics Summary'!Q25-60000)*R25)/'Economics Summary'!Q25)),R25)))</f>
        <v>5.000000074505806E-2</v>
      </c>
      <c r="T25" s="250">
        <f t="shared" si="10"/>
        <v>2787.9836272553102</v>
      </c>
      <c r="U25" s="250">
        <f t="shared" si="11"/>
        <v>2293.6810233119986</v>
      </c>
      <c r="V25" s="344">
        <f t="shared" si="2"/>
        <v>2090.9877204414825</v>
      </c>
      <c r="W25" s="257">
        <f>IF(F25="","",SUM($V$21:V25))</f>
        <v>13255.125428448546</v>
      </c>
      <c r="X25" s="260">
        <f xml:space="preserve"> IF(OR(F25="",SUM(IN_DATA!$H$5:'IN_DATA'!H9)=0), "", 1-SUM(IN_DATA!$F$5:'IN_DATA'!F9)/SUM(IN_DATA!$H$5:'IN_DATA'!H9))</f>
        <v>0.48951639327587027</v>
      </c>
      <c r="Y25" s="307">
        <f>IF(OR(F25="",SUM(IN_DATA!$H$5:'IN_DATA'!H9)=0),"",365*(SUM(IN_DATA!$H$5:'IN_DATA'!H9)-SUM(IN_DATA!$F$5:'IN_DATA'!F9))/1000)</f>
        <v>2397.6754004999989</v>
      </c>
      <c r="Z25" s="346">
        <f t="shared" si="12"/>
        <v>137.79743681034478</v>
      </c>
      <c r="AA25" s="370">
        <f t="shared" si="3"/>
        <v>3124.4684965190686</v>
      </c>
      <c r="AB25" s="373">
        <f>IF(F25="", "", IF(IN_DATA!R9=3, MAX(CO2_Royalty_Factor-Z25/10000,0), IF('Economics Summary'!A25&lt;2, IF('Economics Summary'!Q25&lt;60000, 0.05, ((60000*0.05+('Economics Summary'!Q25-60000)*R25)/'Economics Summary'!Q25)),R25)))</f>
        <v>3.6220257064023584E-2</v>
      </c>
      <c r="AC25" s="377">
        <f t="shared" si="13"/>
        <v>2945.2091443466661</v>
      </c>
      <c r="AD25" s="378">
        <f t="shared" si="4"/>
        <v>2208.9068582599994</v>
      </c>
    </row>
    <row r="26" spans="1:55" x14ac:dyDescent="0.2">
      <c r="A26" s="178">
        <v>5</v>
      </c>
      <c r="B26" s="178">
        <f t="shared" si="5"/>
        <v>2017</v>
      </c>
      <c r="C26" s="292">
        <f>IF(IN_DATA!C10="","",MAX(min_oil_price,MIN(C25+C25*$L$6,max_oil_price)))</f>
        <v>99.845954649018253</v>
      </c>
      <c r="D26" s="293">
        <f>IF(IN_DATA!C10="","",MAX(min_gas_price,MIN(D25+D25*$L$7,max_gas_price)))</f>
        <v>3.67853517535</v>
      </c>
      <c r="E26" s="294">
        <f>IF(IN_DATA!C10="","",MIN(E25+E25*$L$8,16))</f>
        <v>12.612120601200001</v>
      </c>
      <c r="F26" s="110">
        <f>IF(O26="", "", IN_DATA!C10*365*OCF*FPF)</f>
        <v>106983.36348887345</v>
      </c>
      <c r="G26" s="184">
        <f>IF(O26="","",IN_DATA!D10*365*FPF*OCF)</f>
        <v>62938.498576429556</v>
      </c>
      <c r="H26" s="235">
        <f t="shared" si="6"/>
        <v>4091.0024074679213</v>
      </c>
      <c r="I26" s="238">
        <f t="shared" si="7"/>
        <v>10681.856059109494</v>
      </c>
      <c r="J26" s="236">
        <f t="shared" si="8"/>
        <v>231.52148089711201</v>
      </c>
      <c r="K26" s="239">
        <f t="shared" si="9"/>
        <v>51.596215742784977</v>
      </c>
      <c r="L26" s="247">
        <f t="shared" si="14"/>
        <v>0</v>
      </c>
      <c r="M26" s="244" t="str">
        <f>IF(I26=""," ",IF(IN_DATA!R10=1,"Primary Rec.",IF(IN_DATA!R10=2,"Water Flood",IF(IN_DATA!R10=3,"CO2 Flood",""))))</f>
        <v>CO2 Flood</v>
      </c>
      <c r="N26" s="109">
        <f>IF(I26="","",IF(O26=0, 0, OpCost!AD15))</f>
        <v>8098.6207352643905</v>
      </c>
      <c r="O26" s="187">
        <f>IF(OpCost!AE15="", "", OpCost!AE15)</f>
        <v>71.493820301622421</v>
      </c>
      <c r="P26" s="251">
        <f>IF(F26="","",((IN_DATA!C10+IN_DATA!D10/10)/IN_DATA!P10))</f>
        <v>76.515912499999999</v>
      </c>
      <c r="Q26" s="248">
        <f>IF(F26="","",SUM($P$21:P26)*365)</f>
        <v>188678.27378750002</v>
      </c>
      <c r="R26" s="249">
        <f>IF(F26="", "", HLOOKUP(C26,'Reference-Crown Royalties'!$D$2:$AB$49,MATCH(P26,'Reference-Crown Royalties'!$A$2:$A$49,1),TRUE))</f>
        <v>0.4</v>
      </c>
      <c r="S26" s="276">
        <f>IF(F26="", "", IF(IN_DATA!R10=3, CO2_Royalty_Factor, IF('Economics Summary'!A26&lt;2, IF('Economics Summary'!Q26&lt;60000, 0.05, ((60000*0.05+('Economics Summary'!Q26-60000)*R26)/'Economics Summary'!Q26)),R26)))</f>
        <v>5.000000074505806E-2</v>
      </c>
      <c r="T26" s="250">
        <f t="shared" si="10"/>
        <v>2318.1043245279889</v>
      </c>
      <c r="U26" s="250">
        <f t="shared" si="11"/>
        <v>1816.295388427345</v>
      </c>
      <c r="V26" s="344">
        <f t="shared" si="2"/>
        <v>1738.5782433959916</v>
      </c>
      <c r="W26" s="257">
        <f>IF(F26="","",SUM($V$21:V26))</f>
        <v>14993.703671844538</v>
      </c>
      <c r="X26" s="260">
        <f xml:space="preserve"> IF(OR(F26="",SUM(IN_DATA!$H$5:'IN_DATA'!H10)=0), "", 1-SUM(IN_DATA!$F$5:'IN_DATA'!F10)/SUM(IN_DATA!$H$5:'IN_DATA'!H10))</f>
        <v>0.45095816376745279</v>
      </c>
      <c r="Y26" s="307">
        <f>IF(OR(F26="",SUM(IN_DATA!$H$5:'IN_DATA'!H10)=0),"",365*(SUM(IN_DATA!$H$5:'IN_DATA'!H10)-SUM(IN_DATA!$F$5:'IN_DATA'!F10))/1000)</f>
        <v>2665.8193654999995</v>
      </c>
      <c r="Z26" s="346">
        <f t="shared" si="12"/>
        <v>153.20800951149423</v>
      </c>
      <c r="AA26" s="370">
        <f t="shared" si="3"/>
        <v>2887.6383147321985</v>
      </c>
      <c r="AB26" s="373">
        <f>IF(F26="", "", IF(IN_DATA!R10=3, MAX(CO2_Royalty_Factor-Z26/10000,0), IF('Economics Summary'!A26&lt;2, IF('Economics Summary'!Q26&lt;60000, 0.05, ((60000*0.05+('Economics Summary'!Q26-60000)*R26)/'Economics Summary'!Q26)),R26)))</f>
        <v>3.4679199793908641E-2</v>
      </c>
      <c r="AC26" s="377">
        <f t="shared" si="13"/>
        <v>2486.0965048744038</v>
      </c>
      <c r="AD26" s="378">
        <f t="shared" si="4"/>
        <v>1864.5723786558028</v>
      </c>
    </row>
    <row r="27" spans="1:55" x14ac:dyDescent="0.2">
      <c r="A27" s="178">
        <v>6</v>
      </c>
      <c r="B27" s="178">
        <f t="shared" si="5"/>
        <v>2018</v>
      </c>
      <c r="C27" s="292">
        <f>IF(IN_DATA!C11="","",MAX(min_oil_price,MIN(C26+C26*$L$6,max_oil_price)))</f>
        <v>100.84441417319113</v>
      </c>
      <c r="D27" s="293">
        <f>IF(IN_DATA!C11="","",MAX(min_gas_price,MIN(D26+D26*$L$7,max_gas_price)))</f>
        <v>3.7153205271035001</v>
      </c>
      <c r="E27" s="294">
        <f>IF(IN_DATA!C11="","",MIN(E26+E26*$L$8,16))</f>
        <v>12.738241807212001</v>
      </c>
      <c r="F27" s="110">
        <f>IF(O27="", "", IN_DATA!C11*365*OCF*FPF)</f>
        <v>102253.54291736225</v>
      </c>
      <c r="G27" s="184">
        <f>IF(O27="","",IN_DATA!D11*365*FPF*OCF)</f>
        <v>60016.887354593615</v>
      </c>
      <c r="H27" s="235">
        <f t="shared" si="6"/>
        <v>3901.0976780485853</v>
      </c>
      <c r="I27" s="238">
        <f t="shared" si="7"/>
        <v>10311.698632634652</v>
      </c>
      <c r="J27" s="236">
        <f t="shared" si="8"/>
        <v>222.98197356138016</v>
      </c>
      <c r="K27" s="239">
        <f t="shared" si="9"/>
        <v>49.693125536536151</v>
      </c>
      <c r="L27" s="247">
        <f t="shared" si="14"/>
        <v>0</v>
      </c>
      <c r="M27" s="244" t="str">
        <f>IF(I27=""," ",IF(IN_DATA!R11=1,"Primary Rec.",IF(IN_DATA!R11=2,"Water Flood",IF(IN_DATA!R11=3,"CO2 Flood",""))))</f>
        <v>CO2 Flood</v>
      </c>
      <c r="N27" s="109">
        <f>IF(I27="","",IF(O27=0, 0, OpCost!AD16))</f>
        <v>8177.643333226697</v>
      </c>
      <c r="O27" s="187">
        <f>IF(OpCost!AE16="", "", OpCost!AE16)</f>
        <v>75.540398448849942</v>
      </c>
      <c r="P27" s="251">
        <f>IF(F27="","",((IN_DATA!C11+IN_DATA!D11/10)/IN_DATA!P11))</f>
        <v>73.123689999999996</v>
      </c>
      <c r="Q27" s="248">
        <f>IF(F27="","",SUM($P$21:P27)*365)</f>
        <v>215368.42063750004</v>
      </c>
      <c r="R27" s="249">
        <f>IF(F27="", "", HLOOKUP(C27,'Reference-Crown Royalties'!$D$2:$AB$49,MATCH(P27,'Reference-Crown Royalties'!$A$2:$A$49,1),TRUE))</f>
        <v>0.4</v>
      </c>
      <c r="S27" s="276">
        <f>IF(F27="", "", IF(IN_DATA!R11=3, CO2_Royalty_Factor, IF('Economics Summary'!A27&lt;2, IF('Economics Summary'!Q27&lt;60000, 0.05, ((60000*0.05+('Economics Summary'!Q27-60000)*R27)/'Economics Summary'!Q27)),R27)))</f>
        <v>5.000000074505806E-2</v>
      </c>
      <c r="T27" s="250">
        <f t="shared" si="10"/>
        <v>1877.5117040332698</v>
      </c>
      <c r="U27" s="250">
        <f t="shared" si="11"/>
        <v>1401.0281349502548</v>
      </c>
      <c r="V27" s="344">
        <f t="shared" si="2"/>
        <v>1408.1337780249523</v>
      </c>
      <c r="W27" s="257">
        <f>IF(F27="","",SUM($V$21:V27))</f>
        <v>16401.83744986949</v>
      </c>
      <c r="X27" s="260">
        <f xml:space="preserve"> IF(OR(F27="",SUM(IN_DATA!$H$5:'IN_DATA'!H11)=0), "", 1-SUM(IN_DATA!$F$5:'IN_DATA'!F11)/SUM(IN_DATA!$H$5:'IN_DATA'!H11))</f>
        <v>0.41892863216031151</v>
      </c>
      <c r="Y27" s="307">
        <f>IF(OR(F27="",SUM(IN_DATA!$H$5:'IN_DATA'!H11)=0),"",365*(SUM(IN_DATA!$H$5:'IN_DATA'!H11)-SUM(IN_DATA!$F$5:'IN_DATA'!F11))/1000)</f>
        <v>2908.0319054999995</v>
      </c>
      <c r="Z27" s="346">
        <f t="shared" si="12"/>
        <v>167.12827043103448</v>
      </c>
      <c r="AA27" s="370">
        <f t="shared" si="3"/>
        <v>2661.595806257711</v>
      </c>
      <c r="AB27" s="373">
        <f>IF(F27="", "", IF(IN_DATA!R11=3, MAX(CO2_Royalty_Factor-Z27/10000,0), IF('Economics Summary'!A27&lt;2, IF('Economics Summary'!Q27&lt;60000, 0.05, ((60000*0.05+('Economics Summary'!Q27-60000)*R27)/'Economics Summary'!Q27)),R27)))</f>
        <v>3.3287173701954609E-2</v>
      </c>
      <c r="AC27" s="377">
        <f t="shared" si="13"/>
        <v>2054.4065115712838</v>
      </c>
      <c r="AD27" s="378">
        <f t="shared" si="4"/>
        <v>1540.8048836784628</v>
      </c>
    </row>
    <row r="28" spans="1:55" x14ac:dyDescent="0.2">
      <c r="A28" s="178">
        <v>7</v>
      </c>
      <c r="B28" s="178">
        <f t="shared" si="5"/>
        <v>2019</v>
      </c>
      <c r="C28" s="292">
        <f>IF(IN_DATA!C12="","",MAX(min_oil_price,MIN(C27+C27*$L$6,max_oil_price)))</f>
        <v>101.85285829238255</v>
      </c>
      <c r="D28" s="293">
        <f>IF(IN_DATA!C12="","",MAX(min_gas_price,MIN(D27+D27*$L$7,max_gas_price)))</f>
        <v>3.752473732374535</v>
      </c>
      <c r="E28" s="294">
        <f>IF(IN_DATA!C12="","",MIN(E27+E27*$L$8,16))</f>
        <v>12.865624225284121</v>
      </c>
      <c r="F28" s="110">
        <f>IF(O28="", "", IN_DATA!C12*365*OCF*FPF)</f>
        <v>97900.198224042004</v>
      </c>
      <c r="G28" s="184">
        <f>IF(O28="","",IN_DATA!D12*365*FPF*OCF)</f>
        <v>57348.320330476061</v>
      </c>
      <c r="H28" s="235">
        <f t="shared" si="6"/>
        <v>3727.6408214809439</v>
      </c>
      <c r="I28" s="238">
        <f t="shared" si="7"/>
        <v>9971.4150165095125</v>
      </c>
      <c r="J28" s="236">
        <f t="shared" si="8"/>
        <v>215.19806563591192</v>
      </c>
      <c r="K28" s="239">
        <f t="shared" si="9"/>
        <v>47.958426056003233</v>
      </c>
      <c r="L28" s="247">
        <f t="shared" si="14"/>
        <v>0</v>
      </c>
      <c r="M28" s="244" t="str">
        <f>IF(I28=""," ",IF(IN_DATA!R12=1,"Primary Rec.",IF(IN_DATA!R12=2,"Water Flood",IF(IN_DATA!R12=3,"CO2 Flood",""))))</f>
        <v>CO2 Flood</v>
      </c>
      <c r="N28" s="109">
        <f>IF(I28="","",IF(O28=0, 0, OpCost!AD17))</f>
        <v>8262.8218115369818</v>
      </c>
      <c r="O28" s="187">
        <f>IF(OpCost!AE17="", "", OpCost!AE17)</f>
        <v>79.730008193554099</v>
      </c>
      <c r="P28" s="251">
        <f>IF(F28="","",((IN_DATA!C12+IN_DATA!D12/10)/IN_DATA!P12))</f>
        <v>70.002859999999998</v>
      </c>
      <c r="Q28" s="248">
        <f>IF(F28="","",SUM($P$21:P28)*365)</f>
        <v>240919.4645375</v>
      </c>
      <c r="R28" s="249">
        <f>IF(F28="", "", HLOOKUP(C28,'Reference-Crown Royalties'!$D$2:$AB$49,MATCH(P28,'Reference-Crown Royalties'!$A$2:$A$49,1),TRUE))</f>
        <v>0.4</v>
      </c>
      <c r="S28" s="276">
        <f>IF(F28="", "", IF(IN_DATA!R12=3, CO2_Royalty_Factor, IF('Economics Summary'!A28&lt;2, IF('Economics Summary'!Q28&lt;60000, 0.05, ((60000*0.05+('Economics Summary'!Q28-60000)*R28)/'Economics Summary'!Q28)),R28)))</f>
        <v>5.000000074505806E-2</v>
      </c>
      <c r="T28" s="250">
        <f t="shared" si="10"/>
        <v>1460.0211136290254</v>
      </c>
      <c r="U28" s="250">
        <f t="shared" si="11"/>
        <v>1037.6097418980735</v>
      </c>
      <c r="V28" s="344">
        <f t="shared" si="2"/>
        <v>1095.0158352217691</v>
      </c>
      <c r="W28" s="257">
        <f>IF(F28="","",SUM($V$21:V28))</f>
        <v>17496.85328509126</v>
      </c>
      <c r="X28" s="260">
        <f xml:space="preserve"> IF(OR(F28="",SUM(IN_DATA!$H$5:'IN_DATA'!H12)=0), "", 1-SUM(IN_DATA!$F$5:'IN_DATA'!F12)/SUM(IN_DATA!$H$5:'IN_DATA'!H12))</f>
        <v>0.39120658790976814</v>
      </c>
      <c r="Y28" s="307">
        <f>IF(OR(F28="",SUM(IN_DATA!$H$5:'IN_DATA'!H12)=0),"",365*(SUM(IN_DATA!$H$5:'IN_DATA'!H12)-SUM(IN_DATA!$F$5:'IN_DATA'!F12))/1000)</f>
        <v>3125.2193154999991</v>
      </c>
      <c r="Z28" s="346">
        <f t="shared" si="12"/>
        <v>179.6103054885057</v>
      </c>
      <c r="AA28" s="370">
        <f t="shared" si="3"/>
        <v>2442.0931263855618</v>
      </c>
      <c r="AB28" s="373">
        <f>IF(F28="", "", IF(IN_DATA!R12=3, MAX(CO2_Royalty_Factor-Z28/10000,0), IF('Economics Summary'!A28&lt;2, IF('Economics Summary'!Q28&lt;60000, 0.05, ((60000*0.05+('Economics Summary'!Q28-60000)*R28)/'Economics Summary'!Q28)),R28)))</f>
        <v>3.2038970196207495E-2</v>
      </c>
      <c r="AC28" s="377">
        <f t="shared" si="13"/>
        <v>1643.8445651422262</v>
      </c>
      <c r="AD28" s="378">
        <f t="shared" si="4"/>
        <v>1232.8834238566697</v>
      </c>
    </row>
    <row r="29" spans="1:55" x14ac:dyDescent="0.2">
      <c r="A29" s="178">
        <v>8</v>
      </c>
      <c r="B29" s="178">
        <f t="shared" si="5"/>
        <v>2020</v>
      </c>
      <c r="C29" s="292">
        <f>IF(IN_DATA!C13="","",MAX(min_oil_price,MIN(C28+C28*$L$6,max_oil_price)))</f>
        <v>102.87138685254048</v>
      </c>
      <c r="D29" s="293">
        <f>IF(IN_DATA!C13="","",MAX(min_gas_price,MIN(D28+D28*$L$7,max_gas_price)))</f>
        <v>3.7899984696982805</v>
      </c>
      <c r="E29" s="294">
        <f>IF(IN_DATA!C13="","",MIN(E28+E28*$L$8,16))</f>
        <v>12.994280467536962</v>
      </c>
      <c r="F29" s="110">
        <f>IF(O29="", "", IN_DATA!C13*365*OCF*FPF)</f>
        <v>92370.162850882494</v>
      </c>
      <c r="G29" s="184">
        <f>IF(O29="","",IN_DATA!D13*365*FPF*OCF)</f>
        <v>54205.124259767814</v>
      </c>
      <c r="H29" s="235">
        <f t="shared" si="6"/>
        <v>3523.3330768849082</v>
      </c>
      <c r="I29" s="238">
        <f t="shared" si="7"/>
        <v>9502.2467562652982</v>
      </c>
      <c r="J29" s="236">
        <f t="shared" si="8"/>
        <v>205.43733799432516</v>
      </c>
      <c r="K29" s="239">
        <f t="shared" si="9"/>
        <v>45.783178181592469</v>
      </c>
      <c r="L29" s="247">
        <f t="shared" si="14"/>
        <v>0</v>
      </c>
      <c r="M29" s="244" t="str">
        <f>IF(I29=""," ",IF(IN_DATA!R13=1,"Primary Rec.",IF(IN_DATA!R13=2,"Water Flood",IF(IN_DATA!R13=3,"CO2 Flood",""))))</f>
        <v>CO2 Flood</v>
      </c>
      <c r="N29" s="109">
        <f>IF(I29="","",IF(O29=0, 0, OpCost!AD18))</f>
        <v>8351.0615852091942</v>
      </c>
      <c r="O29" s="187">
        <f>IF(OpCost!AE18="", "", OpCost!AE18)</f>
        <v>85.39731995475185</v>
      </c>
      <c r="P29" s="251">
        <f>IF(F29="","",((IN_DATA!C13+IN_DATA!D13/10)/IN_DATA!P13))</f>
        <v>66.05514500000001</v>
      </c>
      <c r="Q29" s="248">
        <f>IF(F29="","",SUM($P$21:P29)*365)</f>
        <v>265029.59246250003</v>
      </c>
      <c r="R29" s="249">
        <f>IF(F29="", "", HLOOKUP(C29,'Reference-Crown Royalties'!$D$2:$AB$49,MATCH(P29,'Reference-Crown Royalties'!$A$2:$A$49,1),TRUE))</f>
        <v>0.4</v>
      </c>
      <c r="S29" s="276">
        <f>IF(F29="", "", IF(IN_DATA!R13=3, CO2_Royalty_Factor, IF('Economics Summary'!A29&lt;2, IF('Economics Summary'!Q29&lt;60000, 0.05, ((60000*0.05+('Economics Summary'!Q29-60000)*R29)/'Economics Summary'!Q29)),R29)))</f>
        <v>5.000000074505806E-2</v>
      </c>
      <c r="T29" s="250">
        <f t="shared" si="10"/>
        <v>914.73231634306103</v>
      </c>
      <c r="U29" s="250">
        <f t="shared" si="11"/>
        <v>619.12683390610471</v>
      </c>
      <c r="V29" s="344">
        <f t="shared" si="2"/>
        <v>686.04923725729577</v>
      </c>
      <c r="W29" s="257">
        <f>IF(F29="","",SUM($V$21:V29))</f>
        <v>18182.902522348555</v>
      </c>
      <c r="X29" s="260">
        <f xml:space="preserve"> IF(OR(F29="",SUM(IN_DATA!$H$5:'IN_DATA'!H13)=0), "", 1-SUM(IN_DATA!$F$5:'IN_DATA'!F13)/SUM(IN_DATA!$H$5:'IN_DATA'!H13))</f>
        <v>0.36629840872407504</v>
      </c>
      <c r="Y29" s="307">
        <f>IF(OR(F29="",SUM(IN_DATA!$H$5:'IN_DATA'!H13)=0),"",365*(SUM(IN_DATA!$H$5:'IN_DATA'!H13)-SUM(IN_DATA!$F$5:'IN_DATA'!F13))/1000)</f>
        <v>3317.0655054999979</v>
      </c>
      <c r="Z29" s="346">
        <f t="shared" si="12"/>
        <v>190.63594859195391</v>
      </c>
      <c r="AA29" s="370">
        <f t="shared" si="3"/>
        <v>2115.8188516969503</v>
      </c>
      <c r="AB29" s="373">
        <f>IF(F29="", "", IF(IN_DATA!R13=3, MAX(CO2_Royalty_Factor-Z29/10000,0), IF('Economics Summary'!A29&lt;2, IF('Economics Summary'!Q29&lt;60000, 0.05, ((60000*0.05+('Economics Summary'!Q29-60000)*R29)/'Economics Summary'!Q29)),R29)))</f>
        <v>3.0936405885862668E-2</v>
      </c>
      <c r="AC29" s="377">
        <f t="shared" si="13"/>
        <v>1100.6684648973023</v>
      </c>
      <c r="AD29" s="378">
        <f t="shared" si="4"/>
        <v>825.50134867297675</v>
      </c>
    </row>
    <row r="30" spans="1:55" x14ac:dyDescent="0.2">
      <c r="A30" s="178">
        <v>9</v>
      </c>
      <c r="B30" s="178">
        <f t="shared" si="5"/>
        <v>2021</v>
      </c>
      <c r="C30" s="292">
        <f>IF(IN_DATA!C14="","",MAX(min_oil_price,MIN(C29+C29*$L$6,max_oil_price)))</f>
        <v>103.90010069807234</v>
      </c>
      <c r="D30" s="293">
        <f>IF(IN_DATA!C14="","",MAX(min_gas_price,MIN(D29+D29*$L$7,max_gas_price)))</f>
        <v>3.8278984543952634</v>
      </c>
      <c r="E30" s="294">
        <f>IF(IN_DATA!C14="","",MIN(E29+E29*$L$8,16))</f>
        <v>13.124223272212332</v>
      </c>
      <c r="F30" s="110">
        <f>IF(O30="", "", IN_DATA!C14*365*OCF*FPF)</f>
        <v>86994.648397055207</v>
      </c>
      <c r="G30" s="184">
        <f>IF(O30="","",IN_DATA!D14*365*FPF*OCF)</f>
        <v>50999.379601353838</v>
      </c>
      <c r="H30" s="235">
        <f t="shared" si="6"/>
        <v>3314.9596740879997</v>
      </c>
      <c r="I30" s="238">
        <f t="shared" si="7"/>
        <v>9038.7527286474324</v>
      </c>
      <c r="J30" s="236">
        <f t="shared" si="8"/>
        <v>195.22044635113969</v>
      </c>
      <c r="K30" s="239">
        <f t="shared" si="9"/>
        <v>43.506270901111129</v>
      </c>
      <c r="L30" s="247">
        <f t="shared" si="14"/>
        <v>0</v>
      </c>
      <c r="M30" s="244" t="str">
        <f>IF(I30=""," ",IF(IN_DATA!R14=1,"Primary Rec.",IF(IN_DATA!R14=2,"Water Flood",IF(IN_DATA!R14=3,"CO2 Flood",""))))</f>
        <v>CO2 Flood</v>
      </c>
      <c r="N30" s="109">
        <f>IF(I30="","",IF(O30=0, 0, OpCost!AD19))</f>
        <v>8409.8435261895647</v>
      </c>
      <c r="O30" s="187">
        <f>IF(OpCost!AE19="", "", OpCost!AE19)</f>
        <v>91.317458048748151</v>
      </c>
      <c r="P30" s="251">
        <f>IF(F30="","",((IN_DATA!C14+IN_DATA!D14/10)/IN_DATA!P14))</f>
        <v>62.20758</v>
      </c>
      <c r="Q30" s="248">
        <f>IF(F30="","",SUM($P$21:P30)*365)</f>
        <v>287735.35916250001</v>
      </c>
      <c r="R30" s="249">
        <f>IF(F30="", "", HLOOKUP(C30,'Reference-Crown Royalties'!$D$2:$AB$49,MATCH(P30,'Reference-Crown Royalties'!$A$2:$A$49,1),TRUE))</f>
        <v>0.4</v>
      </c>
      <c r="S30" s="276">
        <f>IF(F30="", "", IF(IN_DATA!R14=3, CO2_Royalty_Factor, IF('Economics Summary'!A30&lt;2, IF('Economics Summary'!Q30&lt;60000, 0.05, ((60000*0.05+('Economics Summary'!Q30-60000)*R30)/'Economics Summary'!Q30)),R30)))</f>
        <v>5.000000074505806E-2</v>
      </c>
      <c r="T30" s="250">
        <f t="shared" si="10"/>
        <v>403.76194050287268</v>
      </c>
      <c r="U30" s="250">
        <f t="shared" si="11"/>
        <v>260.26854521542134</v>
      </c>
      <c r="V30" s="344">
        <f t="shared" si="2"/>
        <v>302.82145537715451</v>
      </c>
      <c r="W30" s="257">
        <f>IF(F30="","",SUM($V$21:V30))</f>
        <v>18485.723977725709</v>
      </c>
      <c r="X30" s="260">
        <f xml:space="preserve"> IF(OR(F30="",SUM(IN_DATA!$H$5:'IN_DATA'!H14)=0), "", 1-SUM(IN_DATA!$F$5:'IN_DATA'!F14)/SUM(IN_DATA!$H$5:'IN_DATA'!H14))</f>
        <v>0.34417463371983659</v>
      </c>
      <c r="Y30" s="307">
        <f>IF(OR(F30="",SUM(IN_DATA!$H$5:'IN_DATA'!H14)=0),"",365*(SUM(IN_DATA!$H$5:'IN_DATA'!H14)-SUM(IN_DATA!$F$5:'IN_DATA'!F14))/1000)</f>
        <v>3488.8199054999977</v>
      </c>
      <c r="Z30" s="346">
        <f t="shared" si="12"/>
        <v>200.50689112068955</v>
      </c>
      <c r="AA30" s="370">
        <f t="shared" si="3"/>
        <v>1806.6231387823259</v>
      </c>
      <c r="AB30" s="373">
        <f>IF(F30="", "", IF(IN_DATA!R14=3, MAX(CO2_Royalty_Factor-Z30/10000,0), IF('Economics Summary'!A30&lt;2, IF('Economics Summary'!Q30&lt;60000, 0.05, ((60000*0.05+('Economics Summary'!Q30-60000)*R30)/'Economics Summary'!Q30)),R30)))</f>
        <v>2.9949311632989105E-2</v>
      </c>
      <c r="AC30" s="377">
        <f t="shared" si="13"/>
        <v>589.78179661621652</v>
      </c>
      <c r="AD30" s="378">
        <f t="shared" si="4"/>
        <v>442.33634746216239</v>
      </c>
    </row>
    <row r="31" spans="1:55" x14ac:dyDescent="0.2">
      <c r="A31" s="178">
        <v>10</v>
      </c>
      <c r="B31" s="178">
        <f t="shared" si="5"/>
        <v>2022</v>
      </c>
      <c r="C31" s="292">
        <f>IF(IN_DATA!C15="","",MAX(min_oil_price,MIN(C30+C30*$L$6,max_oil_price)))</f>
        <v>104.93910168182958</v>
      </c>
      <c r="D31" s="293">
        <f>IF(IN_DATA!C15="","",MAX(min_gas_price,MIN(D30+D30*$L$7,max_gas_price)))</f>
        <v>3.8661774389392161</v>
      </c>
      <c r="E31" s="294">
        <f>IF(IN_DATA!C15="","",MIN(E30+E30*$L$8,16))</f>
        <v>13.255465504934454</v>
      </c>
      <c r="F31" s="110">
        <f>IF(O31="", "", IN_DATA!C15*365*OCF*FPF)</f>
        <v>81847.047672868095</v>
      </c>
      <c r="G31" s="184">
        <f>IF(O31="","",IN_DATA!D15*365*FPF*OCF)</f>
        <v>47946.23129034265</v>
      </c>
      <c r="H31" s="235">
        <f t="shared" si="6"/>
        <v>3116.5050338722722</v>
      </c>
      <c r="I31" s="238">
        <f t="shared" si="7"/>
        <v>8588.9556581006582</v>
      </c>
      <c r="J31" s="236">
        <f t="shared" si="8"/>
        <v>185.36863769688426</v>
      </c>
      <c r="K31" s="239">
        <f t="shared" si="9"/>
        <v>41.310724972448483</v>
      </c>
      <c r="L31" s="247">
        <f t="shared" si="14"/>
        <v>0</v>
      </c>
      <c r="M31" s="244" t="str">
        <f>IF(I31=""," ",IF(IN_DATA!R15=1,"Primary Rec.",IF(IN_DATA!R15=2,"Water Flood",IF(IN_DATA!R15=3,"CO2 Flood",""))))</f>
        <v>CO2 Flood</v>
      </c>
      <c r="N31" s="109">
        <f>IF(I31="","",IF(O31=0, 0, OpCost!AD20))</f>
        <v>8488.9974420024446</v>
      </c>
      <c r="O31" s="187">
        <f>IF(OpCost!AE20="", "", OpCost!AE20)</f>
        <v>97.978228760289042</v>
      </c>
      <c r="P31" s="251">
        <f>IF(F31="","",((IN_DATA!C15+IN_DATA!D15/10)/IN_DATA!P15))</f>
        <v>58.524272500000002</v>
      </c>
      <c r="Q31" s="248">
        <f>IF(F31="","",SUM($P$21:P31)*365)</f>
        <v>309096.71862500004</v>
      </c>
      <c r="R31" s="249">
        <f>IF(F31="", "", HLOOKUP(C31,'Reference-Crown Royalties'!$D$2:$AB$49,MATCH(P31,'Reference-Crown Royalties'!$A$2:$A$49,1),TRUE))</f>
        <v>0.4</v>
      </c>
      <c r="S31" s="276">
        <f>IF(F31="", "", IF(IN_DATA!R15=3, CO2_Royalty_Factor, IF('Economics Summary'!A31&lt;2, IF('Economics Summary'!Q31&lt;60000, 0.05, ((60000*0.05+('Economics Summary'!Q31-60000)*R31)/'Economics Summary'!Q31)),R31)))</f>
        <v>5.000000074505806E-2</v>
      </c>
      <c r="T31" s="250">
        <f t="shared" si="10"/>
        <v>-114.14417883911301</v>
      </c>
      <c r="U31" s="250">
        <f t="shared" si="11"/>
        <v>-70.074623706623242</v>
      </c>
      <c r="V31" s="344">
        <f t="shared" si="2"/>
        <v>-114.14417883911301</v>
      </c>
      <c r="W31" s="257">
        <f>IF(F31="","",SUM($V$21:V31))</f>
        <v>18371.579798886596</v>
      </c>
      <c r="X31" s="260">
        <f xml:space="preserve"> IF(OR(F31="",SUM(IN_DATA!$H$5:'IN_DATA'!H15)=0), "", 1-SUM(IN_DATA!$F$5:'IN_DATA'!F15)/SUM(IN_DATA!$H$5:'IN_DATA'!H15))</f>
        <v>0.3241433856164454</v>
      </c>
      <c r="Y31" s="307">
        <f>IF(OR(F31="",SUM(IN_DATA!$H$5:'IN_DATA'!H15)=0),"",365*(SUM(IN_DATA!$H$5:'IN_DATA'!H15)-SUM(IN_DATA!$F$5:'IN_DATA'!F15))/1000)</f>
        <v>3641.9760954999974</v>
      </c>
      <c r="Z31" s="346">
        <f t="shared" si="12"/>
        <v>209.308971005747</v>
      </c>
      <c r="AA31" s="370">
        <f t="shared" si="3"/>
        <v>1484.2091484137677</v>
      </c>
      <c r="AB31" s="373">
        <f>IF(F31="", "", IF(IN_DATA!R15=3, MAX(CO2_Royalty_Factor-Z31/10000,0), IF('Economics Summary'!A31&lt;2, IF('Economics Summary'!Q31&lt;60000, 0.05, ((60000*0.05+('Economics Summary'!Q31-60000)*R31)/'Economics Summary'!Q31)),R31)))</f>
        <v>2.9069103644483361E-2</v>
      </c>
      <c r="AC31" s="377">
        <f t="shared" si="13"/>
        <v>70.374970656846926</v>
      </c>
      <c r="AD31" s="378">
        <f t="shared" si="4"/>
        <v>52.781227992635195</v>
      </c>
    </row>
    <row r="32" spans="1:55" x14ac:dyDescent="0.2">
      <c r="A32" s="178">
        <v>11</v>
      </c>
      <c r="B32" s="178">
        <f t="shared" si="5"/>
        <v>2023</v>
      </c>
      <c r="C32" s="292">
        <f>IF(IN_DATA!C16="","",MAX(min_oil_price,MIN(C31+C31*$L$6,max_oil_price)))</f>
        <v>105.98849267519216</v>
      </c>
      <c r="D32" s="293">
        <f>IF(IN_DATA!C16="","",MAX(min_gas_price,MIN(D31+D31*$L$7,max_gas_price)))</f>
        <v>3.9048392133286081</v>
      </c>
      <c r="E32" s="294">
        <f>IF(IN_DATA!C16="","",MIN(E31+E31*$L$8,16))</f>
        <v>13.3880201599838</v>
      </c>
      <c r="F32" s="110">
        <f>IF(O32="", "", IN_DATA!C16*365*OCF*FPF)</f>
        <v>76961.59585206538</v>
      </c>
      <c r="G32" s="184">
        <f>IF(O32="","",IN_DATA!D16*365*FPF*OCF)</f>
        <v>45038.092072012572</v>
      </c>
      <c r="H32" s="235">
        <f t="shared" si="6"/>
        <v>2927.4759846808174</v>
      </c>
      <c r="I32" s="238">
        <f t="shared" si="7"/>
        <v>8157.0435382377309</v>
      </c>
      <c r="J32" s="236">
        <f t="shared" si="8"/>
        <v>175.86650801629898</v>
      </c>
      <c r="K32" s="239">
        <f t="shared" si="9"/>
        <v>39.193107500775206</v>
      </c>
      <c r="L32" s="247">
        <f t="shared" si="14"/>
        <v>0</v>
      </c>
      <c r="M32" s="244" t="str">
        <f>IF(I32=""," ",IF(IN_DATA!R16=1,"Primary Rec.",IF(IN_DATA!R16=2,"Water Flood",IF(IN_DATA!R16=3,"CO2 Flood",""))))</f>
        <v>CO2 Flood</v>
      </c>
      <c r="N32" s="109">
        <f>IF(I32="","",IF(O32=0, 0, OpCost!AD21))</f>
        <v>8565.4469938828697</v>
      </c>
      <c r="O32" s="187">
        <f>IF(OpCost!AE21="", "", OpCost!AE21)</f>
        <v>105.14213963155831</v>
      </c>
      <c r="P32" s="251">
        <f>IF(F32="","",((IN_DATA!C16+IN_DATA!D16/10)/IN_DATA!P16))</f>
        <v>55.027834999999996</v>
      </c>
      <c r="Q32" s="248">
        <f>IF(F32="","",SUM($P$21:P32)*365)</f>
        <v>329181.87840000005</v>
      </c>
      <c r="R32" s="249">
        <f>IF(F32="", "", HLOOKUP(C32,'Reference-Crown Royalties'!$D$2:$AB$49,MATCH(P32,'Reference-Crown Royalties'!$A$2:$A$49,1),TRUE))</f>
        <v>0.4</v>
      </c>
      <c r="S32" s="276">
        <f>IF(F32="", "", IF(IN_DATA!R16=3, CO2_Royalty_Factor, IF('Economics Summary'!A32&lt;2, IF('Economics Summary'!Q32&lt;60000, 0.05, ((60000*0.05+('Economics Summary'!Q32-60000)*R32)/'Economics Summary'!Q32)),R32)))</f>
        <v>5.000000074505806E-2</v>
      </c>
      <c r="T32" s="250">
        <f t="shared" si="10"/>
        <v>-611.94900405350654</v>
      </c>
      <c r="U32" s="250">
        <f t="shared" si="11"/>
        <v>-357.79390585444361</v>
      </c>
      <c r="V32" s="344">
        <f t="shared" si="2"/>
        <v>-611.94900405350654</v>
      </c>
      <c r="W32" s="257">
        <f>IF(F32="","",SUM($V$21:V32))</f>
        <v>17759.63079483309</v>
      </c>
      <c r="X32" s="260">
        <f xml:space="preserve"> IF(OR(F32="",SUM(IN_DATA!$H$5:'IN_DATA'!H16)=0), "", 1-SUM(IN_DATA!$F$5:'IN_DATA'!F16)/SUM(IN_DATA!$H$5:'IN_DATA'!H16))</f>
        <v>0.30663071126830155</v>
      </c>
      <c r="Y32" s="307">
        <f>IF(OR(F32="",SUM(IN_DATA!$H$5:'IN_DATA'!H16)=0),"",365*(SUM(IN_DATA!$H$5:'IN_DATA'!H16)-SUM(IN_DATA!$F$5:'IN_DATA'!F16))/1000)</f>
        <v>3787.6994254999981</v>
      </c>
      <c r="Z32" s="346">
        <f t="shared" si="12"/>
        <v>217.68387502873554</v>
      </c>
      <c r="AA32" s="370">
        <f t="shared" si="3"/>
        <v>1173.6673096753868</v>
      </c>
      <c r="AB32" s="373">
        <f>IF(F32="", "", IF(IN_DATA!R16=3, MAX(CO2_Royalty_Factor-Z32/10000,0), IF('Economics Summary'!A32&lt;2, IF('Economics Summary'!Q32&lt;60000, 0.05, ((60000*0.05+('Economics Summary'!Q32-60000)*R32)/'Economics Summary'!Q32)),R32)))</f>
        <v>2.8231613242184504E-2</v>
      </c>
      <c r="AC32" s="377">
        <f t="shared" si="13"/>
        <v>-429.70181838854205</v>
      </c>
      <c r="AD32" s="378">
        <f t="shared" si="4"/>
        <v>-429.70181838854205</v>
      </c>
    </row>
    <row r="33" spans="1:30" x14ac:dyDescent="0.2">
      <c r="A33" s="178">
        <v>12</v>
      </c>
      <c r="B33" s="178">
        <f t="shared" si="5"/>
        <v>2024</v>
      </c>
      <c r="C33" s="292">
        <f>IF(IN_DATA!C17="","",MAX(min_oil_price,MIN(C32+C32*$L$6,max_oil_price)))</f>
        <v>107.04837757825381</v>
      </c>
      <c r="D33" s="293">
        <f>IF(IN_DATA!C17="","",MAX(min_gas_price,MIN(D32+D32*$L$7,max_gas_price)))</f>
        <v>3.9438876054618941</v>
      </c>
      <c r="E33" s="294">
        <f>IF(IN_DATA!C17="","",MIN(E32+E32*$L$8,16))</f>
        <v>13.521900361583638</v>
      </c>
      <c r="F33" s="110">
        <f>IF(O33="", "", IN_DATA!C17*365*OCF*FPF)</f>
        <v>73487.484442495042</v>
      </c>
      <c r="G33" s="184">
        <f>IF(O33="","",IN_DATA!D17*365*FPF*OCF)</f>
        <v>42896.302591572945</v>
      </c>
      <c r="H33" s="235">
        <f t="shared" si="6"/>
        <v>2788.2596684522414</v>
      </c>
      <c r="I33" s="238">
        <f t="shared" si="7"/>
        <v>7866.7159818762611</v>
      </c>
      <c r="J33" s="236">
        <f t="shared" si="8"/>
        <v>169.17819611104747</v>
      </c>
      <c r="K33" s="239">
        <f t="shared" si="9"/>
        <v>37.702569419033438</v>
      </c>
      <c r="L33" s="247">
        <f t="shared" si="14"/>
        <v>0</v>
      </c>
      <c r="M33" s="244" t="str">
        <f>IF(I33=""," ",IF(IN_DATA!R17=1,"Primary Rec.",IF(IN_DATA!R17=2,"Water Flood",IF(IN_DATA!R17=3,"CO2 Flood",""))))</f>
        <v>CO2 Flood</v>
      </c>
      <c r="N33" s="109">
        <f>IF(I33="","",IF(O33=0, 0, OpCost!AD22))</f>
        <v>8675.2261766110951</v>
      </c>
      <c r="O33" s="187">
        <f>IF(OpCost!AE22="", "", OpCost!AE22)</f>
        <v>111.53957317507428</v>
      </c>
      <c r="P33" s="251">
        <f>IF(F33="","",((IN_DATA!C17+IN_DATA!D17/10)/IN_DATA!P17))</f>
        <v>52.5364875</v>
      </c>
      <c r="Q33" s="248">
        <f>IF(F33="","",SUM($P$21:P33)*365)</f>
        <v>348357.69633750006</v>
      </c>
      <c r="R33" s="249">
        <f>IF(F33="", "", HLOOKUP(C33,'Reference-Crown Royalties'!$D$2:$AB$49,MATCH(P33,'Reference-Crown Royalties'!$A$2:$A$49,1),TRUE))</f>
        <v>0.4</v>
      </c>
      <c r="S33" s="276">
        <f>IF(F33="", "", IF(IN_DATA!R17=3, CO2_Royalty_Factor, IF('Economics Summary'!A33&lt;2, IF('Economics Summary'!Q33&lt;60000, 0.05, ((60000*0.05+('Economics Summary'!Q33-60000)*R33)/'Economics Summary'!Q33)),R33)))</f>
        <v>5.000000074505806E-2</v>
      </c>
      <c r="T33" s="250">
        <f t="shared" si="10"/>
        <v>-1005.3092725903689</v>
      </c>
      <c r="U33" s="250">
        <f t="shared" si="11"/>
        <v>-559.79381505256515</v>
      </c>
      <c r="V33" s="344">
        <f t="shared" si="2"/>
        <v>-1005.3092725903689</v>
      </c>
      <c r="W33" s="257">
        <f>IF(F33="","",SUM($V$21:V33))</f>
        <v>16754.321522242721</v>
      </c>
      <c r="X33" s="260">
        <f xml:space="preserve"> IF(OR(F33="",SUM(IN_DATA!$H$5:'IN_DATA'!H17)=0), "", 1-SUM(IN_DATA!$F$5:'IN_DATA'!F17)/SUM(IN_DATA!$H$5:'IN_DATA'!H17))</f>
        <v>0.29065262038460604</v>
      </c>
      <c r="Y33" s="307">
        <f>IF(OR(F33="",SUM(IN_DATA!$H$5:'IN_DATA'!H17)=0),"",365*(SUM(IN_DATA!$H$5:'IN_DATA'!H17)-SUM(IN_DATA!$F$5:'IN_DATA'!F17))/1000)</f>
        <v>3921.2624154999994</v>
      </c>
      <c r="Z33" s="346">
        <f t="shared" si="12"/>
        <v>225.35990893678158</v>
      </c>
      <c r="AA33" s="370">
        <f t="shared" si="3"/>
        <v>936.21736258308522</v>
      </c>
      <c r="AB33" s="373">
        <f>IF(F33="", "", IF(IN_DATA!R17=3, MAX(CO2_Royalty_Factor-Z33/10000,0), IF('Economics Summary'!A33&lt;2, IF('Economics Summary'!Q33&lt;60000, 0.05, ((60000*0.05+('Economics Summary'!Q33-60000)*R33)/'Economics Summary'!Q33)),R33)))</f>
        <v>2.7464009851379902E-2</v>
      </c>
      <c r="AC33" s="377">
        <f t="shared" si="13"/>
        <v>-823.36276981158971</v>
      </c>
      <c r="AD33" s="378">
        <f t="shared" si="4"/>
        <v>-823.36276981158971</v>
      </c>
    </row>
    <row r="34" spans="1:30" x14ac:dyDescent="0.2">
      <c r="A34" s="178">
        <v>13</v>
      </c>
      <c r="B34" s="178">
        <f t="shared" si="5"/>
        <v>2025</v>
      </c>
      <c r="C34" s="292">
        <f>IF(IN_DATA!C18="","",MAX(min_oil_price,MIN(C33+C33*$L$6,max_oil_price)))</f>
        <v>108.11886133010917</v>
      </c>
      <c r="D34" s="293">
        <f>IF(IN_DATA!C18="","",MAX(min_gas_price,MIN(D33+D33*$L$7,max_gas_price)))</f>
        <v>3.9833264815165133</v>
      </c>
      <c r="E34" s="294">
        <f>IF(IN_DATA!C18="","",MIN(E33+E33*$L$8,16))</f>
        <v>13.657119365199474</v>
      </c>
      <c r="F34" s="110">
        <f>IF(O34="", "", IN_DATA!C18*365*OCF*FPF)</f>
        <v>69664.98850270336</v>
      </c>
      <c r="G34" s="184">
        <f>IF(O34="","",IN_DATA!D18*365*FPF*OCF)</f>
        <v>40641.222444288796</v>
      </c>
      <c r="H34" s="235">
        <f t="shared" si="6"/>
        <v>2641.679458878772</v>
      </c>
      <c r="I34" s="238">
        <f t="shared" si="7"/>
        <v>7532.0992314874347</v>
      </c>
      <c r="J34" s="236">
        <f t="shared" si="8"/>
        <v>161.88725760353884</v>
      </c>
      <c r="K34" s="239">
        <f t="shared" si="9"/>
        <v>36.077731694502944</v>
      </c>
      <c r="L34" s="247">
        <f t="shared" si="14"/>
        <v>0</v>
      </c>
      <c r="M34" s="244" t="str">
        <f>IF(I34=""," ",IF(IN_DATA!R18=1,"Primary Rec.",IF(IN_DATA!R18=2,"Water Flood",IF(IN_DATA!R18=3,"CO2 Flood",""))))</f>
        <v>CO2 Flood</v>
      </c>
      <c r="N34" s="109">
        <f>IF(I34="","",IF(O34=0, 0, OpCost!AD23))</f>
        <v>8752.8321140213793</v>
      </c>
      <c r="O34" s="187">
        <f>IF(OpCost!AE23="", "", OpCost!AE23)</f>
        <v>118.71609497693323</v>
      </c>
      <c r="P34" s="251">
        <f>IF(F34="","",((IN_DATA!C18+IN_DATA!D18/10)/IN_DATA!P18))</f>
        <v>49.802162500000001</v>
      </c>
      <c r="Q34" s="248">
        <f>IF(F34="","",SUM($P$21:P34)*365)</f>
        <v>366535.48565000005</v>
      </c>
      <c r="R34" s="249">
        <f>IF(F34="", "", HLOOKUP(C34,'Reference-Crown Royalties'!$D$2:$AB$49,MATCH(P34,'Reference-Crown Royalties'!$A$2:$A$49,1),TRUE))</f>
        <v>0.39999999999999997</v>
      </c>
      <c r="S34" s="276">
        <f>IF(F34="", "", IF(IN_DATA!R18=3, CO2_Royalty_Factor, IF('Economics Summary'!A34&lt;2, IF('Economics Summary'!Q34&lt;60000, 0.05, ((60000*0.05+('Economics Summary'!Q34-60000)*R34)/'Economics Summary'!Q34)),R34)))</f>
        <v>5.000000074505806E-2</v>
      </c>
      <c r="T34" s="250">
        <f t="shared" si="10"/>
        <v>-1409.2711100345223</v>
      </c>
      <c r="U34" s="250">
        <f t="shared" si="11"/>
        <v>-747.36655160479722</v>
      </c>
      <c r="V34" s="344">
        <f t="shared" si="2"/>
        <v>-1409.2711100345223</v>
      </c>
      <c r="W34" s="257">
        <f>IF(F34="","",SUM($V$21:V34))</f>
        <v>15345.050412208198</v>
      </c>
      <c r="X34" s="260">
        <f xml:space="preserve"> IF(OR(F34="",SUM(IN_DATA!$H$5:'IN_DATA'!H18)=0), "", 1-SUM(IN_DATA!$F$5:'IN_DATA'!F18)/SUM(IN_DATA!$H$5:'IN_DATA'!H18))</f>
        <v>0.27604213908593023</v>
      </c>
      <c r="Y34" s="307">
        <f>IF(OR(F34="",SUM(IN_DATA!$H$5:'IN_DATA'!H18)=0),"",365*(SUM(IN_DATA!$H$5:'IN_DATA'!H18)-SUM(IN_DATA!$F$5:'IN_DATA'!F18))/1000)</f>
        <v>4042.6785704999993</v>
      </c>
      <c r="Z34" s="346">
        <f t="shared" si="12"/>
        <v>232.33784887931031</v>
      </c>
      <c r="AA34" s="370">
        <f t="shared" si="3"/>
        <v>685.58053406893578</v>
      </c>
      <c r="AB34" s="373">
        <f>IF(F34="", "", IF(IN_DATA!R18=3, MAX(CO2_Royalty_Factor-Z34/10000,0), IF('Economics Summary'!A34&lt;2, IF('Economics Summary'!Q34&lt;60000, 0.05, ((60000*0.05+('Economics Summary'!Q34-60000)*R34)/'Economics Summary'!Q34)),R34)))</f>
        <v>2.6766215857127029E-2</v>
      </c>
      <c r="AC34" s="377">
        <f t="shared" si="13"/>
        <v>-1229.6724607589003</v>
      </c>
      <c r="AD34" s="378">
        <f t="shared" si="4"/>
        <v>-1229.6724607589003</v>
      </c>
    </row>
    <row r="35" spans="1:30" x14ac:dyDescent="0.2">
      <c r="A35" s="178">
        <v>14</v>
      </c>
      <c r="B35" s="178">
        <f t="shared" si="5"/>
        <v>2026</v>
      </c>
      <c r="C35" s="292">
        <f>IF(IN_DATA!C19="","",MAX(min_oil_price,MIN(C34+C34*$L$6,max_oil_price)))</f>
        <v>109.20004991924381</v>
      </c>
      <c r="D35" s="293">
        <f>IF(IN_DATA!C19="","",MAX(min_gas_price,MIN(D34+D34*$L$7,max_gas_price)))</f>
        <v>4</v>
      </c>
      <c r="E35" s="294">
        <f>IF(IN_DATA!C19="","",MIN(E34+E34*$L$8,16))</f>
        <v>13.793690558851468</v>
      </c>
      <c r="F35" s="110">
        <f>IF(O35="", "", IN_DATA!C19*365*OCF*FPF)</f>
        <v>66587.746031575938</v>
      </c>
      <c r="G35" s="184">
        <f>IF(O35="","",IN_DATA!D19*365*FPF*OCF)</f>
        <v>38767.947759000104</v>
      </c>
      <c r="H35" s="235">
        <f t="shared" si="6"/>
        <v>2519.9166043350069</v>
      </c>
      <c r="I35" s="238">
        <f t="shared" si="7"/>
        <v>7271.3851906580221</v>
      </c>
      <c r="J35" s="236">
        <f t="shared" si="8"/>
        <v>155.07179103600041</v>
      </c>
      <c r="K35" s="239">
        <f t="shared" si="9"/>
        <v>34.758949874308833</v>
      </c>
      <c r="L35" s="247">
        <f t="shared" si="14"/>
        <v>0</v>
      </c>
      <c r="M35" s="244" t="str">
        <f>IF(I35=""," ",IF(IN_DATA!R19=1,"Primary Rec.",IF(IN_DATA!R19=2,"Water Flood",IF(IN_DATA!R19=3,"CO2 Flood",""))))</f>
        <v>CO2 Flood</v>
      </c>
      <c r="N35" s="109">
        <f>IF(I35="","",IF(O35=0, 0, OpCost!AD24))</f>
        <v>8851.9595515016099</v>
      </c>
      <c r="O35" s="187">
        <f>IF(OpCost!AE24="", "", OpCost!AE24)</f>
        <v>125.62289415448032</v>
      </c>
      <c r="P35" s="251">
        <f>IF(F35="","",((IN_DATA!C19+IN_DATA!D19/10)/IN_DATA!P19))</f>
        <v>47.597027499999996</v>
      </c>
      <c r="Q35" s="248">
        <f>IF(F35="","",SUM($P$21:P35)*365)</f>
        <v>383908.40068750002</v>
      </c>
      <c r="R35" s="249">
        <f>IF(F35="", "", HLOOKUP(C35,'Reference-Crown Royalties'!$D$2:$AB$49,MATCH(P35,'Reference-Crown Royalties'!$A$2:$A$49,1),TRUE))</f>
        <v>0.39999999999999997</v>
      </c>
      <c r="S35" s="276">
        <f>IF(F35="", "", IF(IN_DATA!R19=3, CO2_Royalty_Factor, IF('Economics Summary'!A35&lt;2, IF('Economics Summary'!Q35&lt;60000, 0.05, ((60000*0.05+('Economics Summary'!Q35-60000)*R35)/'Economics Summary'!Q35)),R35)))</f>
        <v>5.000000074505806E-2</v>
      </c>
      <c r="T35" s="250">
        <f t="shared" si="10"/>
        <v>-1763.8044220707334</v>
      </c>
      <c r="U35" s="250">
        <f t="shared" si="11"/>
        <v>-890.84108008999772</v>
      </c>
      <c r="V35" s="344">
        <f t="shared" si="2"/>
        <v>-1763.8044220707334</v>
      </c>
      <c r="W35" s="257">
        <f>IF(F35="","",SUM($V$21:V35))</f>
        <v>13581.245990137464</v>
      </c>
      <c r="X35" s="260">
        <f xml:space="preserve"> IF(OR(F35="",SUM(IN_DATA!$H$5:'IN_DATA'!H19)=0), "", 1-SUM(IN_DATA!$F$5:'IN_DATA'!F19)/SUM(IN_DATA!$H$5:'IN_DATA'!H19))</f>
        <v>0.26275349281067151</v>
      </c>
      <c r="Y35" s="307">
        <f>IF(OR(F35="",SUM(IN_DATA!$H$5:'IN_DATA'!H19)=0),"",365*(SUM(IN_DATA!$H$5:'IN_DATA'!H19)-SUM(IN_DATA!$F$5:'IN_DATA'!F19))/1000)</f>
        <v>4156.2103605000002</v>
      </c>
      <c r="Z35" s="346">
        <f t="shared" si="12"/>
        <v>238.86266439655176</v>
      </c>
      <c r="AA35" s="370">
        <f t="shared" si="3"/>
        <v>468.61666642108833</v>
      </c>
      <c r="AB35" s="373">
        <f>IF(F35="", "", IF(IN_DATA!R19=3, MAX(CO2_Royalty_Factor-Z35/10000,0), IF('Economics Summary'!A35&lt;2, IF('Economics Summary'!Q35&lt;60000, 0.05, ((60000*0.05+('Economics Summary'!Q35-60000)*R35)/'Economics Summary'!Q35)),R35)))</f>
        <v>2.6113734305402883E-2</v>
      </c>
      <c r="AC35" s="377">
        <f t="shared" si="13"/>
        <v>-1585.5838303654918</v>
      </c>
      <c r="AD35" s="378">
        <f t="shared" si="4"/>
        <v>-1585.5838303654918</v>
      </c>
    </row>
    <row r="36" spans="1:30" x14ac:dyDescent="0.2">
      <c r="A36" s="178">
        <v>15</v>
      </c>
      <c r="B36" s="178">
        <f t="shared" si="5"/>
        <v>2027</v>
      </c>
      <c r="C36" s="292">
        <f>IF(IN_DATA!C20="","",MAX(min_oil_price,MIN(C35+C35*$L$6,max_oil_price)))</f>
        <v>110.29205039402814</v>
      </c>
      <c r="D36" s="293">
        <f>IF(IN_DATA!C20="","",MAX(min_gas_price,MIN(D35+D35*$L$7,max_gas_price)))</f>
        <v>4</v>
      </c>
      <c r="E36" s="294">
        <f>IF(IN_DATA!C20="","",MIN(E35+E35*$L$8,16))</f>
        <v>13.931627464439982</v>
      </c>
      <c r="F36" s="110">
        <f>IF(O36="", "", IN_DATA!C20*365*OCF*FPF)</f>
        <v>64144.50196719361</v>
      </c>
      <c r="G36" s="184">
        <f>IF(O36="","",IN_DATA!D20*365*FPF*OCF)</f>
        <v>37324.000657963756</v>
      </c>
      <c r="H36" s="235">
        <f t="shared" si="6"/>
        <v>2426.0600427676441</v>
      </c>
      <c r="I36" s="238">
        <f t="shared" si="7"/>
        <v>7074.628643465554</v>
      </c>
      <c r="J36" s="236">
        <f t="shared" si="8"/>
        <v>149.29600263185503</v>
      </c>
      <c r="K36" s="239">
        <f t="shared" si="9"/>
        <v>33.798964722202143</v>
      </c>
      <c r="L36" s="247">
        <f t="shared" si="14"/>
        <v>0</v>
      </c>
      <c r="M36" s="244" t="str">
        <f>IF(I36=""," ",IF(IN_DATA!R20=1,"Primary Rec.",IF(IN_DATA!R20=2,"Water Flood",IF(IN_DATA!R20=3,"CO2 Flood",""))))</f>
        <v>CO2 Flood</v>
      </c>
      <c r="N36" s="109">
        <f>IF(I36="","",IF(O36=0, 0, OpCost!AD25))</f>
        <v>8960.6232998578125</v>
      </c>
      <c r="O36" s="187">
        <f>IF(OpCost!AE25="", "", OpCost!AE25)</f>
        <v>132.01285019611987</v>
      </c>
      <c r="P36" s="251">
        <f>IF(F36="","",((IN_DATA!C20+IN_DATA!D20/10)/IN_DATA!P20))</f>
        <v>45.849142499999999</v>
      </c>
      <c r="Q36" s="248">
        <f>IF(F36="","",SUM($P$21:P36)*365)</f>
        <v>400643.33770000003</v>
      </c>
      <c r="R36" s="249">
        <f>IF(F36="", "", HLOOKUP(C36,'Reference-Crown Royalties'!$D$2:$AB$49,MATCH(P36,'Reference-Crown Royalties'!$A$2:$A$49,1),TRUE))</f>
        <v>0.4</v>
      </c>
      <c r="S36" s="276">
        <f>IF(F36="", "", IF(IN_DATA!R20=3, CO2_Royalty_Factor, IF('Economics Summary'!A36&lt;2, IF('Economics Summary'!Q36&lt;60000, 0.05, ((60000*0.05+('Economics Summary'!Q36-60000)*R36)/'Economics Summary'!Q36)),R36)))</f>
        <v>5.000000074505806E-2</v>
      </c>
      <c r="T36" s="250">
        <f t="shared" si="10"/>
        <v>-2065.7858749866073</v>
      </c>
      <c r="U36" s="250">
        <f t="shared" si="11"/>
        <v>-993.67831628697263</v>
      </c>
      <c r="V36" s="344">
        <f t="shared" si="2"/>
        <v>-2065.7858749866073</v>
      </c>
      <c r="W36" s="257">
        <f>IF(F36="","",SUM($V$21:V36))</f>
        <v>11515.460115150858</v>
      </c>
      <c r="X36" s="260">
        <f xml:space="preserve"> IF(OR(F36="",SUM(IN_DATA!$H$5:'IN_DATA'!H20)=0), "", 1-SUM(IN_DATA!$F$5:'IN_DATA'!F20)/SUM(IN_DATA!$H$5:'IN_DATA'!H20))</f>
        <v>0.25035012938094647</v>
      </c>
      <c r="Y36" s="307">
        <f>IF(OR(F36="",SUM(IN_DATA!$H$5:'IN_DATA'!H20)=0),"",365*(SUM(IN_DATA!$H$5:'IN_DATA'!H20)-SUM(IN_DATA!$F$5:'IN_DATA'!F20))/1000)</f>
        <v>4258.3804305000003</v>
      </c>
      <c r="Z36" s="346">
        <f t="shared" si="12"/>
        <v>244.73450750000003</v>
      </c>
      <c r="AA36" s="370">
        <f t="shared" si="3"/>
        <v>286.16940001004468</v>
      </c>
      <c r="AB36" s="373">
        <f>IF(F36="", "", IF(IN_DATA!R20=3, MAX(CO2_Royalty_Factor-Z36/10000,0), IF('Economics Summary'!A36&lt;2, IF('Economics Summary'!Q36&lt;60000, 0.05, ((60000*0.05+('Economics Summary'!Q36-60000)*R36)/'Economics Summary'!Q36)),R36)))</f>
        <v>2.5526549995058056E-2</v>
      </c>
      <c r="AC36" s="377">
        <f t="shared" si="13"/>
        <v>-1888.1643336401021</v>
      </c>
      <c r="AD36" s="378">
        <f t="shared" si="4"/>
        <v>-1888.1643336401021</v>
      </c>
    </row>
    <row r="37" spans="1:30" x14ac:dyDescent="0.2">
      <c r="A37" s="178">
        <v>16</v>
      </c>
      <c r="B37" s="178">
        <f t="shared" si="5"/>
        <v>2028</v>
      </c>
      <c r="C37" s="292">
        <f>IF(IN_DATA!C21="","",MAX(min_oil_price,MIN(C36+C36*$L$6,max_oil_price)))</f>
        <v>111.39497087331623</v>
      </c>
      <c r="D37" s="293">
        <f>IF(IN_DATA!C21="","",MAX(min_gas_price,MIN(D36+D36*$L$7,max_gas_price)))</f>
        <v>4</v>
      </c>
      <c r="E37" s="294">
        <f>IF(IN_DATA!C21="","",MIN(E36+E36*$L$8,16))</f>
        <v>14.070943739084383</v>
      </c>
      <c r="F37" s="110">
        <f>IF(O37="", "", IN_DATA!C21*365*OCF*FPF)</f>
        <v>61280.553881242595</v>
      </c>
      <c r="G37" s="184">
        <f>IF(O37="","",IN_DATA!D21*365*FPF*OCF)</f>
        <v>35667.873202810166</v>
      </c>
      <c r="H37" s="235">
        <f t="shared" si="6"/>
        <v>2318.4117581826608</v>
      </c>
      <c r="I37" s="238">
        <f t="shared" si="7"/>
        <v>6826.3455147017048</v>
      </c>
      <c r="J37" s="236">
        <f t="shared" si="8"/>
        <v>142.67149281124065</v>
      </c>
      <c r="K37" s="239">
        <f t="shared" si="9"/>
        <v>32.622241413419928</v>
      </c>
      <c r="L37" s="247">
        <f t="shared" si="14"/>
        <v>0</v>
      </c>
      <c r="M37" s="244" t="str">
        <f>IF(I37=""," ",IF(IN_DATA!R21=1,"Primary Rec.",IF(IN_DATA!R21=2,"Water Flood",IF(IN_DATA!R21=3,"CO2 Flood",""))))</f>
        <v>CO2 Flood</v>
      </c>
      <c r="N37" s="109">
        <f>IF(I37="","",IF(O37=0, 0, OpCost!AD26))</f>
        <v>9075.9663414526476</v>
      </c>
      <c r="O37" s="187">
        <f>IF(OpCost!AE26="", "", OpCost!AE26)</f>
        <v>139.95895858316862</v>
      </c>
      <c r="P37" s="251">
        <f>IF(F37="","",((IN_DATA!C21+IN_DATA!D21/10)/IN_DATA!P21))</f>
        <v>43.802750250000003</v>
      </c>
      <c r="Q37" s="248">
        <f>IF(F37="","",SUM($P$21:P37)*365)</f>
        <v>416631.34154125</v>
      </c>
      <c r="R37" s="249">
        <f>IF(F37="", "", HLOOKUP(C37,'Reference-Crown Royalties'!$D$2:$AB$49,MATCH(P37,'Reference-Crown Royalties'!$A$2:$A$49,1),TRUE))</f>
        <v>0.39</v>
      </c>
      <c r="S37" s="276">
        <f>IF(F37="", "", IF(IN_DATA!R21=3, CO2_Royalty_Factor, IF('Economics Summary'!A37&lt;2, IF('Economics Summary'!Q37&lt;60000, 0.05, ((60000*0.05+('Economics Summary'!Q37-60000)*R37)/'Economics Summary'!Q37)),R37)))</f>
        <v>5.000000074505806E-2</v>
      </c>
      <c r="T37" s="250">
        <f t="shared" si="10"/>
        <v>-2424.4090601892285</v>
      </c>
      <c r="U37" s="250">
        <f t="shared" si="11"/>
        <v>-1110.6497118835257</v>
      </c>
      <c r="V37" s="344">
        <f t="shared" si="2"/>
        <v>-2424.4090601892285</v>
      </c>
      <c r="W37" s="257">
        <f>IF(F37="","",SUM($V$21:V37))</f>
        <v>9091.0510549616301</v>
      </c>
      <c r="X37" s="260">
        <f xml:space="preserve"> IF(OR(F37="",SUM(IN_DATA!$H$5:'IN_DATA'!H21)=0), "", 1-SUM(IN_DATA!$F$5:'IN_DATA'!F21)/SUM(IN_DATA!$H$5:'IN_DATA'!H21))</f>
        <v>0.23892342432752511</v>
      </c>
      <c r="Y37" s="307">
        <f>IF(OR(F37="",SUM(IN_DATA!$H$5:'IN_DATA'!H21)=0),"",365*(SUM(IN_DATA!$H$5:'IN_DATA'!H21)-SUM(IN_DATA!$F$5:'IN_DATA'!F21))/1000)</f>
        <v>4354.040360500001</v>
      </c>
      <c r="Z37" s="346">
        <f t="shared" si="12"/>
        <v>250.23220462643687</v>
      </c>
      <c r="AA37" s="370">
        <f t="shared" si="3"/>
        <v>58.434739556354998</v>
      </c>
      <c r="AB37" s="373">
        <f>IF(F37="", "", IF(IN_DATA!R21=3, MAX(CO2_Royalty_Factor-Z37/10000,0), IF('Economics Summary'!A37&lt;2, IF('Economics Summary'!Q37&lt;60000, 0.05, ((60000*0.05+('Economics Summary'!Q37-60000)*R37)/'Economics Summary'!Q37)),R37)))</f>
        <v>2.4976780282414374E-2</v>
      </c>
      <c r="AC37" s="377">
        <f t="shared" si="13"/>
        <v>-2249.2054976634445</v>
      </c>
      <c r="AD37" s="378">
        <f t="shared" si="4"/>
        <v>-2249.2054976634445</v>
      </c>
    </row>
    <row r="38" spans="1:30" x14ac:dyDescent="0.2">
      <c r="A38" s="178">
        <v>17</v>
      </c>
      <c r="B38" s="178">
        <f t="shared" si="5"/>
        <v>2029</v>
      </c>
      <c r="C38" s="292">
        <f>IF(IN_DATA!C22="","",MAX(min_oil_price,MIN(C37+C37*$L$6,max_oil_price)))</f>
        <v>112.50892055715067</v>
      </c>
      <c r="D38" s="293">
        <f>IF(IN_DATA!C22="","",MAX(min_gas_price,MIN(D37+D37*$L$7,max_gas_price)))</f>
        <v>4</v>
      </c>
      <c r="E38" s="294">
        <f>IF(IN_DATA!C22="","",MIN(E37+E37*$L$8,16))</f>
        <v>14.211653176475227</v>
      </c>
      <c r="F38" s="110">
        <f>IF(O38="", "", IN_DATA!C22*365*OCF*FPF)</f>
        <v>58927.20953256276</v>
      </c>
      <c r="G38" s="184">
        <f>IF(O38="","",IN_DATA!D22*365*FPF*OCF)</f>
        <v>34258.061345821756</v>
      </c>
      <c r="H38" s="235">
        <f t="shared" si="6"/>
        <v>2226.7739874784143</v>
      </c>
      <c r="I38" s="238">
        <f t="shared" si="7"/>
        <v>6629.836735953676</v>
      </c>
      <c r="J38" s="236">
        <f t="shared" si="8"/>
        <v>137.03224538328703</v>
      </c>
      <c r="K38" s="239">
        <f t="shared" si="9"/>
        <v>31.646139612440013</v>
      </c>
      <c r="L38" s="247">
        <f t="shared" si="14"/>
        <v>0</v>
      </c>
      <c r="M38" s="244" t="str">
        <f>IF(I38=""," ",IF(IN_DATA!R22=1,"Primary Rec.",IF(IN_DATA!R22=2,"Water Flood",IF(IN_DATA!R22=3,"CO2 Flood",""))))</f>
        <v>CO2 Flood</v>
      </c>
      <c r="N38" s="109">
        <f>IF(I38="","",IF(O38=0, 0, OpCost!AD27))</f>
        <v>9166.0714774579428</v>
      </c>
      <c r="O38" s="187">
        <f>IF(OpCost!AE27="", "", OpCost!AE27)</f>
        <v>147.00285751035025</v>
      </c>
      <c r="P38" s="251">
        <f>IF(F38="","",((IN_DATA!C22+IN_DATA!D22/10)/IN_DATA!P22))</f>
        <v>42.117895999999995</v>
      </c>
      <c r="Q38" s="248">
        <f>IF(F38="","",SUM($P$21:P38)*365)</f>
        <v>432004.37358124997</v>
      </c>
      <c r="R38" s="249">
        <f>IF(F38="", "", HLOOKUP(C38,'Reference-Crown Royalties'!$D$2:$AB$49,MATCH(P38,'Reference-Crown Royalties'!$A$2:$A$49,1),TRUE))</f>
        <v>0.39</v>
      </c>
      <c r="S38" s="276">
        <f>IF(F38="", "", IF(IN_DATA!R22=3, CO2_Royalty_Factor, IF('Economics Summary'!A38&lt;2, IF('Economics Summary'!Q38&lt;60000, 0.05, ((60000*0.05+('Economics Summary'!Q38-60000)*R38)/'Economics Summary'!Q38)),R38)))</f>
        <v>5.000000074505806E-2</v>
      </c>
      <c r="T38" s="250">
        <f t="shared" si="10"/>
        <v>-2707.482117621299</v>
      </c>
      <c r="U38" s="250">
        <f t="shared" si="11"/>
        <v>-1181.2654654343796</v>
      </c>
      <c r="V38" s="344">
        <f t="shared" si="2"/>
        <v>-2707.482117621299</v>
      </c>
      <c r="W38" s="257">
        <f>IF(F38="","",SUM($V$21:V38))</f>
        <v>6383.5689373403311</v>
      </c>
      <c r="X38" s="260">
        <f xml:space="preserve"> IF(OR(F38="",SUM(IN_DATA!$H$5:'IN_DATA'!H22)=0), "", 1-SUM(IN_DATA!$F$5:'IN_DATA'!F22)/SUM(IN_DATA!$H$5:'IN_DATA'!H22))</f>
        <v>0.22836656151895451</v>
      </c>
      <c r="Y38" s="307">
        <f>IF(OR(F38="",SUM(IN_DATA!$H$5:'IN_DATA'!H22)=0),"",365*(SUM(IN_DATA!$H$5:'IN_DATA'!H22)-SUM(IN_DATA!$F$5:'IN_DATA'!F22))/1000)</f>
        <v>4442.4086855000023</v>
      </c>
      <c r="Z38" s="346">
        <f t="shared" si="12"/>
        <v>255.31084399425302</v>
      </c>
      <c r="AA38" s="370">
        <f t="shared" si="3"/>
        <v>-154.37367767876867</v>
      </c>
      <c r="AB38" s="373">
        <f>IF(F38="", "", IF(IN_DATA!R22=3, MAX(CO2_Royalty_Factor-Z38/10000,0), IF('Economics Summary'!A38&lt;2, IF('Economics Summary'!Q38&lt;60000, 0.05, ((60000*0.05+('Economics Summary'!Q38-60000)*R38)/'Economics Summary'!Q38)),R38)))</f>
        <v>2.4468916345632759E-2</v>
      </c>
      <c r="AC38" s="377">
        <f t="shared" si="13"/>
        <v>-2533.9086542775703</v>
      </c>
      <c r="AD38" s="378">
        <f t="shared" si="4"/>
        <v>-2533.9086542775703</v>
      </c>
    </row>
    <row r="39" spans="1:30" x14ac:dyDescent="0.2">
      <c r="A39" s="178">
        <v>18</v>
      </c>
      <c r="B39" s="178">
        <f t="shared" si="5"/>
        <v>2030</v>
      </c>
      <c r="C39" s="292">
        <f>IF(IN_DATA!C23="","",MAX(min_oil_price,MIN(C38+C38*$L$6,max_oil_price)))</f>
        <v>113.63400973757447</v>
      </c>
      <c r="D39" s="293">
        <f>IF(IN_DATA!C23="","",MAX(min_gas_price,MIN(D38+D38*$L$7,max_gas_price)))</f>
        <v>4</v>
      </c>
      <c r="E39" s="294">
        <f>IF(IN_DATA!C23="","",MIN(E38+E38*$L$8,16))</f>
        <v>14.35376970823998</v>
      </c>
      <c r="F39" s="110">
        <f>IF(O39="", "", IN_DATA!C23*365*OCF*FPF)</f>
        <v>56968.957594391009</v>
      </c>
      <c r="G39" s="184">
        <f>IF(O39="","",IN_DATA!D23*365*FPF*OCF)</f>
        <v>33058.623706216858</v>
      </c>
      <c r="H39" s="235">
        <f t="shared" si="6"/>
        <v>2148.8105409040959</v>
      </c>
      <c r="I39" s="238">
        <f t="shared" si="7"/>
        <v>6473.6110820204949</v>
      </c>
      <c r="J39" s="236">
        <f t="shared" si="8"/>
        <v>132.23449482486743</v>
      </c>
      <c r="K39" s="239">
        <f t="shared" si="9"/>
        <v>30.843531650775979</v>
      </c>
      <c r="L39" s="247">
        <f t="shared" si="14"/>
        <v>0</v>
      </c>
      <c r="M39" s="244" t="str">
        <f>IF(I39=""," ",IF(IN_DATA!R23=1,"Primary Rec.",IF(IN_DATA!R23=2,"Water Flood",IF(IN_DATA!R23=3,"CO2 Flood",""))))</f>
        <v>CO2 Flood</v>
      </c>
      <c r="N39" s="109">
        <f>IF(I39="","",IF(O39=0, 0, OpCost!AD28))</f>
        <v>9272.2469216939553</v>
      </c>
      <c r="O39" s="187">
        <f>IF(OpCost!AE28="", "", OpCost!AE28)</f>
        <v>153.83284308565587</v>
      </c>
      <c r="P39" s="251">
        <f>IF(F39="","",((IN_DATA!C23+IN_DATA!D23/10)/IN_DATA!P23))</f>
        <v>40.714126999999998</v>
      </c>
      <c r="Q39" s="248">
        <f>IF(F39="","",SUM($P$21:P39)*365)</f>
        <v>446865.02993624995</v>
      </c>
      <c r="R39" s="249">
        <f>IF(F39="", "", HLOOKUP(C39,'Reference-Crown Royalties'!$D$2:$AB$49,MATCH(P39,'Reference-Crown Royalties'!$A$2:$A$49,1),TRUE))</f>
        <v>0.39</v>
      </c>
      <c r="S39" s="276">
        <f>IF(F39="", "", IF(IN_DATA!R23=3, CO2_Royalty_Factor, IF('Economics Summary'!A39&lt;2, IF('Economics Summary'!Q39&lt;60000, 0.05, ((60000*0.05+('Economics Summary'!Q39-60000)*R39)/'Economics Summary'!Q39)),R39)))</f>
        <v>5.000000074505806E-2</v>
      </c>
      <c r="T39" s="250">
        <f t="shared" si="10"/>
        <v>-2967.3922735673432</v>
      </c>
      <c r="U39" s="250">
        <f t="shared" si="11"/>
        <v>-1233.0127650128497</v>
      </c>
      <c r="V39" s="344">
        <f t="shared" si="2"/>
        <v>-2967.3922735673432</v>
      </c>
      <c r="W39" s="257">
        <f>IF(F39="","",SUM($V$21:V39))</f>
        <v>3416.1766637729879</v>
      </c>
      <c r="X39" s="260">
        <f xml:space="preserve"> IF(OR(F39="",SUM(IN_DATA!$H$5:'IN_DATA'!H23)=0), "", 1-SUM(IN_DATA!$F$5:'IN_DATA'!F23)/SUM(IN_DATA!$H$5:'IN_DATA'!H23))</f>
        <v>0.21882808618567728</v>
      </c>
      <c r="Y39" s="307">
        <f>IF(OR(F39="",SUM(IN_DATA!$H$5:'IN_DATA'!H23)=0),"",365*(SUM(IN_DATA!$H$5:'IN_DATA'!H23)-SUM(IN_DATA!$F$5:'IN_DATA'!F23))/1000)</f>
        <v>4530.0616105000017</v>
      </c>
      <c r="Z39" s="346">
        <f t="shared" si="12"/>
        <v>260.34836841954035</v>
      </c>
      <c r="AA39" s="370">
        <f t="shared" si="3"/>
        <v>-363.9085893719398</v>
      </c>
      <c r="AB39" s="373">
        <f>IF(F39="", "", IF(IN_DATA!R23=3, MAX(CO2_Royalty_Factor-Z39/10000,0), IF('Economics Summary'!A39&lt;2, IF('Economics Summary'!Q39&lt;60000, 0.05, ((60000*0.05+('Economics Summary'!Q39-60000)*R39)/'Economics Summary'!Q39)),R39)))</f>
        <v>2.3965163903104023E-2</v>
      </c>
      <c r="AC39" s="377">
        <f t="shared" si="13"/>
        <v>-2794.6071554568725</v>
      </c>
      <c r="AD39" s="378">
        <f t="shared" si="4"/>
        <v>-2794.6071554568725</v>
      </c>
    </row>
    <row r="40" spans="1:30" x14ac:dyDescent="0.2">
      <c r="A40" s="178">
        <v>19</v>
      </c>
      <c r="B40" s="178">
        <f t="shared" si="5"/>
        <v>2031</v>
      </c>
      <c r="C40" s="292">
        <f>IF(IN_DATA!C24="","",MAX(min_oil_price,MIN(C39+C39*$L$6,max_oil_price)))</f>
        <v>114.77034980955104</v>
      </c>
      <c r="D40" s="293">
        <f>IF(IN_DATA!C24="","",MAX(min_gas_price,MIN(D39+D39*$L$7,max_gas_price)))</f>
        <v>4</v>
      </c>
      <c r="E40" s="294">
        <f>IF(IN_DATA!C24="","",MIN(E39+E39*$L$8,16))</f>
        <v>14.497307405322379</v>
      </c>
      <c r="F40" s="110">
        <f>IF(O40="", "", IN_DATA!C24*365*OCF*FPF)</f>
        <v>55261.899304005536</v>
      </c>
      <c r="G40" s="184">
        <f>IF(O40="","",IN_DATA!D24*365*FPF*OCF)</f>
        <v>32057.046865354485</v>
      </c>
      <c r="H40" s="235">
        <f t="shared" si="6"/>
        <v>2083.7080462480417</v>
      </c>
      <c r="I40" s="238">
        <f t="shared" si="7"/>
        <v>6342.4275142609004</v>
      </c>
      <c r="J40" s="236">
        <f t="shared" si="8"/>
        <v>128.22818746141795</v>
      </c>
      <c r="K40" s="239">
        <f t="shared" si="9"/>
        <v>30.208156089401559</v>
      </c>
      <c r="L40" s="247">
        <f t="shared" si="14"/>
        <v>0</v>
      </c>
      <c r="M40" s="244" t="str">
        <f>IF(I40=""," ",IF(IN_DATA!R24=1,"Primary Rec.",IF(IN_DATA!R24=2,"Water Flood",IF(IN_DATA!R24=3,"CO2 Flood",""))))</f>
        <v>CO2 Flood</v>
      </c>
      <c r="N40" s="109">
        <f>IF(I40="","",IF(O40=0, 0, OpCost!AD29))</f>
        <v>9388.1543749577086</v>
      </c>
      <c r="O40" s="187">
        <f>IF(OpCost!AE29="", "", OpCost!AE29)</f>
        <v>160.57019159664117</v>
      </c>
      <c r="P40" s="251">
        <f>IF(F40="","",((IN_DATA!C24+IN_DATA!D24/10)/IN_DATA!P24))</f>
        <v>39.493397999999999</v>
      </c>
      <c r="Q40" s="248">
        <f>IF(F40="","",SUM($P$21:P40)*365)</f>
        <v>461280.12020624999</v>
      </c>
      <c r="R40" s="249">
        <f>IF(F40="", "", HLOOKUP(C40,'Reference-Crown Royalties'!$D$2:$AB$49,MATCH(P40,'Reference-Crown Royalties'!$A$2:$A$49,1),TRUE))</f>
        <v>0.36</v>
      </c>
      <c r="S40" s="276">
        <f>IF(F40="", "", IF(IN_DATA!R24=3, CO2_Royalty_Factor, IF('Economics Summary'!A40&lt;2, IF('Economics Summary'!Q40&lt;60000, 0.05, ((60000*0.05+('Economics Summary'!Q40-60000)*R40)/'Economics Summary'!Q40)),R40)))</f>
        <v>5.000000074505806E-2</v>
      </c>
      <c r="T40" s="250">
        <f t="shared" si="10"/>
        <v>-3212.3337148800956</v>
      </c>
      <c r="U40" s="250">
        <f t="shared" si="11"/>
        <v>-1271.2295151087765</v>
      </c>
      <c r="V40" s="344">
        <f t="shared" si="2"/>
        <v>-3212.3337148800956</v>
      </c>
      <c r="W40" s="257">
        <f>IF(F40="","",SUM($V$21:V40))</f>
        <v>203.84294889289231</v>
      </c>
      <c r="X40" s="260">
        <f xml:space="preserve"> IF(OR(F40="",SUM(IN_DATA!$H$5:'IN_DATA'!H24)=0), "", 1-SUM(IN_DATA!$F$5:'IN_DATA'!F24)/SUM(IN_DATA!$H$5:'IN_DATA'!H24))</f>
        <v>0.20988844920591743</v>
      </c>
      <c r="Y40" s="307">
        <f>IF(OR(F40="",SUM(IN_DATA!$H$5:'IN_DATA'!H24)=0),"",365*(SUM(IN_DATA!$H$5:'IN_DATA'!H24)-SUM(IN_DATA!$F$5:'IN_DATA'!F24))/1000)</f>
        <v>4611.1386955000025</v>
      </c>
      <c r="Z40" s="346">
        <f t="shared" si="12"/>
        <v>265.00797100574732</v>
      </c>
      <c r="AA40" s="370">
        <f t="shared" si="3"/>
        <v>-562.25400482262239</v>
      </c>
      <c r="AB40" s="373">
        <f>IF(F40="", "", IF(IN_DATA!R24=3, MAX(CO2_Royalty_Factor-Z40/10000,0), IF('Economics Summary'!A40&lt;2, IF('Economics Summary'!Q40&lt;60000, 0.05, ((60000*0.05+('Economics Summary'!Q40-60000)*R40)/'Economics Summary'!Q40)),R40)))</f>
        <v>2.3499203644483328E-2</v>
      </c>
      <c r="AC40" s="377">
        <f t="shared" si="13"/>
        <v>-3040.0556408057682</v>
      </c>
      <c r="AD40" s="378">
        <f t="shared" si="4"/>
        <v>-3040.0556408057682</v>
      </c>
    </row>
    <row r="41" spans="1:30" x14ac:dyDescent="0.2">
      <c r="A41" s="178">
        <v>20</v>
      </c>
      <c r="B41" s="178">
        <f t="shared" si="5"/>
        <v>2032</v>
      </c>
      <c r="C41" s="292">
        <f>IF(IN_DATA!C25="","",MAX(min_oil_price,MIN(C40+C40*$L$6,max_oil_price)))</f>
        <v>115.91805328199338</v>
      </c>
      <c r="D41" s="293">
        <f>IF(IN_DATA!C25="","",MAX(min_gas_price,MIN(D40+D40*$L$7,max_gas_price)))</f>
        <v>4</v>
      </c>
      <c r="E41" s="294">
        <f>IF(IN_DATA!C25="","",MIN(E40+E40*$L$8,16))</f>
        <v>14.642280479375604</v>
      </c>
      <c r="F41" s="110">
        <f>IF(O41="", "", IN_DATA!C25*365*OCF*FPF)</f>
        <v>53203.86571349376</v>
      </c>
      <c r="G41" s="184">
        <f>IF(O41="","",IN_DATA!D25*365*FPF*OCF)</f>
        <v>30840.510144376789</v>
      </c>
      <c r="H41" s="235">
        <f t="shared" si="6"/>
        <v>2004.6331593844914</v>
      </c>
      <c r="I41" s="238">
        <f t="shared" si="7"/>
        <v>6167.2885405847901</v>
      </c>
      <c r="J41" s="236">
        <f t="shared" si="8"/>
        <v>123.36204057750716</v>
      </c>
      <c r="K41" s="239">
        <f t="shared" si="9"/>
        <v>29.352400977964582</v>
      </c>
      <c r="L41" s="247">
        <f t="shared" si="14"/>
        <v>0</v>
      </c>
      <c r="M41" s="244" t="str">
        <f>IF(I41=""," ",IF(IN_DATA!R25=1,"Primary Rec.",IF(IN_DATA!R25=2,"Water Flood",IF(IN_DATA!R25=3,"CO2 Flood",""))))</f>
        <v>CO2 Flood</v>
      </c>
      <c r="N41" s="109">
        <f>IF(I41="","",IF(O41=0, 0, OpCost!AD30))</f>
        <v>9512.7978132849512</v>
      </c>
      <c r="O41" s="187">
        <f>IF(OpCost!AE30="", "", OpCost!AE30)</f>
        <v>169.0024851917191</v>
      </c>
      <c r="P41" s="251">
        <f>IF(F41="","",((IN_DATA!C25+IN_DATA!D25/10)/IN_DATA!P25))</f>
        <v>38.021073999999999</v>
      </c>
      <c r="Q41" s="248">
        <f>IF(F41="","",SUM($P$21:P41)*365)</f>
        <v>475157.81221624999</v>
      </c>
      <c r="R41" s="249">
        <f>IF(F41="", "", HLOOKUP(C41,'Reference-Crown Royalties'!$D$2:$AB$49,MATCH(P41,'Reference-Crown Royalties'!$A$2:$A$49,1),TRUE))</f>
        <v>0.37</v>
      </c>
      <c r="S41" s="276">
        <f>IF(F41="", "", IF(IN_DATA!R25=3, CO2_Royalty_Factor, IF('Economics Summary'!A41&lt;2, IF('Economics Summary'!Q41&lt;60000, 0.05, ((60000*0.05+('Economics Summary'!Q41-60000)*R41)/'Economics Summary'!Q41)),R41)))</f>
        <v>5.000000074505806E-2</v>
      </c>
      <c r="T41" s="250">
        <f t="shared" si="10"/>
        <v>-3508.7949849604711</v>
      </c>
      <c r="U41" s="250">
        <f t="shared" si="11"/>
        <v>-1322.4279086217844</v>
      </c>
      <c r="V41" s="344">
        <f t="shared" si="2"/>
        <v>-3508.7949849604711</v>
      </c>
      <c r="W41" s="257">
        <f>IF(F41="","",SUM($V$21:V41))</f>
        <v>-3304.9520360675788</v>
      </c>
      <c r="X41" s="260">
        <f xml:space="preserve"> IF(OR(F41="",SUM(IN_DATA!$H$5:'IN_DATA'!H25)=0), "", 1-SUM(IN_DATA!$F$5:'IN_DATA'!F25)/SUM(IN_DATA!$H$5:'IN_DATA'!H25))</f>
        <v>0.20165138975700014</v>
      </c>
      <c r="Y41" s="307">
        <f>IF(OR(F41="",SUM(IN_DATA!$H$5:'IN_DATA'!H25)=0),"",365*(SUM(IN_DATA!$H$5:'IN_DATA'!H25)-SUM(IN_DATA!$F$5:'IN_DATA'!F25))/1000)</f>
        <v>4690.4911555000008</v>
      </c>
      <c r="Z41" s="346">
        <f t="shared" si="12"/>
        <v>269.56845721264375</v>
      </c>
      <c r="AA41" s="370">
        <f t="shared" si="3"/>
        <v>-813.11041283403347</v>
      </c>
      <c r="AB41" s="373">
        <f>IF(F41="", "", IF(IN_DATA!R25=3, MAX(CO2_Royalty_Factor-Z41/10000,0), IF('Economics Summary'!A41&lt;2, IF('Economics Summary'!Q41&lt;60000, 0.05, ((60000*0.05+('Economics Summary'!Q41-60000)*R41)/'Economics Summary'!Q41)),R41)))</f>
        <v>2.3043155023793685E-2</v>
      </c>
      <c r="AC41" s="377">
        <f t="shared" si="13"/>
        <v>-3338.4276396129853</v>
      </c>
      <c r="AD41" s="378">
        <f t="shared" si="4"/>
        <v>-3338.4276396129853</v>
      </c>
    </row>
    <row r="42" spans="1:30" x14ac:dyDescent="0.2">
      <c r="A42" s="178">
        <v>21</v>
      </c>
      <c r="B42" s="178">
        <f t="shared" si="5"/>
        <v>2033</v>
      </c>
      <c r="C42" s="292">
        <f>IF(IN_DATA!C26="","",MAX(min_oil_price,MIN(C41+C41*$L$6,max_oil_price)))</f>
        <v>117.07723378890361</v>
      </c>
      <c r="D42" s="293">
        <f>IF(IN_DATA!C26="","",MAX(min_gas_price,MIN(D41+D41*$L$7,max_gas_price)))</f>
        <v>4</v>
      </c>
      <c r="E42" s="294">
        <f>IF(IN_DATA!C26="","",MIN(E41+E41*$L$8,16))</f>
        <v>14.78870328416936</v>
      </c>
      <c r="F42" s="110">
        <f>IF(O42="", "", IN_DATA!C26*365*OCF*FPF)</f>
        <v>51576.714169177329</v>
      </c>
      <c r="G42" s="184">
        <f>IF(O42="","",IN_DATA!D26*365*FPF*OCF)</f>
        <v>29878.335212669157</v>
      </c>
      <c r="H42" s="235">
        <f t="shared" si="6"/>
        <v>1942.0917888234953</v>
      </c>
      <c r="I42" s="238">
        <f t="shared" si="7"/>
        <v>6038.4590228482321</v>
      </c>
      <c r="J42" s="236">
        <f t="shared" si="8"/>
        <v>119.51334085067663</v>
      </c>
      <c r="K42" s="239">
        <f t="shared" si="9"/>
        <v>28.721019215532372</v>
      </c>
      <c r="L42" s="247">
        <f t="shared" si="14"/>
        <v>0</v>
      </c>
      <c r="M42" s="244" t="str">
        <f>IF(I42=""," ",IF(IN_DATA!R26=1,"Primary Rec.",IF(IN_DATA!R26=2,"Water Flood",IF(IN_DATA!R26=3,"CO2 Flood",""))))</f>
        <v>CO2 Flood</v>
      </c>
      <c r="N42" s="109">
        <f>IF(I42="","",IF(O42=0, 0, OpCost!AD31))</f>
        <v>9612.4400685540477</v>
      </c>
      <c r="O42" s="187">
        <f>IF(OpCost!AE31="", "", OpCost!AE31)</f>
        <v>176.16640246130825</v>
      </c>
      <c r="P42" s="251">
        <f>IF(F42="","",((IN_DATA!C26+IN_DATA!D26/10)/IN_DATA!P26))</f>
        <v>36.856981499999996</v>
      </c>
      <c r="Q42" s="248">
        <f>IF(F42="","",SUM($P$21:P42)*365)</f>
        <v>488610.61046375002</v>
      </c>
      <c r="R42" s="249">
        <f>IF(F42="", "", HLOOKUP(C42,'Reference-Crown Royalties'!$D$2:$AB$49,MATCH(P42,'Reference-Crown Royalties'!$A$2:$A$49,1),TRUE))</f>
        <v>0.37</v>
      </c>
      <c r="S42" s="276">
        <f>IF(F42="", "", IF(IN_DATA!R26=3, CO2_Royalty_Factor, IF('Economics Summary'!A42&lt;2, IF('Economics Summary'!Q42&lt;60000, 0.05, ((60000*0.05+('Economics Summary'!Q42-60000)*R42)/'Economics Summary'!Q42)),R42)))</f>
        <v>5.000000074505806E-2</v>
      </c>
      <c r="T42" s="250">
        <f t="shared" si="10"/>
        <v>-3735.0813593947742</v>
      </c>
      <c r="U42" s="250">
        <f t="shared" si="11"/>
        <v>-1340.6789152898311</v>
      </c>
      <c r="V42" s="344">
        <f t="shared" si="2"/>
        <v>-3735.0813593947742</v>
      </c>
      <c r="W42" s="257">
        <f>IF(F42="","",SUM($V$21:V42))</f>
        <v>-7040.0333954623529</v>
      </c>
      <c r="X42" s="260">
        <f xml:space="preserve"> IF(OR(F42="",SUM(IN_DATA!$H$5:'IN_DATA'!H26)=0), "", 1-SUM(IN_DATA!$F$5:'IN_DATA'!F26)/SUM(IN_DATA!$H$5:'IN_DATA'!H26))</f>
        <v>0.19385270147551514</v>
      </c>
      <c r="Y42" s="307">
        <f>IF(OR(F42="",SUM(IN_DATA!$H$5:'IN_DATA'!H26)=0),"",365*(SUM(IN_DATA!$H$5:'IN_DATA'!H26)-SUM(IN_DATA!$F$5:'IN_DATA'!F26))/1000)</f>
        <v>4762.4092954999996</v>
      </c>
      <c r="Z42" s="346">
        <f t="shared" si="12"/>
        <v>273.70168364942526</v>
      </c>
      <c r="AA42" s="370">
        <f t="shared" si="3"/>
        <v>-998.0645229005213</v>
      </c>
      <c r="AB42" s="373">
        <f>IF(F42="", "", IF(IN_DATA!R26=3, MAX(CO2_Royalty_Factor-Z42/10000,0), IF('Economics Summary'!A42&lt;2, IF('Economics Summary'!Q42&lt;60000, 0.05, ((60000*0.05+('Economics Summary'!Q42-60000)*R42)/'Economics Summary'!Q42)),R42)))</f>
        <v>2.2629832380115532E-2</v>
      </c>
      <c r="AC42" s="377">
        <f t="shared" si="13"/>
        <v>-3565.75051988213</v>
      </c>
      <c r="AD42" s="378">
        <f t="shared" si="4"/>
        <v>-3565.75051988213</v>
      </c>
    </row>
    <row r="43" spans="1:30" x14ac:dyDescent="0.2">
      <c r="A43" s="178">
        <v>22</v>
      </c>
      <c r="B43" s="178">
        <f t="shared" si="5"/>
        <v>2034</v>
      </c>
      <c r="C43" s="292">
        <f>IF(IN_DATA!C27="","",MAX(min_oil_price,MIN(C42+C42*$L$6,max_oil_price)))</f>
        <v>118.24800610062385</v>
      </c>
      <c r="D43" s="293">
        <f>IF(IN_DATA!C27="","",MAX(min_gas_price,MIN(D42+D42*$L$7,max_gas_price)))</f>
        <v>4</v>
      </c>
      <c r="E43" s="294">
        <f>IF(IN_DATA!C27="","",MIN(E42+E42*$L$8,16))</f>
        <v>14.936590317011053</v>
      </c>
      <c r="F43" s="110">
        <f>IF(O43="", "", IN_DATA!C27*365*OCF*FPF)</f>
        <v>50442.845214767403</v>
      </c>
      <c r="G43" s="184">
        <f>IF(O43="","",IN_DATA!D27*365*FPF*OCF)</f>
        <v>29226.978647560773</v>
      </c>
      <c r="H43" s="235">
        <f t="shared" si="6"/>
        <v>1899.7536120914503</v>
      </c>
      <c r="I43" s="238">
        <f t="shared" si="7"/>
        <v>5964.7658686886407</v>
      </c>
      <c r="J43" s="236">
        <f t="shared" si="8"/>
        <v>116.9079145902431</v>
      </c>
      <c r="K43" s="239">
        <f t="shared" si="9"/>
        <v>28.375841407071931</v>
      </c>
      <c r="L43" s="247">
        <f t="shared" si="14"/>
        <v>0</v>
      </c>
      <c r="M43" s="244" t="str">
        <f>IF(I43=""," ",IF(IN_DATA!R27=1,"Primary Rec.",IF(IN_DATA!R27=2,"Water Flood",IF(IN_DATA!R27=3,"CO2 Flood",""))))</f>
        <v>CO2 Flood</v>
      </c>
      <c r="N43" s="109">
        <f>IF(I43="","",IF(O43=0, 0, OpCost!AD32))</f>
        <v>9731.0650543463598</v>
      </c>
      <c r="O43" s="187">
        <f>IF(OpCost!AE32="", "", OpCost!AE32)</f>
        <v>182.34734423756291</v>
      </c>
      <c r="P43" s="251">
        <f>IF(F43="","",((IN_DATA!C27+IN_DATA!D27/10)/IN_DATA!P27))</f>
        <v>36.047084000000005</v>
      </c>
      <c r="Q43" s="248">
        <f>IF(F43="","",SUM($P$21:P43)*365)</f>
        <v>501767.79612375004</v>
      </c>
      <c r="R43" s="249">
        <f>IF(F43="", "", HLOOKUP(C43,'Reference-Crown Royalties'!$D$2:$AB$49,MATCH(P43,'Reference-Crown Royalties'!$A$2:$A$49,1),TRUE))</f>
        <v>0.37</v>
      </c>
      <c r="S43" s="276">
        <f>IF(F43="", "", IF(IN_DATA!R27=3, CO2_Royalty_Factor, IF('Economics Summary'!A43&lt;2, IF('Economics Summary'!Q43&lt;60000, 0.05, ((60000*0.05+('Economics Summary'!Q43-60000)*R43)/'Economics Summary'!Q43)),R43)))</f>
        <v>5.000000074505806E-2</v>
      </c>
      <c r="T43" s="250">
        <f t="shared" si="10"/>
        <v>-3926.5179154470434</v>
      </c>
      <c r="U43" s="250">
        <f t="shared" si="11"/>
        <v>-1342.2796222609029</v>
      </c>
      <c r="V43" s="344">
        <f t="shared" si="2"/>
        <v>-3926.5179154470434</v>
      </c>
      <c r="W43" s="257">
        <f>IF(F43="","",SUM($V$21:V43))</f>
        <v>-10966.551310909395</v>
      </c>
      <c r="X43" s="260">
        <f xml:space="preserve"> IF(OR(F43="",SUM(IN_DATA!$H$5:'IN_DATA'!H27)=0), "", 1-SUM(IN_DATA!$F$5:'IN_DATA'!F27)/SUM(IN_DATA!$H$5:'IN_DATA'!H27))</f>
        <v>0.18661162584749102</v>
      </c>
      <c r="Y43" s="307">
        <f>IF(OR(F43="",SUM(IN_DATA!$H$5:'IN_DATA'!H27)=0),"",365*(SUM(IN_DATA!$H$5:'IN_DATA'!H27)-SUM(IN_DATA!$F$5:'IN_DATA'!F27))/1000)</f>
        <v>4832.033045500003</v>
      </c>
      <c r="Z43" s="346">
        <f t="shared" si="12"/>
        <v>277.7030485919542</v>
      </c>
      <c r="AA43" s="370">
        <f t="shared" si="3"/>
        <v>-1149.4874295275013</v>
      </c>
      <c r="AB43" s="373">
        <f>IF(F43="", "", IF(IN_DATA!R27=3, MAX(CO2_Royalty_Factor-Z43/10000,0), IF('Economics Summary'!A43&lt;2, IF('Economics Summary'!Q43&lt;60000, 0.05, ((60000*0.05+('Economics Summary'!Q43-60000)*R43)/'Economics Summary'!Q43)),R43)))</f>
        <v>2.2229695885862641E-2</v>
      </c>
      <c r="AC43" s="377">
        <f t="shared" si="13"/>
        <v>-3756.8399746647019</v>
      </c>
      <c r="AD43" s="378">
        <f t="shared" si="4"/>
        <v>-3756.8399746647019</v>
      </c>
    </row>
    <row r="44" spans="1:30" x14ac:dyDescent="0.2">
      <c r="A44" s="178">
        <v>23</v>
      </c>
      <c r="B44" s="178">
        <f t="shared" si="5"/>
        <v>2035</v>
      </c>
      <c r="C44" s="292" t="str">
        <f>IF(IN_DATA!C28="","",MAX(min_oil_price,MIN(C43+C43*$L$6,max_oil_price)))</f>
        <v/>
      </c>
      <c r="D44" s="293" t="str">
        <f>IF(IN_DATA!C28="","",MAX(min_gas_price,MIN(D43+D43*$L$7,max_gas_price)))</f>
        <v/>
      </c>
      <c r="E44" s="294" t="str">
        <f>IF(IN_DATA!C28="","",MIN(E43+E43*$L$8,16))</f>
        <v/>
      </c>
      <c r="F44" s="110" t="str">
        <f>IF(O44="", "", IN_DATA!C28*365*OCF*FPF)</f>
        <v/>
      </c>
      <c r="G44" s="184" t="str">
        <f>IF(O44="","",IN_DATA!D28*365*FPF*OCF)</f>
        <v/>
      </c>
      <c r="H44" s="235" t="str">
        <f t="shared" si="6"/>
        <v/>
      </c>
      <c r="I44" s="238" t="str">
        <f t="shared" si="7"/>
        <v/>
      </c>
      <c r="J44" s="236" t="str">
        <f t="shared" si="8"/>
        <v/>
      </c>
      <c r="K44" s="239" t="str">
        <f t="shared" si="9"/>
        <v/>
      </c>
      <c r="L44" s="247" t="str">
        <f t="shared" si="14"/>
        <v/>
      </c>
      <c r="M44" s="244" t="str">
        <f>IF(I44=""," ",IF(IN_DATA!R28=1,"Primary Rec.",IF(IN_DATA!R28=2,"Water Flood",IF(IN_DATA!R28=3,"CO2 Flood",""))))</f>
        <v xml:space="preserve"> </v>
      </c>
      <c r="N44" s="109" t="str">
        <f>IF(I44="","",IF(O44=0, 0, OpCost!AD33))</f>
        <v/>
      </c>
      <c r="O44" s="187" t="str">
        <f>IF(OpCost!AE33="", "", OpCost!AE33)</f>
        <v/>
      </c>
      <c r="P44" s="251" t="str">
        <f>IF(F44="","",((IN_DATA!C28+IN_DATA!D28/10)/IN_DATA!P28))</f>
        <v/>
      </c>
      <c r="Q44" s="248" t="str">
        <f>IF(F44="","",SUM($P$21:P44)*365)</f>
        <v/>
      </c>
      <c r="R44" s="249" t="str">
        <f>IF(F44="", "", HLOOKUP(C44,'Reference-Crown Royalties'!$D$2:$AB$49,MATCH(P44,'Reference-Crown Royalties'!$A$2:$A$49,1),TRUE))</f>
        <v/>
      </c>
      <c r="S44" s="276" t="str">
        <f>IF(F44="", "", IF(IN_DATA!R28=3, CO2_Royalty_Factor, IF('Economics Summary'!A44&lt;2, IF('Economics Summary'!Q44&lt;60000, 0.05, ((60000*0.05+('Economics Summary'!Q44-60000)*R44)/'Economics Summary'!Q44)),R44)))</f>
        <v/>
      </c>
      <c r="T44" s="250" t="str">
        <f t="shared" si="10"/>
        <v/>
      </c>
      <c r="U44" s="250" t="str">
        <f t="shared" si="11"/>
        <v/>
      </c>
      <c r="V44" s="344" t="str">
        <f t="shared" si="2"/>
        <v/>
      </c>
      <c r="W44" s="257" t="str">
        <f>IF(F44="","",SUM($V$21:V44))</f>
        <v/>
      </c>
      <c r="X44" s="260" t="str">
        <f xml:space="preserve"> IF(OR(F44="",SUM(IN_DATA!$H$5:'IN_DATA'!H28)=0), "", 1-SUM(IN_DATA!$F$5:'IN_DATA'!F28)/SUM(IN_DATA!$H$5:'IN_DATA'!H28))</f>
        <v/>
      </c>
      <c r="Y44" s="307" t="str">
        <f>IF(OR(F44="",SUM(IN_DATA!$H$5:'IN_DATA'!H28)=0),"",365*(SUM(IN_DATA!$H$5:'IN_DATA'!H28)-SUM(IN_DATA!$F$5:'IN_DATA'!F28))/1000)</f>
        <v/>
      </c>
      <c r="Z44" s="346" t="str">
        <f t="shared" si="12"/>
        <v/>
      </c>
      <c r="AA44" s="370" t="str">
        <f t="shared" si="3"/>
        <v/>
      </c>
      <c r="AB44" s="373" t="str">
        <f>IF(F44="", "", IF(IN_DATA!R28=3, MAX(CO2_Royalty_Factor-Z44/10000,0), IF('Economics Summary'!A44&lt;2, IF('Economics Summary'!Q44&lt;60000, 0.05, ((60000*0.05+('Economics Summary'!Q44-60000)*R44)/'Economics Summary'!Q44)),R44)))</f>
        <v/>
      </c>
      <c r="AC44" s="377" t="str">
        <f t="shared" si="13"/>
        <v/>
      </c>
      <c r="AD44" s="378" t="str">
        <f t="shared" si="4"/>
        <v/>
      </c>
    </row>
    <row r="45" spans="1:30" x14ac:dyDescent="0.2">
      <c r="A45" s="178">
        <v>24</v>
      </c>
      <c r="B45" s="178">
        <f t="shared" si="5"/>
        <v>2036</v>
      </c>
      <c r="C45" s="292" t="str">
        <f>IF(IN_DATA!C29="","",MAX(min_oil_price,MIN(C44+C44*$L$6,max_oil_price)))</f>
        <v/>
      </c>
      <c r="D45" s="293" t="str">
        <f>IF(IN_DATA!C29="","",MAX(min_gas_price,MIN(D44+D44*$L$7,max_gas_price)))</f>
        <v/>
      </c>
      <c r="E45" s="294" t="str">
        <f>IF(IN_DATA!C29="","",MIN(E44+E44*$L$8,16))</f>
        <v/>
      </c>
      <c r="F45" s="110" t="str">
        <f>IF(O45="", "", IN_DATA!C29*365*OCF*FPF)</f>
        <v/>
      </c>
      <c r="G45" s="184" t="str">
        <f>IF(O45="","",IN_DATA!D29*365*FPF*OCF)</f>
        <v/>
      </c>
      <c r="H45" s="235" t="str">
        <f t="shared" si="6"/>
        <v/>
      </c>
      <c r="I45" s="238" t="str">
        <f t="shared" si="7"/>
        <v/>
      </c>
      <c r="J45" s="236" t="str">
        <f t="shared" si="8"/>
        <v/>
      </c>
      <c r="K45" s="239" t="str">
        <f t="shared" si="9"/>
        <v/>
      </c>
      <c r="L45" s="247" t="str">
        <f t="shared" si="14"/>
        <v/>
      </c>
      <c r="M45" s="244" t="str">
        <f>IF(I45=""," ",IF(IN_DATA!R29=1,"Primary Rec.",IF(IN_DATA!R29=2,"Water Flood",IF(IN_DATA!R29=3,"CO2 Flood",""))))</f>
        <v xml:space="preserve"> </v>
      </c>
      <c r="N45" s="109" t="str">
        <f>IF(I45="","",IF(O45=0, 0, OpCost!AD34))</f>
        <v/>
      </c>
      <c r="O45" s="187" t="str">
        <f>IF(OpCost!AE34="", "", OpCost!AE34)</f>
        <v/>
      </c>
      <c r="P45" s="251" t="str">
        <f>IF(F45="","",((IN_DATA!C29+IN_DATA!D29/10)/IN_DATA!P29))</f>
        <v/>
      </c>
      <c r="Q45" s="248" t="str">
        <f>IF(F45="","",SUM($P$21:P45)*365)</f>
        <v/>
      </c>
      <c r="R45" s="249" t="str">
        <f>IF(F45="", "", HLOOKUP(C45,'Reference-Crown Royalties'!$D$2:$AB$49,MATCH(P45,'Reference-Crown Royalties'!$A$2:$A$49,1),TRUE))</f>
        <v/>
      </c>
      <c r="S45" s="276" t="str">
        <f>IF(F45="", "", IF(IN_DATA!R29=3, CO2_Royalty_Factor, IF('Economics Summary'!A45&lt;2, IF('Economics Summary'!Q45&lt;60000, 0.05, ((60000*0.05+('Economics Summary'!Q45-60000)*R45)/'Economics Summary'!Q45)),R45)))</f>
        <v/>
      </c>
      <c r="T45" s="250" t="str">
        <f t="shared" si="10"/>
        <v/>
      </c>
      <c r="U45" s="250" t="str">
        <f t="shared" si="11"/>
        <v/>
      </c>
      <c r="V45" s="344" t="str">
        <f t="shared" si="2"/>
        <v/>
      </c>
      <c r="W45" s="257" t="str">
        <f>IF(F45="","",SUM($V$21:V45))</f>
        <v/>
      </c>
      <c r="X45" s="260" t="str">
        <f xml:space="preserve"> IF(OR(F45="",SUM(IN_DATA!$H$5:'IN_DATA'!H29)=0), "", 1-SUM(IN_DATA!$F$5:'IN_DATA'!F29)/SUM(IN_DATA!$H$5:'IN_DATA'!H29))</f>
        <v/>
      </c>
      <c r="Y45" s="307" t="str">
        <f>IF(OR(F45="",SUM(IN_DATA!$H$5:'IN_DATA'!H29)=0),"",365*(SUM(IN_DATA!$H$5:'IN_DATA'!H29)-SUM(IN_DATA!$F$5:'IN_DATA'!F29))/1000)</f>
        <v/>
      </c>
      <c r="Z45" s="346" t="str">
        <f t="shared" si="12"/>
        <v/>
      </c>
      <c r="AA45" s="370" t="str">
        <f t="shared" si="3"/>
        <v/>
      </c>
      <c r="AB45" s="373" t="str">
        <f>IF(F45="", "", IF(IN_DATA!R29=3, MAX(CO2_Royalty_Factor-Z45/10000,0), IF('Economics Summary'!A45&lt;2, IF('Economics Summary'!Q45&lt;60000, 0.05, ((60000*0.05+('Economics Summary'!Q45-60000)*R45)/'Economics Summary'!Q45)),R45)))</f>
        <v/>
      </c>
      <c r="AC45" s="377" t="str">
        <f t="shared" si="13"/>
        <v/>
      </c>
      <c r="AD45" s="378" t="str">
        <f t="shared" si="4"/>
        <v/>
      </c>
    </row>
    <row r="46" spans="1:30" x14ac:dyDescent="0.2">
      <c r="A46" s="178">
        <v>25</v>
      </c>
      <c r="B46" s="178">
        <f t="shared" si="5"/>
        <v>2037</v>
      </c>
      <c r="C46" s="292" t="str">
        <f>IF(IN_DATA!C30="","",MAX(min_oil_price,MIN(C45+C45*$L$6,max_oil_price)))</f>
        <v/>
      </c>
      <c r="D46" s="293" t="str">
        <f>IF(IN_DATA!C30="","",MAX(min_gas_price,MIN(D45+D45*$L$7,max_gas_price)))</f>
        <v/>
      </c>
      <c r="E46" s="294" t="str">
        <f>IF(IN_DATA!C30="","",MIN(E45+E45*$L$8,16))</f>
        <v/>
      </c>
      <c r="F46" s="110" t="str">
        <f>IF(O46="", "", IN_DATA!C30*365*OCF*FPF)</f>
        <v/>
      </c>
      <c r="G46" s="184" t="str">
        <f>IF(O46="","",IN_DATA!D30*365*FPF*OCF)</f>
        <v/>
      </c>
      <c r="H46" s="235" t="str">
        <f t="shared" si="6"/>
        <v/>
      </c>
      <c r="I46" s="238" t="str">
        <f t="shared" si="7"/>
        <v/>
      </c>
      <c r="J46" s="236" t="str">
        <f t="shared" si="8"/>
        <v/>
      </c>
      <c r="K46" s="239" t="str">
        <f t="shared" si="9"/>
        <v/>
      </c>
      <c r="L46" s="247" t="str">
        <f t="shared" si="14"/>
        <v/>
      </c>
      <c r="M46" s="244" t="str">
        <f>IF(I46=""," ",IF(IN_DATA!R30=1,"Primary Rec.",IF(IN_DATA!R30=2,"Water Flood",IF(IN_DATA!R30=3,"CO2 Flood",""))))</f>
        <v xml:space="preserve"> </v>
      </c>
      <c r="N46" s="109" t="str">
        <f>IF(I46="","",IF(O46=0, 0, OpCost!AD35))</f>
        <v/>
      </c>
      <c r="O46" s="187" t="str">
        <f>IF(OpCost!AE35="", "", OpCost!AE35)</f>
        <v/>
      </c>
      <c r="P46" s="251" t="str">
        <f>IF(F46="","",((IN_DATA!C30+IN_DATA!D30/10)/IN_DATA!P30))</f>
        <v/>
      </c>
      <c r="Q46" s="248" t="str">
        <f>IF(F46="","",SUM($P$21:P46)*365)</f>
        <v/>
      </c>
      <c r="R46" s="249" t="str">
        <f>IF(F46="", "", HLOOKUP(C46,'Reference-Crown Royalties'!$D$2:$AB$49,MATCH(P46,'Reference-Crown Royalties'!$A$2:$A$49,1),TRUE))</f>
        <v/>
      </c>
      <c r="S46" s="276" t="str">
        <f>IF(F46="", "", IF(IN_DATA!R30=3, CO2_Royalty_Factor, IF('Economics Summary'!A46&lt;2, IF('Economics Summary'!Q46&lt;60000, 0.05, ((60000*0.05+('Economics Summary'!Q46-60000)*R46)/'Economics Summary'!Q46)),R46)))</f>
        <v/>
      </c>
      <c r="T46" s="250" t="str">
        <f t="shared" si="10"/>
        <v/>
      </c>
      <c r="U46" s="250" t="str">
        <f t="shared" si="11"/>
        <v/>
      </c>
      <c r="V46" s="344" t="str">
        <f t="shared" si="2"/>
        <v/>
      </c>
      <c r="W46" s="257" t="str">
        <f>IF(F46="","",SUM($V$21:V46))</f>
        <v/>
      </c>
      <c r="X46" s="260" t="str">
        <f xml:space="preserve"> IF(OR(F46="",SUM(IN_DATA!$H$5:'IN_DATA'!H30)=0), "", 1-SUM(IN_DATA!$F$5:'IN_DATA'!F30)/SUM(IN_DATA!$H$5:'IN_DATA'!H30))</f>
        <v/>
      </c>
      <c r="Y46" s="307" t="str">
        <f>IF(OR(F46="",SUM(IN_DATA!$H$5:'IN_DATA'!H30)=0),"",365*(SUM(IN_DATA!$H$5:'IN_DATA'!H30)-SUM(IN_DATA!$F$5:'IN_DATA'!F30))/1000)</f>
        <v/>
      </c>
      <c r="Z46" s="346" t="str">
        <f t="shared" si="12"/>
        <v/>
      </c>
      <c r="AA46" s="370" t="str">
        <f t="shared" si="3"/>
        <v/>
      </c>
      <c r="AB46" s="373" t="str">
        <f>IF(F46="", "", IF(IN_DATA!R30=3, MAX(CO2_Royalty_Factor-Z46/10000,0), IF('Economics Summary'!A46&lt;2, IF('Economics Summary'!Q46&lt;60000, 0.05, ((60000*0.05+('Economics Summary'!Q46-60000)*R46)/'Economics Summary'!Q46)),R46)))</f>
        <v/>
      </c>
      <c r="AC46" s="377" t="str">
        <f t="shared" si="13"/>
        <v/>
      </c>
      <c r="AD46" s="378" t="str">
        <f t="shared" si="4"/>
        <v/>
      </c>
    </row>
    <row r="47" spans="1:30" x14ac:dyDescent="0.2">
      <c r="A47" s="178">
        <v>26</v>
      </c>
      <c r="B47" s="178">
        <f t="shared" si="5"/>
        <v>2038</v>
      </c>
      <c r="C47" s="292" t="str">
        <f>IF(IN_DATA!C31="","",MAX(min_oil_price,MIN(C46+C46*$L$6,max_oil_price)))</f>
        <v/>
      </c>
      <c r="D47" s="293" t="str">
        <f>IF(IN_DATA!C31="","",MAX(min_gas_price,MIN(D46+D46*$L$7,max_gas_price)))</f>
        <v/>
      </c>
      <c r="E47" s="294" t="str">
        <f>IF(IN_DATA!C31="","",MIN(E46+E46*$L$8,16))</f>
        <v/>
      </c>
      <c r="F47" s="110" t="str">
        <f>IF(O47="", "", IN_DATA!C31*365*OCF*FPF)</f>
        <v/>
      </c>
      <c r="G47" s="184" t="str">
        <f>IF(O47="","",IN_DATA!D31*365*FPF*OCF)</f>
        <v/>
      </c>
      <c r="H47" s="235" t="str">
        <f t="shared" si="6"/>
        <v/>
      </c>
      <c r="I47" s="238" t="str">
        <f t="shared" si="7"/>
        <v/>
      </c>
      <c r="J47" s="236" t="str">
        <f t="shared" si="8"/>
        <v/>
      </c>
      <c r="K47" s="239" t="str">
        <f t="shared" si="9"/>
        <v/>
      </c>
      <c r="L47" s="247" t="str">
        <f t="shared" si="14"/>
        <v/>
      </c>
      <c r="M47" s="244" t="str">
        <f>IF(I47=""," ",IF(IN_DATA!R31=1,"Primary Rec.",IF(IN_DATA!R31=2,"Water Flood",IF(IN_DATA!R31=3,"CO2 Flood",""))))</f>
        <v xml:space="preserve"> </v>
      </c>
      <c r="N47" s="109" t="str">
        <f>IF(I47="","",IF(O47=0, 0, OpCost!AD36))</f>
        <v/>
      </c>
      <c r="O47" s="187" t="str">
        <f>IF(OpCost!AE36="", "", OpCost!AE36)</f>
        <v/>
      </c>
      <c r="P47" s="251" t="str">
        <f>IF(F47="","",((IN_DATA!C31+IN_DATA!D31/10)/IN_DATA!P31))</f>
        <v/>
      </c>
      <c r="Q47" s="248" t="str">
        <f>IF(F47="","",SUM($P$21:P47)*365)</f>
        <v/>
      </c>
      <c r="R47" s="249" t="str">
        <f>IF(F47="", "", HLOOKUP(C47,'Reference-Crown Royalties'!$D$2:$AB$49,MATCH(P47,'Reference-Crown Royalties'!$A$2:$A$49,1),TRUE))</f>
        <v/>
      </c>
      <c r="S47" s="276" t="str">
        <f>IF(F47="", "", IF(IN_DATA!R31=3, CO2_Royalty_Factor, IF('Economics Summary'!A47&lt;2, IF('Economics Summary'!Q47&lt;60000, 0.05, ((60000*0.05+('Economics Summary'!Q47-60000)*R47)/'Economics Summary'!Q47)),R47)))</f>
        <v/>
      </c>
      <c r="T47" s="250" t="str">
        <f t="shared" si="10"/>
        <v/>
      </c>
      <c r="U47" s="250" t="str">
        <f t="shared" si="11"/>
        <v/>
      </c>
      <c r="V47" s="344" t="str">
        <f t="shared" si="2"/>
        <v/>
      </c>
      <c r="W47" s="257" t="str">
        <f>IF(F47="","",SUM($V$21:V47))</f>
        <v/>
      </c>
      <c r="X47" s="260" t="str">
        <f xml:space="preserve"> IF(OR(F47="",SUM(IN_DATA!$H$5:'IN_DATA'!H31)=0), "", 1-SUM(IN_DATA!$F$5:'IN_DATA'!F31)/SUM(IN_DATA!$H$5:'IN_DATA'!H31))</f>
        <v/>
      </c>
      <c r="Y47" s="307" t="str">
        <f>IF(OR(F47="",SUM(IN_DATA!$H$5:'IN_DATA'!H31)=0),"",365*(SUM(IN_DATA!$H$5:'IN_DATA'!H31)-SUM(IN_DATA!$F$5:'IN_DATA'!F31))/1000)</f>
        <v/>
      </c>
      <c r="Z47" s="346" t="str">
        <f t="shared" si="12"/>
        <v/>
      </c>
      <c r="AA47" s="370" t="str">
        <f t="shared" si="3"/>
        <v/>
      </c>
      <c r="AB47" s="373" t="str">
        <f>IF(F47="", "", IF(IN_DATA!R31=3, MAX(CO2_Royalty_Factor-Z47/10000,0), IF('Economics Summary'!A47&lt;2, IF('Economics Summary'!Q47&lt;60000, 0.05, ((60000*0.05+('Economics Summary'!Q47-60000)*R47)/'Economics Summary'!Q47)),R47)))</f>
        <v/>
      </c>
      <c r="AC47" s="377" t="str">
        <f t="shared" si="13"/>
        <v/>
      </c>
      <c r="AD47" s="378" t="str">
        <f t="shared" si="4"/>
        <v/>
      </c>
    </row>
    <row r="48" spans="1:30" x14ac:dyDescent="0.2">
      <c r="A48" s="178">
        <v>27</v>
      </c>
      <c r="B48" s="178">
        <f t="shared" si="5"/>
        <v>2039</v>
      </c>
      <c r="C48" s="292" t="str">
        <f>IF(IN_DATA!C32="","",MAX(min_oil_price,MIN(C47+C47*$L$6,max_oil_price)))</f>
        <v/>
      </c>
      <c r="D48" s="293" t="str">
        <f>IF(IN_DATA!C32="","",MAX(min_gas_price,MIN(D47+D47*$L$7,max_gas_price)))</f>
        <v/>
      </c>
      <c r="E48" s="294" t="str">
        <f>IF(IN_DATA!C32="","",MIN(E47+E47*$L$8,16))</f>
        <v/>
      </c>
      <c r="F48" s="110" t="str">
        <f>IF(O48="", "", IN_DATA!C32*365*OCF*FPF)</f>
        <v/>
      </c>
      <c r="G48" s="184" t="str">
        <f>IF(O48="","",IN_DATA!D32*365*FPF*OCF)</f>
        <v/>
      </c>
      <c r="H48" s="235" t="str">
        <f t="shared" si="6"/>
        <v/>
      </c>
      <c r="I48" s="238" t="str">
        <f t="shared" si="7"/>
        <v/>
      </c>
      <c r="J48" s="236" t="str">
        <f t="shared" si="8"/>
        <v/>
      </c>
      <c r="K48" s="239" t="str">
        <f t="shared" si="9"/>
        <v/>
      </c>
      <c r="L48" s="247" t="str">
        <f t="shared" si="14"/>
        <v/>
      </c>
      <c r="M48" s="244" t="str">
        <f>IF(I48=""," ",IF(IN_DATA!R32=1,"Primary Rec.",IF(IN_DATA!R32=2,"Water Flood",IF(IN_DATA!R32=3,"CO2 Flood",""))))</f>
        <v xml:space="preserve"> </v>
      </c>
      <c r="N48" s="109" t="str">
        <f>IF(I48="","",IF(O48=0, 0, OpCost!AD37))</f>
        <v/>
      </c>
      <c r="O48" s="187" t="str">
        <f>IF(OpCost!AE37="", "", OpCost!AE37)</f>
        <v/>
      </c>
      <c r="P48" s="251" t="str">
        <f>IF(F48="","",((IN_DATA!C32+IN_DATA!D32/10)/IN_DATA!P32))</f>
        <v/>
      </c>
      <c r="Q48" s="248" t="str">
        <f>IF(F48="","",SUM($P$21:P48)*365)</f>
        <v/>
      </c>
      <c r="R48" s="249" t="str">
        <f>IF(F48="", "", HLOOKUP(C48,'Reference-Crown Royalties'!$D$2:$AB$49,MATCH(P48,'Reference-Crown Royalties'!$A$2:$A$49,1),TRUE))</f>
        <v/>
      </c>
      <c r="S48" s="276" t="str">
        <f>IF(F48="", "", IF(IN_DATA!R32=3, CO2_Royalty_Factor, IF('Economics Summary'!A48&lt;2, IF('Economics Summary'!Q48&lt;60000, 0.05, ((60000*0.05+('Economics Summary'!Q48-60000)*R48)/'Economics Summary'!Q48)),R48)))</f>
        <v/>
      </c>
      <c r="T48" s="250" t="str">
        <f t="shared" si="10"/>
        <v/>
      </c>
      <c r="U48" s="250" t="str">
        <f t="shared" si="11"/>
        <v/>
      </c>
      <c r="V48" s="344" t="str">
        <f t="shared" si="2"/>
        <v/>
      </c>
      <c r="W48" s="257" t="str">
        <f>IF(F48="","",SUM($V$21:V48))</f>
        <v/>
      </c>
      <c r="X48" s="260" t="str">
        <f xml:space="preserve"> IF(OR(F48="",SUM(IN_DATA!$H$5:'IN_DATA'!H32)=0), "", 1-SUM(IN_DATA!$F$5:'IN_DATA'!F32)/SUM(IN_DATA!$H$5:'IN_DATA'!H32))</f>
        <v/>
      </c>
      <c r="Y48" s="307" t="str">
        <f>IF(OR(F48="",SUM(IN_DATA!$H$5:'IN_DATA'!H32)=0),"",365*(SUM(IN_DATA!$H$5:'IN_DATA'!H32)-SUM(IN_DATA!$F$5:'IN_DATA'!F32))/1000)</f>
        <v/>
      </c>
      <c r="Z48" s="346" t="str">
        <f t="shared" si="12"/>
        <v/>
      </c>
      <c r="AA48" s="370" t="str">
        <f t="shared" si="3"/>
        <v/>
      </c>
      <c r="AB48" s="373" t="str">
        <f>IF(F48="", "", IF(IN_DATA!R32=3, MAX(CO2_Royalty_Factor-Z48/10000,0), IF('Economics Summary'!A48&lt;2, IF('Economics Summary'!Q48&lt;60000, 0.05, ((60000*0.05+('Economics Summary'!Q48-60000)*R48)/'Economics Summary'!Q48)),R48)))</f>
        <v/>
      </c>
      <c r="AC48" s="377" t="str">
        <f t="shared" si="13"/>
        <v/>
      </c>
      <c r="AD48" s="378" t="str">
        <f t="shared" si="4"/>
        <v/>
      </c>
    </row>
    <row r="49" spans="1:30" x14ac:dyDescent="0.2">
      <c r="A49" s="178">
        <v>28</v>
      </c>
      <c r="B49" s="178">
        <f t="shared" si="5"/>
        <v>2040</v>
      </c>
      <c r="C49" s="292" t="str">
        <f>IF(IN_DATA!C33="","",MAX(min_oil_price,MIN(C48+C48*$L$6,max_oil_price)))</f>
        <v/>
      </c>
      <c r="D49" s="293" t="str">
        <f>IF(IN_DATA!C33="","",MAX(min_gas_price,MIN(D48+D48*$L$7,max_gas_price)))</f>
        <v/>
      </c>
      <c r="E49" s="294" t="str">
        <f>IF(IN_DATA!C33="","",MIN(E48+E48*$L$8,16))</f>
        <v/>
      </c>
      <c r="F49" s="110" t="str">
        <f>IF(O49="", "", IN_DATA!C33*365*OCF*FPF)</f>
        <v/>
      </c>
      <c r="G49" s="184" t="str">
        <f>IF(O49="","",IN_DATA!D33*365*FPF*OCF)</f>
        <v/>
      </c>
      <c r="H49" s="235" t="str">
        <f t="shared" si="6"/>
        <v/>
      </c>
      <c r="I49" s="238" t="str">
        <f t="shared" si="7"/>
        <v/>
      </c>
      <c r="J49" s="236" t="str">
        <f t="shared" si="8"/>
        <v/>
      </c>
      <c r="K49" s="239" t="str">
        <f t="shared" si="9"/>
        <v/>
      </c>
      <c r="L49" s="247" t="str">
        <f t="shared" si="14"/>
        <v/>
      </c>
      <c r="M49" s="244" t="str">
        <f>IF(I49=""," ",IF(IN_DATA!R33=1,"Primary Rec.",IF(IN_DATA!R33=2,"Water Flood",IF(IN_DATA!R33=3,"CO2 Flood",""))))</f>
        <v xml:space="preserve"> </v>
      </c>
      <c r="N49" s="109" t="str">
        <f>IF(I49="","",IF(O49=0, 0, OpCost!AD38))</f>
        <v/>
      </c>
      <c r="O49" s="187" t="str">
        <f>IF(OpCost!AE38="", "", OpCost!AE38)</f>
        <v/>
      </c>
      <c r="P49" s="251" t="str">
        <f>IF(F49="","",((IN_DATA!C33+IN_DATA!D33/10)/IN_DATA!P33))</f>
        <v/>
      </c>
      <c r="Q49" s="248" t="str">
        <f>IF(F49="","",SUM($P$21:P49)*365)</f>
        <v/>
      </c>
      <c r="R49" s="249" t="str">
        <f>IF(F49="", "", HLOOKUP(C49,'Reference-Crown Royalties'!$D$2:$AB$49,MATCH(P49,'Reference-Crown Royalties'!$A$2:$A$49,1),TRUE))</f>
        <v/>
      </c>
      <c r="S49" s="276" t="str">
        <f>IF(F49="", "", IF(IN_DATA!R33=3, CO2_Royalty_Factor, IF('Economics Summary'!A49&lt;2, IF('Economics Summary'!Q49&lt;60000, 0.05, ((60000*0.05+('Economics Summary'!Q49-60000)*R49)/'Economics Summary'!Q49)),R49)))</f>
        <v/>
      </c>
      <c r="T49" s="250" t="str">
        <f t="shared" si="10"/>
        <v/>
      </c>
      <c r="U49" s="250" t="str">
        <f t="shared" si="11"/>
        <v/>
      </c>
      <c r="V49" s="344" t="str">
        <f t="shared" si="2"/>
        <v/>
      </c>
      <c r="W49" s="257" t="str">
        <f>IF(F49="","",SUM($V$21:V49))</f>
        <v/>
      </c>
      <c r="X49" s="260" t="str">
        <f xml:space="preserve"> IF(OR(F49="",SUM(IN_DATA!$H$5:'IN_DATA'!H33)=0), "", 1-SUM(IN_DATA!$F$5:'IN_DATA'!F33)/SUM(IN_DATA!$H$5:'IN_DATA'!H33))</f>
        <v/>
      </c>
      <c r="Y49" s="307" t="str">
        <f>IF(OR(F49="",SUM(IN_DATA!$H$5:'IN_DATA'!H33)=0),"",365*(SUM(IN_DATA!$H$5:'IN_DATA'!H33)-SUM(IN_DATA!$F$5:'IN_DATA'!F33))/1000)</f>
        <v/>
      </c>
      <c r="Z49" s="346" t="str">
        <f t="shared" si="12"/>
        <v/>
      </c>
      <c r="AA49" s="370" t="str">
        <f t="shared" si="3"/>
        <v/>
      </c>
      <c r="AB49" s="373" t="str">
        <f>IF(F49="", "", IF(IN_DATA!R33=3, MAX(CO2_Royalty_Factor-Z49/10000,0), IF('Economics Summary'!A49&lt;2, IF('Economics Summary'!Q49&lt;60000, 0.05, ((60000*0.05+('Economics Summary'!Q49-60000)*R49)/'Economics Summary'!Q49)),R49)))</f>
        <v/>
      </c>
      <c r="AC49" s="377" t="str">
        <f t="shared" si="13"/>
        <v/>
      </c>
      <c r="AD49" s="378" t="str">
        <f t="shared" si="4"/>
        <v/>
      </c>
    </row>
    <row r="50" spans="1:30" x14ac:dyDescent="0.2">
      <c r="A50" s="178">
        <v>29</v>
      </c>
      <c r="B50" s="178">
        <f t="shared" si="5"/>
        <v>2041</v>
      </c>
      <c r="C50" s="292" t="str">
        <f>IF(IN_DATA!C34="","",MAX(min_oil_price,MIN(C49+C49*$L$6,max_oil_price)))</f>
        <v/>
      </c>
      <c r="D50" s="293" t="str">
        <f>IF(IN_DATA!C34="","",MAX(min_gas_price,MIN(D49+D49*$L$7,max_gas_price)))</f>
        <v/>
      </c>
      <c r="E50" s="294" t="str">
        <f>IF(IN_DATA!C34="","",MIN(E49+E49*$L$8,16))</f>
        <v/>
      </c>
      <c r="F50" s="110" t="str">
        <f>IF(O50="", "", IN_DATA!C34*365*OCF*FPF)</f>
        <v/>
      </c>
      <c r="G50" s="184" t="str">
        <f>IF(O50="","",IN_DATA!D34*365*FPF*OCF)</f>
        <v/>
      </c>
      <c r="H50" s="235" t="str">
        <f t="shared" si="6"/>
        <v/>
      </c>
      <c r="I50" s="238" t="str">
        <f t="shared" si="7"/>
        <v/>
      </c>
      <c r="J50" s="236" t="str">
        <f t="shared" si="8"/>
        <v/>
      </c>
      <c r="K50" s="239" t="str">
        <f t="shared" si="9"/>
        <v/>
      </c>
      <c r="L50" s="247" t="str">
        <f t="shared" si="14"/>
        <v/>
      </c>
      <c r="M50" s="244" t="str">
        <f>IF(I50=""," ",IF(IN_DATA!R34=1,"Primary Rec.",IF(IN_DATA!R34=2,"Water Flood",IF(IN_DATA!R34=3,"CO2 Flood",""))))</f>
        <v xml:space="preserve"> </v>
      </c>
      <c r="N50" s="109" t="str">
        <f>IF(I50="","",IF(O50=0, 0, OpCost!AD39))</f>
        <v/>
      </c>
      <c r="O50" s="187" t="str">
        <f>IF(OpCost!AE39="", "", OpCost!AE39)</f>
        <v/>
      </c>
      <c r="P50" s="251" t="str">
        <f>IF(F50="","",((IN_DATA!C34+IN_DATA!D34/10)/IN_DATA!P34))</f>
        <v/>
      </c>
      <c r="Q50" s="248" t="str">
        <f>IF(F50="","",SUM($P$21:P50)*365)</f>
        <v/>
      </c>
      <c r="R50" s="249" t="str">
        <f>IF(F50="", "", HLOOKUP(C50,'Reference-Crown Royalties'!$D$2:$AB$49,MATCH(P50,'Reference-Crown Royalties'!$A$2:$A$49,1),TRUE))</f>
        <v/>
      </c>
      <c r="S50" s="276" t="str">
        <f>IF(F50="", "", IF(IN_DATA!R34=3, CO2_Royalty_Factor, IF('Economics Summary'!A50&lt;2, IF('Economics Summary'!Q50&lt;60000, 0.05, ((60000*0.05+('Economics Summary'!Q50-60000)*R50)/'Economics Summary'!Q50)),R50)))</f>
        <v/>
      </c>
      <c r="T50" s="250" t="str">
        <f t="shared" si="10"/>
        <v/>
      </c>
      <c r="U50" s="250" t="str">
        <f t="shared" si="11"/>
        <v/>
      </c>
      <c r="V50" s="344" t="str">
        <f t="shared" si="2"/>
        <v/>
      </c>
      <c r="W50" s="257" t="str">
        <f>IF(F50="","",SUM($V$21:V50))</f>
        <v/>
      </c>
      <c r="X50" s="260" t="str">
        <f xml:space="preserve"> IF(OR(F50="",SUM(IN_DATA!$H$5:'IN_DATA'!H34)=0), "", 1-SUM(IN_DATA!$F$5:'IN_DATA'!F34)/SUM(IN_DATA!$H$5:'IN_DATA'!H34))</f>
        <v/>
      </c>
      <c r="Y50" s="307" t="str">
        <f>IF(OR(F50="",SUM(IN_DATA!$H$5:'IN_DATA'!H34)=0),"",365*(SUM(IN_DATA!$H$5:'IN_DATA'!H34)-SUM(IN_DATA!$F$5:'IN_DATA'!F34))/1000)</f>
        <v/>
      </c>
      <c r="Z50" s="346" t="str">
        <f t="shared" si="12"/>
        <v/>
      </c>
      <c r="AA50" s="370" t="str">
        <f t="shared" si="3"/>
        <v/>
      </c>
      <c r="AB50" s="373" t="str">
        <f>IF(F50="", "", IF(IN_DATA!R34=3, MAX(CO2_Royalty_Factor-Z50/10000,0), IF('Economics Summary'!A50&lt;2, IF('Economics Summary'!Q50&lt;60000, 0.05, ((60000*0.05+('Economics Summary'!Q50-60000)*R50)/'Economics Summary'!Q50)),R50)))</f>
        <v/>
      </c>
      <c r="AC50" s="377" t="str">
        <f t="shared" si="13"/>
        <v/>
      </c>
      <c r="AD50" s="378" t="str">
        <f t="shared" si="4"/>
        <v/>
      </c>
    </row>
    <row r="51" spans="1:30" x14ac:dyDescent="0.2">
      <c r="A51" s="178">
        <v>30</v>
      </c>
      <c r="B51" s="178">
        <f t="shared" si="5"/>
        <v>2042</v>
      </c>
      <c r="C51" s="292" t="str">
        <f>IF(IN_DATA!C35="","",MAX(min_oil_price,MIN(C50+C50*$L$6,max_oil_price)))</f>
        <v/>
      </c>
      <c r="D51" s="293" t="str">
        <f>IF(IN_DATA!C35="","",MAX(min_gas_price,MIN(D50+D50*$L$7,max_gas_price)))</f>
        <v/>
      </c>
      <c r="E51" s="294" t="str">
        <f>IF(IN_DATA!C35="","",MIN(E50+E50*$L$8,16))</f>
        <v/>
      </c>
      <c r="F51" s="110" t="str">
        <f>IF(O51="", "", IN_DATA!C35*365*OCF*FPF)</f>
        <v/>
      </c>
      <c r="G51" s="184" t="str">
        <f>IF(O51="","",IN_DATA!D35*365*FPF*OCF)</f>
        <v/>
      </c>
      <c r="H51" s="235" t="str">
        <f t="shared" si="6"/>
        <v/>
      </c>
      <c r="I51" s="238" t="str">
        <f t="shared" si="7"/>
        <v/>
      </c>
      <c r="J51" s="236" t="str">
        <f t="shared" si="8"/>
        <v/>
      </c>
      <c r="K51" s="239" t="str">
        <f t="shared" si="9"/>
        <v/>
      </c>
      <c r="L51" s="247" t="str">
        <f t="shared" si="14"/>
        <v/>
      </c>
      <c r="M51" s="244" t="str">
        <f>IF(I51=""," ",IF(IN_DATA!R35=1,"Primary Rec.",IF(IN_DATA!R35=2,"Water Flood",IF(IN_DATA!R35=3,"CO2 Flood",""))))</f>
        <v xml:space="preserve"> </v>
      </c>
      <c r="N51" s="109" t="str">
        <f>IF(I51="","",IF(O51=0, 0, OpCost!AD40))</f>
        <v/>
      </c>
      <c r="O51" s="187" t="str">
        <f>IF(OpCost!AE40="", "", OpCost!AE40)</f>
        <v/>
      </c>
      <c r="P51" s="251" t="str">
        <f>IF(F51="","",((IN_DATA!C35+IN_DATA!D35/10)/IN_DATA!P35))</f>
        <v/>
      </c>
      <c r="Q51" s="248" t="str">
        <f>IF(F51="","",SUM($P$21:P51)*365)</f>
        <v/>
      </c>
      <c r="R51" s="249" t="str">
        <f>IF(F51="", "", HLOOKUP(C51,'Reference-Crown Royalties'!$D$2:$AB$49,MATCH(P51,'Reference-Crown Royalties'!$A$2:$A$49,1),TRUE))</f>
        <v/>
      </c>
      <c r="S51" s="276" t="str">
        <f>IF(F51="", "", IF(IN_DATA!R35=3, CO2_Royalty_Factor, IF('Economics Summary'!A51&lt;2, IF('Economics Summary'!Q51&lt;60000, 0.05, ((60000*0.05+('Economics Summary'!Q51-60000)*R51)/'Economics Summary'!Q51)),R51)))</f>
        <v/>
      </c>
      <c r="T51" s="250" t="str">
        <f t="shared" si="10"/>
        <v/>
      </c>
      <c r="U51" s="250" t="str">
        <f t="shared" si="11"/>
        <v/>
      </c>
      <c r="V51" s="344" t="str">
        <f t="shared" si="2"/>
        <v/>
      </c>
      <c r="W51" s="257" t="str">
        <f>IF(F51="","",SUM($V$21:V51))</f>
        <v/>
      </c>
      <c r="X51" s="260" t="str">
        <f xml:space="preserve"> IF(OR(F51="",SUM(IN_DATA!$H$5:'IN_DATA'!H35)=0), "", 1-SUM(IN_DATA!$F$5:'IN_DATA'!F35)/SUM(IN_DATA!$H$5:'IN_DATA'!H35))</f>
        <v/>
      </c>
      <c r="Y51" s="307" t="str">
        <f>IF(OR(F51="",SUM(IN_DATA!$H$5:'IN_DATA'!H35)=0),"",365*(SUM(IN_DATA!$H$5:'IN_DATA'!H35)-SUM(IN_DATA!$F$5:'IN_DATA'!F35))/1000)</f>
        <v/>
      </c>
      <c r="Z51" s="346" t="str">
        <f t="shared" si="12"/>
        <v/>
      </c>
      <c r="AA51" s="370" t="str">
        <f t="shared" si="3"/>
        <v/>
      </c>
      <c r="AB51" s="373" t="str">
        <f>IF(F51="", "", IF(IN_DATA!R35=3, MAX(CO2_Royalty_Factor-Z51/10000,0), IF('Economics Summary'!A51&lt;2, IF('Economics Summary'!Q51&lt;60000, 0.05, ((60000*0.05+('Economics Summary'!Q51-60000)*R51)/'Economics Summary'!Q51)),R51)))</f>
        <v/>
      </c>
      <c r="AC51" s="377" t="str">
        <f t="shared" si="13"/>
        <v/>
      </c>
      <c r="AD51" s="378" t="str">
        <f t="shared" si="4"/>
        <v/>
      </c>
    </row>
    <row r="52" spans="1:30" x14ac:dyDescent="0.2">
      <c r="A52" s="178">
        <v>31</v>
      </c>
      <c r="B52" s="178">
        <f t="shared" si="5"/>
        <v>2043</v>
      </c>
      <c r="C52" s="292" t="str">
        <f>IF(IN_DATA!C36="","",MAX(min_oil_price,MIN(C51+C51*$L$6,max_oil_price)))</f>
        <v/>
      </c>
      <c r="D52" s="293" t="str">
        <f>IF(IN_DATA!C36="","",MAX(min_gas_price,MIN(D51+D51*$L$7,max_gas_price)))</f>
        <v/>
      </c>
      <c r="E52" s="294" t="str">
        <f>IF(IN_DATA!C36="","",MIN(E51+E51*$L$8,16))</f>
        <v/>
      </c>
      <c r="F52" s="110" t="str">
        <f>IF(O52="", "", IN_DATA!C36*365*OCF*FPF)</f>
        <v/>
      </c>
      <c r="G52" s="184" t="str">
        <f>IF(O52="","",IN_DATA!D36*365*FPF*OCF)</f>
        <v/>
      </c>
      <c r="H52" s="235" t="str">
        <f t="shared" si="6"/>
        <v/>
      </c>
      <c r="I52" s="238" t="str">
        <f t="shared" si="7"/>
        <v/>
      </c>
      <c r="J52" s="236" t="str">
        <f t="shared" si="8"/>
        <v/>
      </c>
      <c r="K52" s="239" t="str">
        <f t="shared" si="9"/>
        <v/>
      </c>
      <c r="L52" s="247" t="str">
        <f t="shared" si="14"/>
        <v/>
      </c>
      <c r="M52" s="244" t="str">
        <f>IF(I52=""," ",IF(IN_DATA!R36=1,"Primary Rec.",IF(IN_DATA!R36=2,"Water Flood",IF(IN_DATA!R36=3,"CO2 Flood",""))))</f>
        <v xml:space="preserve"> </v>
      </c>
      <c r="N52" s="109" t="str">
        <f>IF(I52="","",IF(O52=0, 0, OpCost!AD41))</f>
        <v/>
      </c>
      <c r="O52" s="187" t="str">
        <f>IF(OpCost!AE41="", "", OpCost!AE41)</f>
        <v/>
      </c>
      <c r="P52" s="251" t="str">
        <f>IF(F52="","",((IN_DATA!C36+IN_DATA!D36/10)/IN_DATA!P36))</f>
        <v/>
      </c>
      <c r="Q52" s="248" t="str">
        <f>IF(F52="","",SUM($P$21:P52)*365)</f>
        <v/>
      </c>
      <c r="R52" s="249" t="str">
        <f>IF(F52="", "", HLOOKUP(C52,'Reference-Crown Royalties'!$D$2:$AB$49,MATCH(P52,'Reference-Crown Royalties'!$A$2:$A$49,1),TRUE))</f>
        <v/>
      </c>
      <c r="S52" s="276" t="str">
        <f>IF(F52="", "", IF(IN_DATA!R36=3, CO2_Royalty_Factor, IF('Economics Summary'!A52&lt;2, IF('Economics Summary'!Q52&lt;60000, 0.05, ((60000*0.05+('Economics Summary'!Q52-60000)*R52)/'Economics Summary'!Q52)),R52)))</f>
        <v/>
      </c>
      <c r="T52" s="250" t="str">
        <f t="shared" si="10"/>
        <v/>
      </c>
      <c r="U52" s="250" t="str">
        <f t="shared" si="11"/>
        <v/>
      </c>
      <c r="V52" s="344" t="str">
        <f t="shared" si="2"/>
        <v/>
      </c>
      <c r="W52" s="257" t="str">
        <f>IF(F52="","",SUM($V$21:V52))</f>
        <v/>
      </c>
      <c r="X52" s="260" t="str">
        <f xml:space="preserve"> IF(OR(F52="",SUM(IN_DATA!$H$5:'IN_DATA'!H36)=0), "", 1-SUM(IN_DATA!$F$5:'IN_DATA'!F36)/SUM(IN_DATA!$H$5:'IN_DATA'!H36))</f>
        <v/>
      </c>
      <c r="Y52" s="307" t="str">
        <f>IF(OR(F52="",SUM(IN_DATA!$H$5:'IN_DATA'!H36)=0),"",365*(SUM(IN_DATA!$H$5:'IN_DATA'!H36)-SUM(IN_DATA!$F$5:'IN_DATA'!F36))/1000)</f>
        <v/>
      </c>
      <c r="Z52" s="346" t="str">
        <f t="shared" si="12"/>
        <v/>
      </c>
      <c r="AA52" s="370" t="str">
        <f t="shared" si="3"/>
        <v/>
      </c>
      <c r="AB52" s="373" t="str">
        <f>IF(F52="", "", IF(IN_DATA!R36=3, MAX(CO2_Royalty_Factor-Z52/10000,0), IF('Economics Summary'!A52&lt;2, IF('Economics Summary'!Q52&lt;60000, 0.05, ((60000*0.05+('Economics Summary'!Q52-60000)*R52)/'Economics Summary'!Q52)),R52)))</f>
        <v/>
      </c>
      <c r="AC52" s="377" t="str">
        <f t="shared" si="13"/>
        <v/>
      </c>
      <c r="AD52" s="378" t="str">
        <f t="shared" si="4"/>
        <v/>
      </c>
    </row>
    <row r="53" spans="1:30" x14ac:dyDescent="0.2">
      <c r="A53" s="178">
        <v>32</v>
      </c>
      <c r="B53" s="178">
        <f t="shared" si="5"/>
        <v>2044</v>
      </c>
      <c r="C53" s="292" t="str">
        <f>IF(IN_DATA!C37="","",MAX(min_oil_price,MIN(C52+C52*$L$6,max_oil_price)))</f>
        <v/>
      </c>
      <c r="D53" s="293" t="str">
        <f>IF(IN_DATA!C37="","",MAX(min_gas_price,MIN(D52+D52*$L$7,max_gas_price)))</f>
        <v/>
      </c>
      <c r="E53" s="294" t="str">
        <f>IF(IN_DATA!C37="","",MIN(E52+E52*$L$8,16))</f>
        <v/>
      </c>
      <c r="F53" s="110" t="str">
        <f>IF(O53="", "", IN_DATA!C37*365*OCF*FPF)</f>
        <v/>
      </c>
      <c r="G53" s="184" t="str">
        <f>IF(O53="","",IN_DATA!D37*365*FPF*OCF)</f>
        <v/>
      </c>
      <c r="H53" s="235" t="str">
        <f t="shared" si="6"/>
        <v/>
      </c>
      <c r="I53" s="238" t="str">
        <f t="shared" si="7"/>
        <v/>
      </c>
      <c r="J53" s="236" t="str">
        <f t="shared" si="8"/>
        <v/>
      </c>
      <c r="K53" s="239" t="str">
        <f t="shared" si="9"/>
        <v/>
      </c>
      <c r="L53" s="247" t="str">
        <f t="shared" si="14"/>
        <v/>
      </c>
      <c r="M53" s="244" t="str">
        <f>IF(I53=""," ",IF(IN_DATA!R37=1,"Primary Rec.",IF(IN_DATA!R37=2,"Water Flood",IF(IN_DATA!R37=3,"CO2 Flood",""))))</f>
        <v xml:space="preserve"> </v>
      </c>
      <c r="N53" s="109" t="str">
        <f>IF(I53="","",IF(O53=0, 0, OpCost!AD42))</f>
        <v/>
      </c>
      <c r="O53" s="187" t="str">
        <f>IF(OpCost!AE42="", "", OpCost!AE42)</f>
        <v/>
      </c>
      <c r="P53" s="251" t="str">
        <f>IF(F53="","",((IN_DATA!C37+IN_DATA!D37/10)/IN_DATA!P37))</f>
        <v/>
      </c>
      <c r="Q53" s="248" t="str">
        <f>IF(F53="","",SUM($P$21:P53)*365)</f>
        <v/>
      </c>
      <c r="R53" s="249" t="str">
        <f>IF(F53="", "", HLOOKUP(C53,'Reference-Crown Royalties'!$D$2:$AB$49,MATCH(P53,'Reference-Crown Royalties'!$A$2:$A$49,1),TRUE))</f>
        <v/>
      </c>
      <c r="S53" s="276" t="str">
        <f>IF(F53="", "", IF(IN_DATA!R37=3, CO2_Royalty_Factor, IF('Economics Summary'!A53&lt;2, IF('Economics Summary'!Q53&lt;60000, 0.05, ((60000*0.05+('Economics Summary'!Q53-60000)*R53)/'Economics Summary'!Q53)),R53)))</f>
        <v/>
      </c>
      <c r="T53" s="250" t="str">
        <f t="shared" si="10"/>
        <v/>
      </c>
      <c r="U53" s="250" t="str">
        <f t="shared" si="11"/>
        <v/>
      </c>
      <c r="V53" s="344" t="str">
        <f t="shared" ref="V53:V84" si="15">IF(F53="","",IF(T53-L53&lt;0,T53-L53,(T53-L53)*(1-Tax_Rate)))</f>
        <v/>
      </c>
      <c r="W53" s="257" t="str">
        <f>IF(F53="","",SUM($V$21:V53))</f>
        <v/>
      </c>
      <c r="X53" s="260" t="str">
        <f xml:space="preserve"> IF(OR(F53="",SUM(IN_DATA!$H$5:'IN_DATA'!H37)=0), "", 1-SUM(IN_DATA!$F$5:'IN_DATA'!F37)/SUM(IN_DATA!$H$5:'IN_DATA'!H37))</f>
        <v/>
      </c>
      <c r="Y53" s="307" t="str">
        <f>IF(OR(F53="",SUM(IN_DATA!$H$5:'IN_DATA'!H37)=0),"",365*(SUM(IN_DATA!$H$5:'IN_DATA'!H37)-SUM(IN_DATA!$F$5:'IN_DATA'!F37))/1000)</f>
        <v/>
      </c>
      <c r="Z53" s="346" t="str">
        <f t="shared" si="12"/>
        <v/>
      </c>
      <c r="AA53" s="370" t="str">
        <f t="shared" ref="AA53:AA84" si="16">IF(F53="","",IF(T53-L53+(Z53*CO2_Incentive)&lt;0,T53-L53+(Z53*CO2_Incentive),(T53-L53+(Z53*CO2_Incentive))*(1-Tax_Rate)))</f>
        <v/>
      </c>
      <c r="AB53" s="373" t="str">
        <f>IF(F53="", "", IF(IN_DATA!R37=3, MAX(CO2_Royalty_Factor-Z53/10000,0), IF('Economics Summary'!A53&lt;2, IF('Economics Summary'!Q53&lt;60000, 0.05, ((60000*0.05+('Economics Summary'!Q53-60000)*R53)/'Economics Summary'!Q53)),R53)))</f>
        <v/>
      </c>
      <c r="AC53" s="377" t="str">
        <f t="shared" si="13"/>
        <v/>
      </c>
      <c r="AD53" s="378" t="str">
        <f t="shared" ref="AD53:AD84" si="17">IF(F53="","",IF(AC53-L53&lt;0,AC53-L53,(AC53-L53)*(1-Tax_Rate)))</f>
        <v/>
      </c>
    </row>
    <row r="54" spans="1:30" x14ac:dyDescent="0.2">
      <c r="A54" s="178">
        <v>33</v>
      </c>
      <c r="B54" s="178">
        <f t="shared" si="5"/>
        <v>2045</v>
      </c>
      <c r="C54" s="292" t="str">
        <f>IF(IN_DATA!C38="","",MAX(min_oil_price,MIN(C53+C53*$L$6,max_oil_price)))</f>
        <v/>
      </c>
      <c r="D54" s="293" t="str">
        <f>IF(IN_DATA!C38="","",MAX(min_gas_price,MIN(D53+D53*$L$7,max_gas_price)))</f>
        <v/>
      </c>
      <c r="E54" s="294" t="str">
        <f>IF(IN_DATA!C38="","",MIN(E53+E53*$L$8,16))</f>
        <v/>
      </c>
      <c r="F54" s="110" t="str">
        <f>IF(O54="", "", IN_DATA!C38*365*OCF*FPF)</f>
        <v/>
      </c>
      <c r="G54" s="184" t="str">
        <f>IF(O54="","",IN_DATA!D38*365*FPF*OCF)</f>
        <v/>
      </c>
      <c r="H54" s="235" t="str">
        <f t="shared" si="6"/>
        <v/>
      </c>
      <c r="I54" s="238" t="str">
        <f t="shared" si="7"/>
        <v/>
      </c>
      <c r="J54" s="236" t="str">
        <f t="shared" si="8"/>
        <v/>
      </c>
      <c r="K54" s="239" t="str">
        <f t="shared" si="9"/>
        <v/>
      </c>
      <c r="L54" s="247" t="str">
        <f t="shared" si="14"/>
        <v/>
      </c>
      <c r="M54" s="244" t="str">
        <f>IF(I54=""," ",IF(IN_DATA!R38=1,"Primary Rec.",IF(IN_DATA!R38=2,"Water Flood",IF(IN_DATA!R38=3,"CO2 Flood",""))))</f>
        <v xml:space="preserve"> </v>
      </c>
      <c r="N54" s="109" t="str">
        <f>IF(I54="","",IF(O54=0, 0, OpCost!AD43))</f>
        <v/>
      </c>
      <c r="O54" s="187" t="str">
        <f>IF(OpCost!AE43="", "", OpCost!AE43)</f>
        <v/>
      </c>
      <c r="P54" s="251" t="str">
        <f>IF(F54="","",((IN_DATA!C38+IN_DATA!D38/10)/IN_DATA!P38))</f>
        <v/>
      </c>
      <c r="Q54" s="248" t="str">
        <f>IF(F54="","",SUM($P$21:P54)*365)</f>
        <v/>
      </c>
      <c r="R54" s="249" t="str">
        <f>IF(F54="", "", HLOOKUP(C54,'Reference-Crown Royalties'!$D$2:$AB$49,MATCH(P54,'Reference-Crown Royalties'!$A$2:$A$49,1),TRUE))</f>
        <v/>
      </c>
      <c r="S54" s="276" t="str">
        <f>IF(F54="", "", IF(IN_DATA!R38=3, CO2_Royalty_Factor, IF('Economics Summary'!A54&lt;2, IF('Economics Summary'!Q54&lt;60000, 0.05, ((60000*0.05+('Economics Summary'!Q54-60000)*R54)/'Economics Summary'!Q54)),R54)))</f>
        <v/>
      </c>
      <c r="T54" s="250" t="str">
        <f t="shared" si="10"/>
        <v/>
      </c>
      <c r="U54" s="250" t="str">
        <f t="shared" si="11"/>
        <v/>
      </c>
      <c r="V54" s="344" t="str">
        <f t="shared" si="15"/>
        <v/>
      </c>
      <c r="W54" s="257" t="str">
        <f>IF(F54="","",SUM($V$21:V54))</f>
        <v/>
      </c>
      <c r="X54" s="260" t="str">
        <f xml:space="preserve"> IF(OR(F54="",SUM(IN_DATA!$H$5:'IN_DATA'!H38)=0), "", 1-SUM(IN_DATA!$F$5:'IN_DATA'!F38)/SUM(IN_DATA!$H$5:'IN_DATA'!H38))</f>
        <v/>
      </c>
      <c r="Y54" s="307" t="str">
        <f>IF(OR(F54="",SUM(IN_DATA!$H$5:'IN_DATA'!H38)=0),"",365*(SUM(IN_DATA!$H$5:'IN_DATA'!H38)-SUM(IN_DATA!$F$5:'IN_DATA'!F38))/1000)</f>
        <v/>
      </c>
      <c r="Z54" s="346" t="str">
        <f t="shared" si="12"/>
        <v/>
      </c>
      <c r="AA54" s="370" t="str">
        <f t="shared" si="16"/>
        <v/>
      </c>
      <c r="AB54" s="373" t="str">
        <f>IF(F54="", "", IF(IN_DATA!R38=3, MAX(CO2_Royalty_Factor-Z54/10000,0), IF('Economics Summary'!A54&lt;2, IF('Economics Summary'!Q54&lt;60000, 0.05, ((60000*0.05+('Economics Summary'!Q54-60000)*R54)/'Economics Summary'!Q54)),R54)))</f>
        <v/>
      </c>
      <c r="AC54" s="377" t="str">
        <f t="shared" si="13"/>
        <v/>
      </c>
      <c r="AD54" s="378" t="str">
        <f t="shared" si="17"/>
        <v/>
      </c>
    </row>
    <row r="55" spans="1:30" x14ac:dyDescent="0.2">
      <c r="A55" s="178">
        <v>34</v>
      </c>
      <c r="B55" s="178">
        <f t="shared" si="5"/>
        <v>2046</v>
      </c>
      <c r="C55" s="292" t="str">
        <f>IF(IN_DATA!C39="","",MAX(min_oil_price,MIN(C54+C54*$L$6,max_oil_price)))</f>
        <v/>
      </c>
      <c r="D55" s="293" t="str">
        <f>IF(IN_DATA!C39="","",MAX(min_gas_price,MIN(D54+D54*$L$7,max_gas_price)))</f>
        <v/>
      </c>
      <c r="E55" s="294" t="str">
        <f>IF(IN_DATA!C39="","",MIN(E54+E54*$L$8,16))</f>
        <v/>
      </c>
      <c r="F55" s="110" t="str">
        <f>IF(O55="", "", IN_DATA!C39*365*OCF*FPF)</f>
        <v/>
      </c>
      <c r="G55" s="184" t="str">
        <f>IF(O55="","",IN_DATA!D39*365*FPF*OCF)</f>
        <v/>
      </c>
      <c r="H55" s="235" t="str">
        <f t="shared" si="6"/>
        <v/>
      </c>
      <c r="I55" s="238" t="str">
        <f t="shared" si="7"/>
        <v/>
      </c>
      <c r="J55" s="236" t="str">
        <f t="shared" si="8"/>
        <v/>
      </c>
      <c r="K55" s="239" t="str">
        <f t="shared" si="9"/>
        <v/>
      </c>
      <c r="L55" s="247" t="str">
        <f t="shared" si="14"/>
        <v/>
      </c>
      <c r="M55" s="244" t="str">
        <f>IF(I55=""," ",IF(IN_DATA!R39=1,"Primary Rec.",IF(IN_DATA!R39=2,"Water Flood",IF(IN_DATA!R39=3,"CO2 Flood",""))))</f>
        <v xml:space="preserve"> </v>
      </c>
      <c r="N55" s="109" t="str">
        <f>IF(I55="","",IF(O55=0, 0, OpCost!AD44))</f>
        <v/>
      </c>
      <c r="O55" s="187" t="str">
        <f>IF(OpCost!AE44="", "", OpCost!AE44)</f>
        <v/>
      </c>
      <c r="P55" s="251" t="str">
        <f>IF(F55="","",((IN_DATA!C39+IN_DATA!D39/10)/IN_DATA!P39))</f>
        <v/>
      </c>
      <c r="Q55" s="248" t="str">
        <f>IF(F55="","",SUM($P$21:P55)*365)</f>
        <v/>
      </c>
      <c r="R55" s="249" t="str">
        <f>IF(F55="", "", HLOOKUP(C55,'Reference-Crown Royalties'!$D$2:$AB$49,MATCH(P55,'Reference-Crown Royalties'!$A$2:$A$49,1),TRUE))</f>
        <v/>
      </c>
      <c r="S55" s="276" t="str">
        <f>IF(F55="", "", IF(IN_DATA!R39=3, CO2_Royalty_Factor, IF('Economics Summary'!A55&lt;2, IF('Economics Summary'!Q55&lt;60000, 0.05, ((60000*0.05+('Economics Summary'!Q55-60000)*R55)/'Economics Summary'!Q55)),R55)))</f>
        <v/>
      </c>
      <c r="T55" s="250" t="str">
        <f t="shared" si="10"/>
        <v/>
      </c>
      <c r="U55" s="250" t="str">
        <f t="shared" si="11"/>
        <v/>
      </c>
      <c r="V55" s="344" t="str">
        <f t="shared" si="15"/>
        <v/>
      </c>
      <c r="W55" s="257" t="str">
        <f>IF(F55="","",SUM($V$21:V55))</f>
        <v/>
      </c>
      <c r="X55" s="260" t="str">
        <f xml:space="preserve"> IF(OR(F55="",SUM(IN_DATA!$H$5:'IN_DATA'!H39)=0), "", 1-SUM(IN_DATA!$F$5:'IN_DATA'!F39)/SUM(IN_DATA!$H$5:'IN_DATA'!H39))</f>
        <v/>
      </c>
      <c r="Y55" s="307" t="str">
        <f>IF(OR(F55="",SUM(IN_DATA!$H$5:'IN_DATA'!H39)=0),"",365*(SUM(IN_DATA!$H$5:'IN_DATA'!H39)-SUM(IN_DATA!$F$5:'IN_DATA'!F39))/1000)</f>
        <v/>
      </c>
      <c r="Z55" s="346" t="str">
        <f t="shared" si="12"/>
        <v/>
      </c>
      <c r="AA55" s="370" t="str">
        <f t="shared" si="16"/>
        <v/>
      </c>
      <c r="AB55" s="373" t="str">
        <f>IF(F55="", "", IF(IN_DATA!R39=3, MAX(CO2_Royalty_Factor-Z55/10000,0), IF('Economics Summary'!A55&lt;2, IF('Economics Summary'!Q55&lt;60000, 0.05, ((60000*0.05+('Economics Summary'!Q55-60000)*R55)/'Economics Summary'!Q55)),R55)))</f>
        <v/>
      </c>
      <c r="AC55" s="377" t="str">
        <f t="shared" si="13"/>
        <v/>
      </c>
      <c r="AD55" s="378" t="str">
        <f t="shared" si="17"/>
        <v/>
      </c>
    </row>
    <row r="56" spans="1:30" x14ac:dyDescent="0.2">
      <c r="A56" s="178">
        <v>35</v>
      </c>
      <c r="B56" s="178">
        <f t="shared" si="5"/>
        <v>2047</v>
      </c>
      <c r="C56" s="292" t="str">
        <f>IF(IN_DATA!C40="","",MAX(min_oil_price,MIN(C55+C55*$L$6,max_oil_price)))</f>
        <v/>
      </c>
      <c r="D56" s="293" t="str">
        <f>IF(IN_DATA!C40="","",MAX(min_gas_price,MIN(D55+D55*$L$7,max_gas_price)))</f>
        <v/>
      </c>
      <c r="E56" s="294" t="str">
        <f>IF(IN_DATA!C40="","",MIN(E55+E55*$L$8,16))</f>
        <v/>
      </c>
      <c r="F56" s="110" t="str">
        <f>IF(O56="", "", IN_DATA!C40*365*OCF*FPF)</f>
        <v/>
      </c>
      <c r="G56" s="184" t="str">
        <f>IF(O56="","",IN_DATA!D40*365*FPF*OCF)</f>
        <v/>
      </c>
      <c r="H56" s="235" t="str">
        <f t="shared" si="6"/>
        <v/>
      </c>
      <c r="I56" s="238" t="str">
        <f t="shared" si="7"/>
        <v/>
      </c>
      <c r="J56" s="236" t="str">
        <f t="shared" si="8"/>
        <v/>
      </c>
      <c r="K56" s="239" t="str">
        <f t="shared" si="9"/>
        <v/>
      </c>
      <c r="L56" s="247" t="str">
        <f t="shared" si="14"/>
        <v/>
      </c>
      <c r="M56" s="244" t="str">
        <f>IF(I56=""," ",IF(IN_DATA!R40=1,"Primary Rec.",IF(IN_DATA!R40=2,"Water Flood",IF(IN_DATA!R40=3,"CO2 Flood",""))))</f>
        <v xml:space="preserve"> </v>
      </c>
      <c r="N56" s="109" t="str">
        <f>IF(I56="","",IF(O56=0, 0, OpCost!AD45))</f>
        <v/>
      </c>
      <c r="O56" s="187" t="str">
        <f>IF(OpCost!AE45="", "", OpCost!AE45)</f>
        <v/>
      </c>
      <c r="P56" s="251" t="str">
        <f>IF(F56="","",((IN_DATA!C40+IN_DATA!D40/10)/IN_DATA!P40))</f>
        <v/>
      </c>
      <c r="Q56" s="248" t="str">
        <f>IF(F56="","",SUM($P$21:P56)*365)</f>
        <v/>
      </c>
      <c r="R56" s="249" t="str">
        <f>IF(F56="", "", HLOOKUP(C56,'Reference-Crown Royalties'!$D$2:$AB$49,MATCH(P56,'Reference-Crown Royalties'!$A$2:$A$49,1),TRUE))</f>
        <v/>
      </c>
      <c r="S56" s="276" t="str">
        <f>IF(F56="", "", IF(IN_DATA!R40=3, CO2_Royalty_Factor, IF('Economics Summary'!A56&lt;2, IF('Economics Summary'!Q56&lt;60000, 0.05, ((60000*0.05+('Economics Summary'!Q56-60000)*R56)/'Economics Summary'!Q56)),R56)))</f>
        <v/>
      </c>
      <c r="T56" s="250" t="str">
        <f t="shared" si="10"/>
        <v/>
      </c>
      <c r="U56" s="250" t="str">
        <f t="shared" si="11"/>
        <v/>
      </c>
      <c r="V56" s="344" t="str">
        <f t="shared" si="15"/>
        <v/>
      </c>
      <c r="W56" s="257" t="str">
        <f>IF(F56="","",SUM($V$21:V56))</f>
        <v/>
      </c>
      <c r="X56" s="260" t="str">
        <f xml:space="preserve"> IF(OR(F56="",SUM(IN_DATA!$H$5:'IN_DATA'!H40)=0), "", 1-SUM(IN_DATA!$F$5:'IN_DATA'!F40)/SUM(IN_DATA!$H$5:'IN_DATA'!H40))</f>
        <v/>
      </c>
      <c r="Y56" s="307" t="str">
        <f>IF(OR(F56="",SUM(IN_DATA!$H$5:'IN_DATA'!H40)=0),"",365*(SUM(IN_DATA!$H$5:'IN_DATA'!H40)-SUM(IN_DATA!$F$5:'IN_DATA'!F40))/1000)</f>
        <v/>
      </c>
      <c r="Z56" s="346" t="str">
        <f t="shared" si="12"/>
        <v/>
      </c>
      <c r="AA56" s="370" t="str">
        <f t="shared" si="16"/>
        <v/>
      </c>
      <c r="AB56" s="373" t="str">
        <f>IF(F56="", "", IF(IN_DATA!R40=3, MAX(CO2_Royalty_Factor-Z56/10000,0), IF('Economics Summary'!A56&lt;2, IF('Economics Summary'!Q56&lt;60000, 0.05, ((60000*0.05+('Economics Summary'!Q56-60000)*R56)/'Economics Summary'!Q56)),R56)))</f>
        <v/>
      </c>
      <c r="AC56" s="377" t="str">
        <f t="shared" si="13"/>
        <v/>
      </c>
      <c r="AD56" s="378" t="str">
        <f t="shared" si="17"/>
        <v/>
      </c>
    </row>
    <row r="57" spans="1:30" x14ac:dyDescent="0.2">
      <c r="A57" s="178">
        <v>36</v>
      </c>
      <c r="B57" s="178">
        <f t="shared" si="5"/>
        <v>2048</v>
      </c>
      <c r="C57" s="292" t="str">
        <f>IF(IN_DATA!C41="","",MAX(min_oil_price,MIN(C56+C56*$L$6,max_oil_price)))</f>
        <v/>
      </c>
      <c r="D57" s="293" t="str">
        <f>IF(IN_DATA!C41="","",MAX(min_gas_price,MIN(D56+D56*$L$7,max_gas_price)))</f>
        <v/>
      </c>
      <c r="E57" s="294" t="str">
        <f>IF(IN_DATA!C41="","",MIN(E56+E56*$L$8,16))</f>
        <v/>
      </c>
      <c r="F57" s="110" t="str">
        <f>IF(O57="", "", IN_DATA!C41*365*OCF*FPF)</f>
        <v/>
      </c>
      <c r="G57" s="184" t="str">
        <f>IF(O57="","",IN_DATA!D41*365*FPF*OCF)</f>
        <v/>
      </c>
      <c r="H57" s="235" t="str">
        <f t="shared" si="6"/>
        <v/>
      </c>
      <c r="I57" s="238" t="str">
        <f t="shared" si="7"/>
        <v/>
      </c>
      <c r="J57" s="236" t="str">
        <f t="shared" si="8"/>
        <v/>
      </c>
      <c r="K57" s="239" t="str">
        <f t="shared" si="9"/>
        <v/>
      </c>
      <c r="L57" s="247" t="str">
        <f t="shared" si="14"/>
        <v/>
      </c>
      <c r="M57" s="244" t="str">
        <f>IF(I57=""," ",IF(IN_DATA!R41=1,"Primary Rec.",IF(IN_DATA!R41=2,"Water Flood",IF(IN_DATA!R41=3,"CO2 Flood",""))))</f>
        <v xml:space="preserve"> </v>
      </c>
      <c r="N57" s="109" t="str">
        <f>IF(I57="","",IF(O57=0, 0, OpCost!AD46))</f>
        <v/>
      </c>
      <c r="O57" s="187" t="str">
        <f>IF(OpCost!AE46="", "", OpCost!AE46)</f>
        <v/>
      </c>
      <c r="P57" s="251" t="str">
        <f>IF(F57="","",((IN_DATA!C41+IN_DATA!D41/10)/IN_DATA!P41))</f>
        <v/>
      </c>
      <c r="Q57" s="248" t="str">
        <f>IF(F57="","",SUM($P$21:P57)*365)</f>
        <v/>
      </c>
      <c r="R57" s="249" t="str">
        <f>IF(F57="", "", HLOOKUP(C57,'Reference-Crown Royalties'!$D$2:$AB$49,MATCH(P57,'Reference-Crown Royalties'!$A$2:$A$49,1),TRUE))</f>
        <v/>
      </c>
      <c r="S57" s="276" t="str">
        <f>IF(F57="", "", IF(IN_DATA!R41=3, CO2_Royalty_Factor, IF('Economics Summary'!A57&lt;2, IF('Economics Summary'!Q57&lt;60000, 0.05, ((60000*0.05+('Economics Summary'!Q57-60000)*R57)/'Economics Summary'!Q57)),R57)))</f>
        <v/>
      </c>
      <c r="T57" s="250" t="str">
        <f t="shared" si="10"/>
        <v/>
      </c>
      <c r="U57" s="250" t="str">
        <f t="shared" si="11"/>
        <v/>
      </c>
      <c r="V57" s="344" t="str">
        <f t="shared" si="15"/>
        <v/>
      </c>
      <c r="W57" s="257" t="str">
        <f>IF(F57="","",SUM($V$21:V57))</f>
        <v/>
      </c>
      <c r="X57" s="260" t="str">
        <f xml:space="preserve"> IF(OR(F57="",SUM(IN_DATA!$H$5:'IN_DATA'!H41)=0), "", 1-SUM(IN_DATA!$F$5:'IN_DATA'!F41)/SUM(IN_DATA!$H$5:'IN_DATA'!H41))</f>
        <v/>
      </c>
      <c r="Y57" s="307" t="str">
        <f>IF(OR(F57="",SUM(IN_DATA!$H$5:'IN_DATA'!H41)=0),"",365*(SUM(IN_DATA!$H$5:'IN_DATA'!H41)-SUM(IN_DATA!$F$5:'IN_DATA'!F41))/1000)</f>
        <v/>
      </c>
      <c r="Z57" s="346" t="str">
        <f t="shared" si="12"/>
        <v/>
      </c>
      <c r="AA57" s="370" t="str">
        <f t="shared" si="16"/>
        <v/>
      </c>
      <c r="AB57" s="373" t="str">
        <f>IF(F57="", "", IF(IN_DATA!R41=3, MAX(CO2_Royalty_Factor-Z57/10000,0), IF('Economics Summary'!A57&lt;2, IF('Economics Summary'!Q57&lt;60000, 0.05, ((60000*0.05+('Economics Summary'!Q57-60000)*R57)/'Economics Summary'!Q57)),R57)))</f>
        <v/>
      </c>
      <c r="AC57" s="377" t="str">
        <f t="shared" si="13"/>
        <v/>
      </c>
      <c r="AD57" s="378" t="str">
        <f t="shared" si="17"/>
        <v/>
      </c>
    </row>
    <row r="58" spans="1:30" x14ac:dyDescent="0.2">
      <c r="A58" s="178">
        <v>37</v>
      </c>
      <c r="B58" s="178">
        <f t="shared" si="5"/>
        <v>2049</v>
      </c>
      <c r="C58" s="292" t="str">
        <f>IF(IN_DATA!C42="","",MAX(min_oil_price,MIN(C57+C57*$L$6,max_oil_price)))</f>
        <v/>
      </c>
      <c r="D58" s="293" t="str">
        <f>IF(IN_DATA!C42="","",MAX(min_gas_price,MIN(D57+D57*$L$7,max_gas_price)))</f>
        <v/>
      </c>
      <c r="E58" s="294" t="str">
        <f>IF(IN_DATA!C42="","",MIN(E57+E57*$L$8,16))</f>
        <v/>
      </c>
      <c r="F58" s="110" t="str">
        <f>IF(O58="", "", IN_DATA!C42*365*OCF*FPF)</f>
        <v/>
      </c>
      <c r="G58" s="184" t="str">
        <f>IF(O58="","",IN_DATA!D42*365*FPF*OCF)</f>
        <v/>
      </c>
      <c r="H58" s="235" t="str">
        <f t="shared" si="6"/>
        <v/>
      </c>
      <c r="I58" s="238" t="str">
        <f t="shared" si="7"/>
        <v/>
      </c>
      <c r="J58" s="236" t="str">
        <f t="shared" si="8"/>
        <v/>
      </c>
      <c r="K58" s="239" t="str">
        <f t="shared" si="9"/>
        <v/>
      </c>
      <c r="L58" s="247" t="str">
        <f t="shared" si="14"/>
        <v/>
      </c>
      <c r="M58" s="244" t="str">
        <f>IF(I58=""," ",IF(IN_DATA!R42=1,"Primary Rec.",IF(IN_DATA!R42=2,"Water Flood",IF(IN_DATA!R42=3,"CO2 Flood",""))))</f>
        <v xml:space="preserve"> </v>
      </c>
      <c r="N58" s="109" t="str">
        <f>IF(I58="","",IF(O58=0, 0, OpCost!AD47))</f>
        <v/>
      </c>
      <c r="O58" s="187" t="str">
        <f>IF(OpCost!AE47="", "", OpCost!AE47)</f>
        <v/>
      </c>
      <c r="P58" s="251" t="str">
        <f>IF(F58="","",((IN_DATA!C42+IN_DATA!D42/10)/IN_DATA!P42))</f>
        <v/>
      </c>
      <c r="Q58" s="248" t="str">
        <f>IF(F58="","",SUM($P$21:P58)*365)</f>
        <v/>
      </c>
      <c r="R58" s="249" t="str">
        <f>IF(F58="", "", HLOOKUP(C58,'Reference-Crown Royalties'!$D$2:$AB$49,MATCH(P58,'Reference-Crown Royalties'!$A$2:$A$49,1),TRUE))</f>
        <v/>
      </c>
      <c r="S58" s="276" t="str">
        <f>IF(F58="", "", IF(IN_DATA!R42=3, CO2_Royalty_Factor, IF('Economics Summary'!A58&lt;2, IF('Economics Summary'!Q58&lt;60000, 0.05, ((60000*0.05+('Economics Summary'!Q58-60000)*R58)/'Economics Summary'!Q58)),R58)))</f>
        <v/>
      </c>
      <c r="T58" s="250" t="str">
        <f t="shared" si="10"/>
        <v/>
      </c>
      <c r="U58" s="250" t="str">
        <f t="shared" si="11"/>
        <v/>
      </c>
      <c r="V58" s="344" t="str">
        <f t="shared" si="15"/>
        <v/>
      </c>
      <c r="W58" s="257" t="str">
        <f>IF(F58="","",SUM($V$21:V58))</f>
        <v/>
      </c>
      <c r="X58" s="260" t="str">
        <f xml:space="preserve"> IF(OR(F58="",SUM(IN_DATA!$H$5:'IN_DATA'!H42)=0), "", 1-SUM(IN_DATA!$F$5:'IN_DATA'!F42)/SUM(IN_DATA!$H$5:'IN_DATA'!H42))</f>
        <v/>
      </c>
      <c r="Y58" s="307" t="str">
        <f>IF(OR(F58="",SUM(IN_DATA!$H$5:'IN_DATA'!H42)=0),"",365*(SUM(IN_DATA!$H$5:'IN_DATA'!H42)-SUM(IN_DATA!$F$5:'IN_DATA'!F42))/1000)</f>
        <v/>
      </c>
      <c r="Z58" s="346" t="str">
        <f t="shared" si="12"/>
        <v/>
      </c>
      <c r="AA58" s="370" t="str">
        <f t="shared" si="16"/>
        <v/>
      </c>
      <c r="AB58" s="373" t="str">
        <f>IF(F58="", "", IF(IN_DATA!R42=3, MAX(CO2_Royalty_Factor-Z58/10000,0), IF('Economics Summary'!A58&lt;2, IF('Economics Summary'!Q58&lt;60000, 0.05, ((60000*0.05+('Economics Summary'!Q58-60000)*R58)/'Economics Summary'!Q58)),R58)))</f>
        <v/>
      </c>
      <c r="AC58" s="377" t="str">
        <f t="shared" si="13"/>
        <v/>
      </c>
      <c r="AD58" s="378" t="str">
        <f t="shared" si="17"/>
        <v/>
      </c>
    </row>
    <row r="59" spans="1:30" x14ac:dyDescent="0.2">
      <c r="A59" s="178">
        <v>38</v>
      </c>
      <c r="B59" s="178">
        <f t="shared" si="5"/>
        <v>2050</v>
      </c>
      <c r="C59" s="292" t="str">
        <f>IF(IN_DATA!C43="","",MAX(min_oil_price,MIN(C58+C58*$L$6,max_oil_price)))</f>
        <v/>
      </c>
      <c r="D59" s="293" t="str">
        <f>IF(IN_DATA!C43="","",MAX(min_gas_price,MIN(D58+D58*$L$7,max_gas_price)))</f>
        <v/>
      </c>
      <c r="E59" s="294" t="str">
        <f>IF(IN_DATA!C43="","",MIN(E58+E58*$L$8,16))</f>
        <v/>
      </c>
      <c r="F59" s="110" t="str">
        <f>IF(O59="", "", IN_DATA!C43*365*OCF*FPF)</f>
        <v/>
      </c>
      <c r="G59" s="184" t="str">
        <f>IF(O59="","",IN_DATA!D43*365*FPF*OCF)</f>
        <v/>
      </c>
      <c r="H59" s="235" t="str">
        <f t="shared" si="6"/>
        <v/>
      </c>
      <c r="I59" s="238" t="str">
        <f t="shared" si="7"/>
        <v/>
      </c>
      <c r="J59" s="236" t="str">
        <f t="shared" si="8"/>
        <v/>
      </c>
      <c r="K59" s="239" t="str">
        <f t="shared" si="9"/>
        <v/>
      </c>
      <c r="L59" s="247" t="str">
        <f t="shared" si="14"/>
        <v/>
      </c>
      <c r="M59" s="244" t="str">
        <f>IF(I59=""," ",IF(IN_DATA!R43=1,"Primary Rec.",IF(IN_DATA!R43=2,"Water Flood",IF(IN_DATA!R43=3,"CO2 Flood",""))))</f>
        <v xml:space="preserve"> </v>
      </c>
      <c r="N59" s="109" t="str">
        <f>IF(I59="","",IF(O59=0, 0, OpCost!AD48))</f>
        <v/>
      </c>
      <c r="O59" s="187" t="str">
        <f>IF(OpCost!AE48="", "", OpCost!AE48)</f>
        <v/>
      </c>
      <c r="P59" s="251" t="str">
        <f>IF(F59="","",((IN_DATA!C43+IN_DATA!D43/10)/IN_DATA!P43))</f>
        <v/>
      </c>
      <c r="Q59" s="248" t="str">
        <f>IF(F59="","",SUM($P$21:P59)*365)</f>
        <v/>
      </c>
      <c r="R59" s="249" t="str">
        <f>IF(F59="", "", HLOOKUP(C59,'Reference-Crown Royalties'!$D$2:$AB$49,MATCH(P59,'Reference-Crown Royalties'!$A$2:$A$49,1),TRUE))</f>
        <v/>
      </c>
      <c r="S59" s="276" t="str">
        <f>IF(F59="", "", IF(IN_DATA!R43=3, CO2_Royalty_Factor, IF('Economics Summary'!A59&lt;2, IF('Economics Summary'!Q59&lt;60000, 0.05, ((60000*0.05+('Economics Summary'!Q59-60000)*R59)/'Economics Summary'!Q59)),R59)))</f>
        <v/>
      </c>
      <c r="T59" s="250" t="str">
        <f t="shared" si="10"/>
        <v/>
      </c>
      <c r="U59" s="250" t="str">
        <f t="shared" si="11"/>
        <v/>
      </c>
      <c r="V59" s="344" t="str">
        <f t="shared" si="15"/>
        <v/>
      </c>
      <c r="W59" s="257" t="str">
        <f>IF(F59="","",SUM($V$21:V59))</f>
        <v/>
      </c>
      <c r="X59" s="260" t="str">
        <f xml:space="preserve"> IF(OR(F59="",SUM(IN_DATA!$H$5:'IN_DATA'!H43)=0), "", 1-SUM(IN_DATA!$F$5:'IN_DATA'!F43)/SUM(IN_DATA!$H$5:'IN_DATA'!H43))</f>
        <v/>
      </c>
      <c r="Y59" s="307" t="str">
        <f>IF(OR(F59="",SUM(IN_DATA!$H$5:'IN_DATA'!H43)=0),"",365*(SUM(IN_DATA!$H$5:'IN_DATA'!H43)-SUM(IN_DATA!$F$5:'IN_DATA'!F43))/1000)</f>
        <v/>
      </c>
      <c r="Z59" s="346" t="str">
        <f t="shared" si="12"/>
        <v/>
      </c>
      <c r="AA59" s="370" t="str">
        <f t="shared" si="16"/>
        <v/>
      </c>
      <c r="AB59" s="373" t="str">
        <f>IF(F59="", "", IF(IN_DATA!R43=3, MAX(CO2_Royalty_Factor-Z59/10000,0), IF('Economics Summary'!A59&lt;2, IF('Economics Summary'!Q59&lt;60000, 0.05, ((60000*0.05+('Economics Summary'!Q59-60000)*R59)/'Economics Summary'!Q59)),R59)))</f>
        <v/>
      </c>
      <c r="AC59" s="377" t="str">
        <f t="shared" si="13"/>
        <v/>
      </c>
      <c r="AD59" s="378" t="str">
        <f t="shared" si="17"/>
        <v/>
      </c>
    </row>
    <row r="60" spans="1:30" x14ac:dyDescent="0.2">
      <c r="A60" s="178">
        <v>39</v>
      </c>
      <c r="B60" s="178">
        <f t="shared" si="5"/>
        <v>2051</v>
      </c>
      <c r="C60" s="292" t="str">
        <f>IF(IN_DATA!C44="","",MAX(min_oil_price,MIN(C59+C59*$L$6,max_oil_price)))</f>
        <v/>
      </c>
      <c r="D60" s="293" t="str">
        <f>IF(IN_DATA!C44="","",MAX(min_gas_price,MIN(D59+D59*$L$7,max_gas_price)))</f>
        <v/>
      </c>
      <c r="E60" s="294" t="str">
        <f>IF(IN_DATA!C44="","",MIN(E59+E59*$L$8,16))</f>
        <v/>
      </c>
      <c r="F60" s="110" t="str">
        <f>IF(O60="", "", IN_DATA!C44*365*OCF*FPF)</f>
        <v/>
      </c>
      <c r="G60" s="184" t="str">
        <f>IF(O60="","",IN_DATA!D44*365*FPF*OCF)</f>
        <v/>
      </c>
      <c r="H60" s="235" t="str">
        <f t="shared" si="6"/>
        <v/>
      </c>
      <c r="I60" s="238" t="str">
        <f t="shared" si="7"/>
        <v/>
      </c>
      <c r="J60" s="236" t="str">
        <f t="shared" si="8"/>
        <v/>
      </c>
      <c r="K60" s="239" t="str">
        <f t="shared" si="9"/>
        <v/>
      </c>
      <c r="L60" s="247" t="str">
        <f t="shared" si="14"/>
        <v/>
      </c>
      <c r="M60" s="244" t="str">
        <f>IF(I60=""," ",IF(IN_DATA!R44=1,"Primary Rec.",IF(IN_DATA!R44=2,"Water Flood",IF(IN_DATA!R44=3,"CO2 Flood",""))))</f>
        <v xml:space="preserve"> </v>
      </c>
      <c r="N60" s="109" t="str">
        <f>IF(I60="","",IF(O60=0, 0, OpCost!AD49))</f>
        <v/>
      </c>
      <c r="O60" s="187" t="str">
        <f>IF(OpCost!AE49="", "", OpCost!AE49)</f>
        <v/>
      </c>
      <c r="P60" s="251" t="str">
        <f>IF(F60="","",((IN_DATA!C44+IN_DATA!D44/10)/IN_DATA!P44))</f>
        <v/>
      </c>
      <c r="Q60" s="248" t="str">
        <f>IF(F60="","",SUM($P$21:P60)*365)</f>
        <v/>
      </c>
      <c r="R60" s="249" t="str">
        <f>IF(F60="", "", HLOOKUP(C60,'Reference-Crown Royalties'!$D$2:$AB$49,MATCH(P60,'Reference-Crown Royalties'!$A$2:$A$49,1),TRUE))</f>
        <v/>
      </c>
      <c r="S60" s="276" t="str">
        <f>IF(F60="", "", IF(IN_DATA!R44=3, CO2_Royalty_Factor, IF('Economics Summary'!A60&lt;2, IF('Economics Summary'!Q60&lt;60000, 0.05, ((60000*0.05+('Economics Summary'!Q60-60000)*R60)/'Economics Summary'!Q60)),R60)))</f>
        <v/>
      </c>
      <c r="T60" s="250" t="str">
        <f t="shared" si="10"/>
        <v/>
      </c>
      <c r="U60" s="250" t="str">
        <f t="shared" si="11"/>
        <v/>
      </c>
      <c r="V60" s="344" t="str">
        <f t="shared" si="15"/>
        <v/>
      </c>
      <c r="W60" s="257" t="str">
        <f>IF(F60="","",SUM($V$21:V60))</f>
        <v/>
      </c>
      <c r="X60" s="260" t="str">
        <f xml:space="preserve"> IF(OR(F60="",SUM(IN_DATA!$H$5:'IN_DATA'!H44)=0), "", 1-SUM(IN_DATA!$F$5:'IN_DATA'!F44)/SUM(IN_DATA!$H$5:'IN_DATA'!H44))</f>
        <v/>
      </c>
      <c r="Y60" s="307" t="str">
        <f>IF(OR(F60="",SUM(IN_DATA!$H$5:'IN_DATA'!H44)=0),"",365*(SUM(IN_DATA!$H$5:'IN_DATA'!H44)-SUM(IN_DATA!$F$5:'IN_DATA'!F44))/1000)</f>
        <v/>
      </c>
      <c r="Z60" s="346" t="str">
        <f t="shared" si="12"/>
        <v/>
      </c>
      <c r="AA60" s="370" t="str">
        <f t="shared" si="16"/>
        <v/>
      </c>
      <c r="AB60" s="373" t="str">
        <f>IF(F60="", "", IF(IN_DATA!R44=3, MAX(CO2_Royalty_Factor-Z60/10000,0), IF('Economics Summary'!A60&lt;2, IF('Economics Summary'!Q60&lt;60000, 0.05, ((60000*0.05+('Economics Summary'!Q60-60000)*R60)/'Economics Summary'!Q60)),R60)))</f>
        <v/>
      </c>
      <c r="AC60" s="377" t="str">
        <f t="shared" si="13"/>
        <v/>
      </c>
      <c r="AD60" s="378" t="str">
        <f t="shared" si="17"/>
        <v/>
      </c>
    </row>
    <row r="61" spans="1:30" x14ac:dyDescent="0.2">
      <c r="A61" s="178">
        <v>40</v>
      </c>
      <c r="B61" s="178">
        <f t="shared" si="5"/>
        <v>2052</v>
      </c>
      <c r="C61" s="292" t="str">
        <f>IF(IN_DATA!C45="","",MAX(min_oil_price,MIN(C60+C60*$L$6,max_oil_price)))</f>
        <v/>
      </c>
      <c r="D61" s="293" t="str">
        <f>IF(IN_DATA!C45="","",MAX(min_gas_price,MIN(D60+D60*$L$7,max_gas_price)))</f>
        <v/>
      </c>
      <c r="E61" s="294" t="str">
        <f>IF(IN_DATA!C45="","",MIN(E60+E60*$L$8,16))</f>
        <v/>
      </c>
      <c r="F61" s="110" t="str">
        <f>IF(O61="", "", IN_DATA!C45*365*OCF*FPF)</f>
        <v/>
      </c>
      <c r="G61" s="184" t="str">
        <f>IF(O61="","",IN_DATA!D45*365*FPF*OCF)</f>
        <v/>
      </c>
      <c r="H61" s="235" t="str">
        <f t="shared" si="6"/>
        <v/>
      </c>
      <c r="I61" s="238" t="str">
        <f t="shared" si="7"/>
        <v/>
      </c>
      <c r="J61" s="236" t="str">
        <f t="shared" si="8"/>
        <v/>
      </c>
      <c r="K61" s="239" t="str">
        <f t="shared" si="9"/>
        <v/>
      </c>
      <c r="L61" s="247" t="str">
        <f t="shared" si="14"/>
        <v/>
      </c>
      <c r="M61" s="244" t="str">
        <f>IF(I61=""," ",IF(IN_DATA!R45=1,"Primary Rec.",IF(IN_DATA!R45=2,"Water Flood",IF(IN_DATA!R45=3,"CO2 Flood",""))))</f>
        <v xml:space="preserve"> </v>
      </c>
      <c r="N61" s="109" t="str">
        <f>IF(I61="","",IF(O61=0, 0, OpCost!AD50))</f>
        <v/>
      </c>
      <c r="O61" s="187" t="str">
        <f>IF(OpCost!AE50="", "", OpCost!AE50)</f>
        <v/>
      </c>
      <c r="P61" s="251" t="str">
        <f>IF(F61="","",((IN_DATA!C45+IN_DATA!D45/10)/IN_DATA!P45))</f>
        <v/>
      </c>
      <c r="Q61" s="248" t="str">
        <f>IF(F61="","",SUM($P$21:P61)*365)</f>
        <v/>
      </c>
      <c r="R61" s="249" t="str">
        <f>IF(F61="", "", HLOOKUP(C61,'Reference-Crown Royalties'!$D$2:$AB$49,MATCH(P61,'Reference-Crown Royalties'!$A$2:$A$49,1),TRUE))</f>
        <v/>
      </c>
      <c r="S61" s="276" t="str">
        <f>IF(F61="", "", IF(IN_DATA!R45=3, CO2_Royalty_Factor, IF('Economics Summary'!A61&lt;2, IF('Economics Summary'!Q61&lt;60000, 0.05, ((60000*0.05+('Economics Summary'!Q61-60000)*R61)/'Economics Summary'!Q61)),R61)))</f>
        <v/>
      </c>
      <c r="T61" s="250" t="str">
        <f t="shared" si="10"/>
        <v/>
      </c>
      <c r="U61" s="250" t="str">
        <f t="shared" si="11"/>
        <v/>
      </c>
      <c r="V61" s="344" t="str">
        <f t="shared" si="15"/>
        <v/>
      </c>
      <c r="W61" s="257" t="str">
        <f>IF(F61="","",SUM($V$21:V61))</f>
        <v/>
      </c>
      <c r="X61" s="260" t="str">
        <f xml:space="preserve"> IF(OR(F61="",SUM(IN_DATA!$H$5:'IN_DATA'!H45)=0), "", 1-SUM(IN_DATA!$F$5:'IN_DATA'!F45)/SUM(IN_DATA!$H$5:'IN_DATA'!H45))</f>
        <v/>
      </c>
      <c r="Y61" s="307" t="str">
        <f>IF(OR(F61="",SUM(IN_DATA!$H$5:'IN_DATA'!H45)=0),"",365*(SUM(IN_DATA!$H$5:'IN_DATA'!H45)-SUM(IN_DATA!$F$5:'IN_DATA'!F45))/1000)</f>
        <v/>
      </c>
      <c r="Z61" s="346" t="str">
        <f t="shared" si="12"/>
        <v/>
      </c>
      <c r="AA61" s="370" t="str">
        <f t="shared" si="16"/>
        <v/>
      </c>
      <c r="AB61" s="373" t="str">
        <f>IF(F61="", "", IF(IN_DATA!R45=3, MAX(CO2_Royalty_Factor-Z61/10000,0), IF('Economics Summary'!A61&lt;2, IF('Economics Summary'!Q61&lt;60000, 0.05, ((60000*0.05+('Economics Summary'!Q61-60000)*R61)/'Economics Summary'!Q61)),R61)))</f>
        <v/>
      </c>
      <c r="AC61" s="377" t="str">
        <f t="shared" si="13"/>
        <v/>
      </c>
      <c r="AD61" s="378" t="str">
        <f t="shared" si="17"/>
        <v/>
      </c>
    </row>
    <row r="62" spans="1:30" x14ac:dyDescent="0.2">
      <c r="A62" s="178">
        <v>41</v>
      </c>
      <c r="B62" s="178">
        <f>A62+$B$16</f>
        <v>2053</v>
      </c>
      <c r="C62" s="292" t="str">
        <f>IF(IN_DATA!C46="","",MAX(min_oil_price,MIN(C61+C61*$L$6,max_oil_price)))</f>
        <v/>
      </c>
      <c r="D62" s="293" t="str">
        <f>IF(IN_DATA!C46="","",MAX(min_gas_price,MIN(D61+D61*$L$7,max_gas_price)))</f>
        <v/>
      </c>
      <c r="E62" s="294" t="str">
        <f>IF(IN_DATA!C46="","",MIN(E61+E61*$L$8,16))</f>
        <v/>
      </c>
      <c r="F62" s="110" t="str">
        <f>IF(O62="", "", IN_DATA!C46*365*OCF*FPF)</f>
        <v/>
      </c>
      <c r="G62" s="184" t="str">
        <f>IF(O62="","",IN_DATA!D46*365*FPF*OCF)</f>
        <v/>
      </c>
      <c r="H62" s="235" t="str">
        <f t="shared" si="6"/>
        <v/>
      </c>
      <c r="I62" s="238" t="str">
        <f t="shared" si="7"/>
        <v/>
      </c>
      <c r="J62" s="236" t="str">
        <f t="shared" si="8"/>
        <v/>
      </c>
      <c r="K62" s="239" t="str">
        <f t="shared" si="9"/>
        <v/>
      </c>
      <c r="L62" s="247" t="str">
        <f t="shared" si="14"/>
        <v/>
      </c>
      <c r="M62" s="244" t="str">
        <f>IF(I62=""," ",IF(IN_DATA!R46=1,"Primary Rec.",IF(IN_DATA!R46=2,"Water Flood",IF(IN_DATA!R46=3,"CO2 Flood",""))))</f>
        <v xml:space="preserve"> </v>
      </c>
      <c r="N62" s="109" t="str">
        <f>IF(I62="","",IF(O62=0, 0, OpCost!AD51))</f>
        <v/>
      </c>
      <c r="O62" s="187" t="str">
        <f>IF(OpCost!AE51="", "", OpCost!AE51)</f>
        <v/>
      </c>
      <c r="P62" s="251" t="str">
        <f>IF(F62="","",((IN_DATA!C46+IN_DATA!D46/10)/IN_DATA!P46))</f>
        <v/>
      </c>
      <c r="Q62" s="248" t="str">
        <f>IF(F62="","",SUM($P$21:P62)*365)</f>
        <v/>
      </c>
      <c r="R62" s="249" t="str">
        <f>IF(F62="", "", HLOOKUP(C62,'Reference-Crown Royalties'!$D$2:$AB$49,MATCH(P62,'Reference-Crown Royalties'!$A$2:$A$49,1),TRUE))</f>
        <v/>
      </c>
      <c r="S62" s="276" t="str">
        <f>IF(F62="", "", IF(IN_DATA!R46=3, CO2_Royalty_Factor, IF('Economics Summary'!A62&lt;2, IF('Economics Summary'!Q62&lt;60000, 0.05, ((60000*0.05+('Economics Summary'!Q62-60000)*R62)/'Economics Summary'!Q62)),R62)))</f>
        <v/>
      </c>
      <c r="T62" s="250" t="str">
        <f t="shared" si="10"/>
        <v/>
      </c>
      <c r="U62" s="250" t="str">
        <f t="shared" si="11"/>
        <v/>
      </c>
      <c r="V62" s="344" t="str">
        <f t="shared" si="15"/>
        <v/>
      </c>
      <c r="W62" s="257" t="str">
        <f>IF(F62="","",SUM($V$21:V62))</f>
        <v/>
      </c>
      <c r="X62" s="260" t="str">
        <f xml:space="preserve"> IF(OR(F62="",SUM(IN_DATA!$H$5:'IN_DATA'!H46)=0), "", 1-SUM(IN_DATA!$F$5:'IN_DATA'!F46)/SUM(IN_DATA!$H$5:'IN_DATA'!H46))</f>
        <v/>
      </c>
      <c r="Y62" s="307" t="str">
        <f>IF(OR(F62="",SUM(IN_DATA!$H$5:'IN_DATA'!H46)=0),"",365*(SUM(IN_DATA!$H$5:'IN_DATA'!H46)-SUM(IN_DATA!$F$5:'IN_DATA'!F46))/1000)</f>
        <v/>
      </c>
      <c r="Z62" s="346" t="str">
        <f t="shared" si="12"/>
        <v/>
      </c>
      <c r="AA62" s="370" t="str">
        <f t="shared" si="16"/>
        <v/>
      </c>
      <c r="AB62" s="373" t="str">
        <f>IF(F62="", "", IF(IN_DATA!R46=3, MAX(CO2_Royalty_Factor-Z62/10000,0), IF('Economics Summary'!A62&lt;2, IF('Economics Summary'!Q62&lt;60000, 0.05, ((60000*0.05+('Economics Summary'!Q62-60000)*R62)/'Economics Summary'!Q62)),R62)))</f>
        <v/>
      </c>
      <c r="AC62" s="377" t="str">
        <f t="shared" si="13"/>
        <v/>
      </c>
      <c r="AD62" s="378" t="str">
        <f t="shared" si="17"/>
        <v/>
      </c>
    </row>
    <row r="63" spans="1:30" x14ac:dyDescent="0.2">
      <c r="A63" s="178">
        <v>42</v>
      </c>
      <c r="B63" s="178">
        <f t="shared" ref="B63:B102" si="18">A63+$B$16</f>
        <v>2054</v>
      </c>
      <c r="C63" s="292" t="str">
        <f>IF(IN_DATA!C47="","",MAX(min_oil_price,MIN(C62+C62*$L$6,max_oil_price)))</f>
        <v/>
      </c>
      <c r="D63" s="293" t="str">
        <f>IF(IN_DATA!C47="","",MAX(min_gas_price,MIN(D62+D62*$L$7,max_gas_price)))</f>
        <v/>
      </c>
      <c r="E63" s="294" t="str">
        <f>IF(IN_DATA!C47="","",MIN(E62+E62*$L$8,16))</f>
        <v/>
      </c>
      <c r="F63" s="110" t="str">
        <f>IF(O63="", "", IN_DATA!C47*365*OCF*FPF)</f>
        <v/>
      </c>
      <c r="G63" s="184" t="str">
        <f>IF(O63="","",IN_DATA!D47*365*FPF*OCF)</f>
        <v/>
      </c>
      <c r="H63" s="235" t="str">
        <f t="shared" si="6"/>
        <v/>
      </c>
      <c r="I63" s="238" t="str">
        <f t="shared" si="7"/>
        <v/>
      </c>
      <c r="J63" s="236" t="str">
        <f t="shared" si="8"/>
        <v/>
      </c>
      <c r="K63" s="239" t="str">
        <f t="shared" si="9"/>
        <v/>
      </c>
      <c r="L63" s="247" t="str">
        <f t="shared" si="14"/>
        <v/>
      </c>
      <c r="M63" s="244" t="str">
        <f>IF(I63=""," ",IF(IN_DATA!R47=1,"Primary Rec.",IF(IN_DATA!R47=2,"Water Flood",IF(IN_DATA!R47=3,"CO2 Flood",""))))</f>
        <v xml:space="preserve"> </v>
      </c>
      <c r="N63" s="109" t="str">
        <f>IF(I63="","",IF(O63=0, 0, OpCost!AD52))</f>
        <v/>
      </c>
      <c r="O63" s="187" t="str">
        <f>IF(OpCost!AE52="", "", OpCost!AE52)</f>
        <v/>
      </c>
      <c r="P63" s="251" t="str">
        <f>IF(F63="","",((IN_DATA!C47+IN_DATA!D47/10)/IN_DATA!P47))</f>
        <v/>
      </c>
      <c r="Q63" s="248" t="str">
        <f>IF(F63="","",SUM($P$21:P63)*365)</f>
        <v/>
      </c>
      <c r="R63" s="249" t="str">
        <f>IF(F63="", "", HLOOKUP(C63,'Reference-Crown Royalties'!$D$2:$AB$49,MATCH(P63,'Reference-Crown Royalties'!$A$2:$A$49,1),TRUE))</f>
        <v/>
      </c>
      <c r="S63" s="276" t="str">
        <f>IF(F63="", "", IF(IN_DATA!R47=3, CO2_Royalty_Factor, IF('Economics Summary'!A63&lt;2, IF('Economics Summary'!Q63&lt;60000, 0.05, ((60000*0.05+('Economics Summary'!Q63-60000)*R63)/'Economics Summary'!Q63)),R63)))</f>
        <v/>
      </c>
      <c r="T63" s="250" t="str">
        <f t="shared" si="10"/>
        <v/>
      </c>
      <c r="U63" s="250" t="str">
        <f t="shared" si="11"/>
        <v/>
      </c>
      <c r="V63" s="344" t="str">
        <f t="shared" si="15"/>
        <v/>
      </c>
      <c r="W63" s="257" t="str">
        <f>IF(F63="","",SUM($V$21:V63))</f>
        <v/>
      </c>
      <c r="X63" s="260" t="str">
        <f xml:space="preserve"> IF(OR(F63="",SUM(IN_DATA!$H$5:'IN_DATA'!H47)=0), "", 1-SUM(IN_DATA!$F$5:'IN_DATA'!F47)/SUM(IN_DATA!$H$5:'IN_DATA'!H47))</f>
        <v/>
      </c>
      <c r="Y63" s="307" t="str">
        <f>IF(OR(F63="",SUM(IN_DATA!$H$5:'IN_DATA'!H47)=0),"",365*(SUM(IN_DATA!$H$5:'IN_DATA'!H47)-SUM(IN_DATA!$F$5:'IN_DATA'!F47))/1000)</f>
        <v/>
      </c>
      <c r="Z63" s="346" t="str">
        <f t="shared" si="12"/>
        <v/>
      </c>
      <c r="AA63" s="370" t="str">
        <f t="shared" si="16"/>
        <v/>
      </c>
      <c r="AB63" s="373" t="str">
        <f>IF(F63="", "", IF(IN_DATA!R47=3, MAX(CO2_Royalty_Factor-Z63/10000,0), IF('Economics Summary'!A63&lt;2, IF('Economics Summary'!Q63&lt;60000, 0.05, ((60000*0.05+('Economics Summary'!Q63-60000)*R63)/'Economics Summary'!Q63)),R63)))</f>
        <v/>
      </c>
      <c r="AC63" s="377" t="str">
        <f t="shared" si="13"/>
        <v/>
      </c>
      <c r="AD63" s="378" t="str">
        <f t="shared" si="17"/>
        <v/>
      </c>
    </row>
    <row r="64" spans="1:30" x14ac:dyDescent="0.2">
      <c r="A64" s="178">
        <v>43</v>
      </c>
      <c r="B64" s="178">
        <f t="shared" si="18"/>
        <v>2055</v>
      </c>
      <c r="C64" s="292" t="str">
        <f>IF(IN_DATA!C48="","",MAX(min_oil_price,MIN(C63+C63*$L$6,max_oil_price)))</f>
        <v/>
      </c>
      <c r="D64" s="293" t="str">
        <f>IF(IN_DATA!C48="","",MAX(min_gas_price,MIN(D63+D63*$L$7,max_gas_price)))</f>
        <v/>
      </c>
      <c r="E64" s="294" t="str">
        <f>IF(IN_DATA!C48="","",MIN(E63+E63*$L$8,16))</f>
        <v/>
      </c>
      <c r="F64" s="110" t="str">
        <f>IF(O64="", "", IN_DATA!C48*365*OCF*FPF)</f>
        <v/>
      </c>
      <c r="G64" s="184" t="str">
        <f>IF(O64="","",IN_DATA!D48*365*FPF*OCF)</f>
        <v/>
      </c>
      <c r="H64" s="235" t="str">
        <f t="shared" si="6"/>
        <v/>
      </c>
      <c r="I64" s="238" t="str">
        <f t="shared" si="7"/>
        <v/>
      </c>
      <c r="J64" s="236" t="str">
        <f t="shared" si="8"/>
        <v/>
      </c>
      <c r="K64" s="239" t="str">
        <f t="shared" si="9"/>
        <v/>
      </c>
      <c r="L64" s="247" t="str">
        <f t="shared" si="14"/>
        <v/>
      </c>
      <c r="M64" s="244" t="str">
        <f>IF(I64=""," ",IF(IN_DATA!R48=1,"Primary Rec.",IF(IN_DATA!R48=2,"Water Flood",IF(IN_DATA!R48=3,"CO2 Flood",""))))</f>
        <v xml:space="preserve"> </v>
      </c>
      <c r="N64" s="109" t="str">
        <f>IF(I64="","",IF(O64=0, 0, OpCost!AD53))</f>
        <v/>
      </c>
      <c r="O64" s="187" t="str">
        <f>IF(OpCost!AE53="", "", OpCost!AE53)</f>
        <v/>
      </c>
      <c r="P64" s="251" t="str">
        <f>IF(F64="","",((IN_DATA!C48+IN_DATA!D48/10)/IN_DATA!P48))</f>
        <v/>
      </c>
      <c r="Q64" s="248" t="str">
        <f>IF(F64="","",SUM($P$21:P64)*365)</f>
        <v/>
      </c>
      <c r="R64" s="249" t="str">
        <f>IF(F64="", "", HLOOKUP(C64,'Reference-Crown Royalties'!$D$2:$AB$49,MATCH(P64,'Reference-Crown Royalties'!$A$2:$A$49,1),TRUE))</f>
        <v/>
      </c>
      <c r="S64" s="276" t="str">
        <f>IF(F64="", "", IF(IN_DATA!R48=3, CO2_Royalty_Factor, IF('Economics Summary'!A64&lt;2, IF('Economics Summary'!Q64&lt;60000, 0.05, ((60000*0.05+('Economics Summary'!Q64-60000)*R64)/'Economics Summary'!Q64)),R64)))</f>
        <v/>
      </c>
      <c r="T64" s="250" t="str">
        <f t="shared" si="10"/>
        <v/>
      </c>
      <c r="U64" s="250" t="str">
        <f t="shared" si="11"/>
        <v/>
      </c>
      <c r="V64" s="344" t="str">
        <f t="shared" si="15"/>
        <v/>
      </c>
      <c r="W64" s="257" t="str">
        <f>IF(F64="","",SUM($V$21:V64))</f>
        <v/>
      </c>
      <c r="X64" s="260" t="str">
        <f xml:space="preserve"> IF(OR(F64="",SUM(IN_DATA!$H$5:'IN_DATA'!H48)=0), "", 1-SUM(IN_DATA!$F$5:'IN_DATA'!F48)/SUM(IN_DATA!$H$5:'IN_DATA'!H48))</f>
        <v/>
      </c>
      <c r="Y64" s="307" t="str">
        <f>IF(OR(F64="",SUM(IN_DATA!$H$5:'IN_DATA'!H48)=0),"",365*(SUM(IN_DATA!$H$5:'IN_DATA'!H48)-SUM(IN_DATA!$F$5:'IN_DATA'!F48))/1000)</f>
        <v/>
      </c>
      <c r="Z64" s="346" t="str">
        <f t="shared" si="12"/>
        <v/>
      </c>
      <c r="AA64" s="370" t="str">
        <f t="shared" si="16"/>
        <v/>
      </c>
      <c r="AB64" s="373" t="str">
        <f>IF(F64="", "", IF(IN_DATA!R48=3, MAX(CO2_Royalty_Factor-Z64/10000,0), IF('Economics Summary'!A64&lt;2, IF('Economics Summary'!Q64&lt;60000, 0.05, ((60000*0.05+('Economics Summary'!Q64-60000)*R64)/'Economics Summary'!Q64)),R64)))</f>
        <v/>
      </c>
      <c r="AC64" s="377" t="str">
        <f t="shared" si="13"/>
        <v/>
      </c>
      <c r="AD64" s="378" t="str">
        <f t="shared" si="17"/>
        <v/>
      </c>
    </row>
    <row r="65" spans="1:30" x14ac:dyDescent="0.2">
      <c r="A65" s="178">
        <v>44</v>
      </c>
      <c r="B65" s="178">
        <f t="shared" si="18"/>
        <v>2056</v>
      </c>
      <c r="C65" s="292" t="str">
        <f>IF(IN_DATA!C49="","",MAX(min_oil_price,MIN(C64+C64*$L$6,max_oil_price)))</f>
        <v/>
      </c>
      <c r="D65" s="293" t="str">
        <f>IF(IN_DATA!C49="","",MAX(min_gas_price,MIN(D64+D64*$L$7,max_gas_price)))</f>
        <v/>
      </c>
      <c r="E65" s="294" t="str">
        <f>IF(IN_DATA!C49="","",MIN(E64+E64*$L$8,16))</f>
        <v/>
      </c>
      <c r="F65" s="110" t="str">
        <f>IF(O65="", "", IN_DATA!C49*365*OCF*FPF)</f>
        <v/>
      </c>
      <c r="G65" s="184" t="str">
        <f>IF(O65="","",IN_DATA!D49*365*FPF*OCF)</f>
        <v/>
      </c>
      <c r="H65" s="235" t="str">
        <f t="shared" si="6"/>
        <v/>
      </c>
      <c r="I65" s="238" t="str">
        <f t="shared" si="7"/>
        <v/>
      </c>
      <c r="J65" s="236" t="str">
        <f t="shared" si="8"/>
        <v/>
      </c>
      <c r="K65" s="239" t="str">
        <f t="shared" si="9"/>
        <v/>
      </c>
      <c r="L65" s="247" t="str">
        <f t="shared" si="14"/>
        <v/>
      </c>
      <c r="M65" s="244" t="str">
        <f>IF(I65=""," ",IF(IN_DATA!R49=1,"Primary Rec.",IF(IN_DATA!R49=2,"Water Flood",IF(IN_DATA!R49=3,"CO2 Flood",""))))</f>
        <v xml:space="preserve"> </v>
      </c>
      <c r="N65" s="109" t="str">
        <f>IF(I65="","",IF(O65=0, 0, OpCost!AD54))</f>
        <v/>
      </c>
      <c r="O65" s="187" t="str">
        <f>IF(OpCost!AE54="", "", OpCost!AE54)</f>
        <v/>
      </c>
      <c r="P65" s="251" t="str">
        <f>IF(F65="","",((IN_DATA!C49+IN_DATA!D49/10)/IN_DATA!P49))</f>
        <v/>
      </c>
      <c r="Q65" s="248" t="str">
        <f>IF(F65="","",SUM($P$21:P65)*365)</f>
        <v/>
      </c>
      <c r="R65" s="249" t="str">
        <f>IF(F65="", "", HLOOKUP(C65,'Reference-Crown Royalties'!$D$2:$AB$49,MATCH(P65,'Reference-Crown Royalties'!$A$2:$A$49,1),TRUE))</f>
        <v/>
      </c>
      <c r="S65" s="276" t="str">
        <f>IF(F65="", "", IF(IN_DATA!R49=3, CO2_Royalty_Factor, IF('Economics Summary'!A65&lt;2, IF('Economics Summary'!Q65&lt;60000, 0.05, ((60000*0.05+('Economics Summary'!Q65-60000)*R65)/'Economics Summary'!Q65)),R65)))</f>
        <v/>
      </c>
      <c r="T65" s="250" t="str">
        <f t="shared" si="10"/>
        <v/>
      </c>
      <c r="U65" s="250" t="str">
        <f t="shared" si="11"/>
        <v/>
      </c>
      <c r="V65" s="344" t="str">
        <f t="shared" si="15"/>
        <v/>
      </c>
      <c r="W65" s="257" t="str">
        <f>IF(F65="","",SUM($V$21:V65))</f>
        <v/>
      </c>
      <c r="X65" s="260" t="str">
        <f xml:space="preserve"> IF(OR(F65="",SUM(IN_DATA!$H$5:'IN_DATA'!H49)=0), "", 1-SUM(IN_DATA!$F$5:'IN_DATA'!F49)/SUM(IN_DATA!$H$5:'IN_DATA'!H49))</f>
        <v/>
      </c>
      <c r="Y65" s="307" t="str">
        <f>IF(OR(F65="",SUM(IN_DATA!$H$5:'IN_DATA'!H49)=0),"",365*(SUM(IN_DATA!$H$5:'IN_DATA'!H49)-SUM(IN_DATA!$F$5:'IN_DATA'!F49))/1000)</f>
        <v/>
      </c>
      <c r="Z65" s="346" t="str">
        <f t="shared" si="12"/>
        <v/>
      </c>
      <c r="AA65" s="370" t="str">
        <f t="shared" si="16"/>
        <v/>
      </c>
      <c r="AB65" s="373" t="str">
        <f>IF(F65="", "", IF(IN_DATA!R49=3, MAX(CO2_Royalty_Factor-Z65/10000,0), IF('Economics Summary'!A65&lt;2, IF('Economics Summary'!Q65&lt;60000, 0.05, ((60000*0.05+('Economics Summary'!Q65-60000)*R65)/'Economics Summary'!Q65)),R65)))</f>
        <v/>
      </c>
      <c r="AC65" s="377" t="str">
        <f t="shared" si="13"/>
        <v/>
      </c>
      <c r="AD65" s="378" t="str">
        <f t="shared" si="17"/>
        <v/>
      </c>
    </row>
    <row r="66" spans="1:30" x14ac:dyDescent="0.2">
      <c r="A66" s="178">
        <v>45</v>
      </c>
      <c r="B66" s="178">
        <f t="shared" si="18"/>
        <v>2057</v>
      </c>
      <c r="C66" s="292" t="str">
        <f>IF(IN_DATA!C50="","",MAX(min_oil_price,MIN(C65+C65*$L$6,max_oil_price)))</f>
        <v/>
      </c>
      <c r="D66" s="293" t="str">
        <f>IF(IN_DATA!C50="","",MAX(min_gas_price,MIN(D65+D65*$L$7,max_gas_price)))</f>
        <v/>
      </c>
      <c r="E66" s="294" t="str">
        <f>IF(IN_DATA!C50="","",MIN(E65+E65*$L$8,16))</f>
        <v/>
      </c>
      <c r="F66" s="110" t="str">
        <f>IF(O66="", "", IN_DATA!C50*365*OCF*FPF)</f>
        <v/>
      </c>
      <c r="G66" s="184" t="str">
        <f>IF(O66="","",IN_DATA!D50*365*FPF*OCF)</f>
        <v/>
      </c>
      <c r="H66" s="235" t="str">
        <f t="shared" si="6"/>
        <v/>
      </c>
      <c r="I66" s="238" t="str">
        <f t="shared" si="7"/>
        <v/>
      </c>
      <c r="J66" s="236" t="str">
        <f t="shared" si="8"/>
        <v/>
      </c>
      <c r="K66" s="239" t="str">
        <f t="shared" si="9"/>
        <v/>
      </c>
      <c r="L66" s="247" t="str">
        <f t="shared" si="14"/>
        <v/>
      </c>
      <c r="M66" s="244" t="str">
        <f>IF(I66=""," ",IF(IN_DATA!R50=1,"Primary Rec.",IF(IN_DATA!R50=2,"Water Flood",IF(IN_DATA!R50=3,"CO2 Flood",""))))</f>
        <v xml:space="preserve"> </v>
      </c>
      <c r="N66" s="109" t="str">
        <f>IF(I66="","",IF(O66=0, 0, OpCost!AD55))</f>
        <v/>
      </c>
      <c r="O66" s="187" t="str">
        <f>IF(OpCost!AE55="", "", OpCost!AE55)</f>
        <v/>
      </c>
      <c r="P66" s="251" t="str">
        <f>IF(F66="","",((IN_DATA!C50+IN_DATA!D50/10)/IN_DATA!P50))</f>
        <v/>
      </c>
      <c r="Q66" s="248" t="str">
        <f>IF(F66="","",SUM($P$21:P66)*365)</f>
        <v/>
      </c>
      <c r="R66" s="249" t="str">
        <f>IF(F66="", "", HLOOKUP(C66,'Reference-Crown Royalties'!$D$2:$AB$49,MATCH(P66,'Reference-Crown Royalties'!$A$2:$A$49,1),TRUE))</f>
        <v/>
      </c>
      <c r="S66" s="276" t="str">
        <f>IF(F66="", "", IF(IN_DATA!R50=3, CO2_Royalty_Factor, IF('Economics Summary'!A66&lt;2, IF('Economics Summary'!Q66&lt;60000, 0.05, ((60000*0.05+('Economics Summary'!Q66-60000)*R66)/'Economics Summary'!Q66)),R66)))</f>
        <v/>
      </c>
      <c r="T66" s="250" t="str">
        <f t="shared" si="10"/>
        <v/>
      </c>
      <c r="U66" s="250" t="str">
        <f t="shared" si="11"/>
        <v/>
      </c>
      <c r="V66" s="344" t="str">
        <f t="shared" si="15"/>
        <v/>
      </c>
      <c r="W66" s="257" t="str">
        <f>IF(F66="","",SUM($V$21:V66))</f>
        <v/>
      </c>
      <c r="X66" s="260" t="str">
        <f xml:space="preserve"> IF(OR(F66="",SUM(IN_DATA!$H$5:'IN_DATA'!H50)=0), "", 1-SUM(IN_DATA!$F$5:'IN_DATA'!F50)/SUM(IN_DATA!$H$5:'IN_DATA'!H50))</f>
        <v/>
      </c>
      <c r="Y66" s="307" t="str">
        <f>IF(OR(F66="",SUM(IN_DATA!$H$5:'IN_DATA'!H50)=0),"",365*(SUM(IN_DATA!$H$5:'IN_DATA'!H50)-SUM(IN_DATA!$F$5:'IN_DATA'!F50))/1000)</f>
        <v/>
      </c>
      <c r="Z66" s="346" t="str">
        <f t="shared" si="12"/>
        <v/>
      </c>
      <c r="AA66" s="370" t="str">
        <f t="shared" si="16"/>
        <v/>
      </c>
      <c r="AB66" s="373" t="str">
        <f>IF(F66="", "", IF(IN_DATA!R50=3, MAX(CO2_Royalty_Factor-Z66/10000,0), IF('Economics Summary'!A66&lt;2, IF('Economics Summary'!Q66&lt;60000, 0.05, ((60000*0.05+('Economics Summary'!Q66-60000)*R66)/'Economics Summary'!Q66)),R66)))</f>
        <v/>
      </c>
      <c r="AC66" s="377" t="str">
        <f t="shared" si="13"/>
        <v/>
      </c>
      <c r="AD66" s="378" t="str">
        <f t="shared" si="17"/>
        <v/>
      </c>
    </row>
    <row r="67" spans="1:30" x14ac:dyDescent="0.2">
      <c r="A67" s="178">
        <v>46</v>
      </c>
      <c r="B67" s="178">
        <f t="shared" si="18"/>
        <v>2058</v>
      </c>
      <c r="C67" s="292" t="str">
        <f>IF(IN_DATA!C51="","",MAX(min_oil_price,MIN(C66+C66*$L$6,max_oil_price)))</f>
        <v/>
      </c>
      <c r="D67" s="293" t="str">
        <f>IF(IN_DATA!C51="","",MAX(min_gas_price,MIN(D66+D66*$L$7,max_gas_price)))</f>
        <v/>
      </c>
      <c r="E67" s="294" t="str">
        <f>IF(IN_DATA!C51="","",MIN(E66+E66*$L$8,16))</f>
        <v/>
      </c>
      <c r="F67" s="110" t="str">
        <f>IF(O67="", "", IN_DATA!C51*365*OCF*FPF)</f>
        <v/>
      </c>
      <c r="G67" s="184" t="str">
        <f>IF(O67="","",IN_DATA!D51*365*FPF*OCF)</f>
        <v/>
      </c>
      <c r="H67" s="235" t="str">
        <f t="shared" si="6"/>
        <v/>
      </c>
      <c r="I67" s="238" t="str">
        <f t="shared" si="7"/>
        <v/>
      </c>
      <c r="J67" s="236" t="str">
        <f t="shared" si="8"/>
        <v/>
      </c>
      <c r="K67" s="239" t="str">
        <f t="shared" si="9"/>
        <v/>
      </c>
      <c r="L67" s="247" t="str">
        <f t="shared" si="14"/>
        <v/>
      </c>
      <c r="M67" s="244" t="str">
        <f>IF(I67=""," ",IF(IN_DATA!R51=1,"Primary Rec.",IF(IN_DATA!R51=2,"Water Flood",IF(IN_DATA!R51=3,"CO2 Flood",""))))</f>
        <v xml:space="preserve"> </v>
      </c>
      <c r="N67" s="109" t="str">
        <f>IF(I67="","",IF(O67=0, 0, OpCost!AD56))</f>
        <v/>
      </c>
      <c r="O67" s="187" t="str">
        <f>IF(OpCost!AE56="", "", OpCost!AE56)</f>
        <v/>
      </c>
      <c r="P67" s="251" t="str">
        <f>IF(F67="","",((IN_DATA!C51+IN_DATA!D51/10)/IN_DATA!P51))</f>
        <v/>
      </c>
      <c r="Q67" s="248" t="str">
        <f>IF(F67="","",SUM($P$21:P67)*365)</f>
        <v/>
      </c>
      <c r="R67" s="249" t="str">
        <f>IF(F67="", "", HLOOKUP(C67,'Reference-Crown Royalties'!$D$2:$AB$49,MATCH(P67,'Reference-Crown Royalties'!$A$2:$A$49,1),TRUE))</f>
        <v/>
      </c>
      <c r="S67" s="276" t="str">
        <f>IF(F67="", "", IF(IN_DATA!R51=3, CO2_Royalty_Factor, IF('Economics Summary'!A67&lt;2, IF('Economics Summary'!Q67&lt;60000, 0.05, ((60000*0.05+('Economics Summary'!Q67-60000)*R67)/'Economics Summary'!Q67)),R67)))</f>
        <v/>
      </c>
      <c r="T67" s="250" t="str">
        <f t="shared" si="10"/>
        <v/>
      </c>
      <c r="U67" s="250" t="str">
        <f t="shared" si="11"/>
        <v/>
      </c>
      <c r="V67" s="344" t="str">
        <f t="shared" si="15"/>
        <v/>
      </c>
      <c r="W67" s="257" t="str">
        <f>IF(F67="","",SUM($V$21:V67))</f>
        <v/>
      </c>
      <c r="X67" s="260" t="str">
        <f xml:space="preserve"> IF(OR(F67="",SUM(IN_DATA!$H$5:'IN_DATA'!H51)=0), "", 1-SUM(IN_DATA!$F$5:'IN_DATA'!F51)/SUM(IN_DATA!$H$5:'IN_DATA'!H51))</f>
        <v/>
      </c>
      <c r="Y67" s="307" t="str">
        <f>IF(OR(F67="",SUM(IN_DATA!$H$5:'IN_DATA'!H51)=0),"",365*(SUM(IN_DATA!$H$5:'IN_DATA'!H51)-SUM(IN_DATA!$F$5:'IN_DATA'!F51))/1000)</f>
        <v/>
      </c>
      <c r="Z67" s="346" t="str">
        <f t="shared" si="12"/>
        <v/>
      </c>
      <c r="AA67" s="370" t="str">
        <f t="shared" si="16"/>
        <v/>
      </c>
      <c r="AB67" s="373" t="str">
        <f>IF(F67="", "", IF(IN_DATA!R51=3, MAX(CO2_Royalty_Factor-Z67/10000,0), IF('Economics Summary'!A67&lt;2, IF('Economics Summary'!Q67&lt;60000, 0.05, ((60000*0.05+('Economics Summary'!Q67-60000)*R67)/'Economics Summary'!Q67)),R67)))</f>
        <v/>
      </c>
      <c r="AC67" s="377" t="str">
        <f t="shared" si="13"/>
        <v/>
      </c>
      <c r="AD67" s="378" t="str">
        <f t="shared" si="17"/>
        <v/>
      </c>
    </row>
    <row r="68" spans="1:30" x14ac:dyDescent="0.2">
      <c r="A68" s="178">
        <v>47</v>
      </c>
      <c r="B68" s="178">
        <f t="shared" si="18"/>
        <v>2059</v>
      </c>
      <c r="C68" s="292" t="str">
        <f>IF(IN_DATA!C52="","",MAX(min_oil_price,MIN(C67+C67*$L$6,max_oil_price)))</f>
        <v/>
      </c>
      <c r="D68" s="293" t="str">
        <f>IF(IN_DATA!C52="","",MAX(min_gas_price,MIN(D67+D67*$L$7,max_gas_price)))</f>
        <v/>
      </c>
      <c r="E68" s="294" t="str">
        <f>IF(IN_DATA!C52="","",MIN(E67+E67*$L$8,16))</f>
        <v/>
      </c>
      <c r="F68" s="110" t="str">
        <f>IF(O68="", "", IN_DATA!C52*365*OCF*FPF)</f>
        <v/>
      </c>
      <c r="G68" s="184" t="str">
        <f>IF(O68="","",IN_DATA!D52*365*FPF*OCF)</f>
        <v/>
      </c>
      <c r="H68" s="235" t="str">
        <f t="shared" si="6"/>
        <v/>
      </c>
      <c r="I68" s="238" t="str">
        <f t="shared" si="7"/>
        <v/>
      </c>
      <c r="J68" s="236" t="str">
        <f t="shared" si="8"/>
        <v/>
      </c>
      <c r="K68" s="239" t="str">
        <f t="shared" si="9"/>
        <v/>
      </c>
      <c r="L68" s="247" t="str">
        <f t="shared" si="14"/>
        <v/>
      </c>
      <c r="M68" s="244" t="str">
        <f>IF(I68=""," ",IF(IN_DATA!R52=1,"Primary Rec.",IF(IN_DATA!R52=2,"Water Flood",IF(IN_DATA!R52=3,"CO2 Flood",""))))</f>
        <v xml:space="preserve"> </v>
      </c>
      <c r="N68" s="109" t="str">
        <f>IF(I68="","",IF(O68=0, 0, OpCost!AD57))</f>
        <v/>
      </c>
      <c r="O68" s="187" t="str">
        <f>IF(OpCost!AE57="", "", OpCost!AE57)</f>
        <v/>
      </c>
      <c r="P68" s="251" t="str">
        <f>IF(F68="","",((IN_DATA!C52+IN_DATA!D52/10)/IN_DATA!P52))</f>
        <v/>
      </c>
      <c r="Q68" s="248" t="str">
        <f>IF(F68="","",SUM($P$21:P68)*365)</f>
        <v/>
      </c>
      <c r="R68" s="249" t="str">
        <f>IF(F68="", "", HLOOKUP(C68,'Reference-Crown Royalties'!$D$2:$AB$49,MATCH(P68,'Reference-Crown Royalties'!$A$2:$A$49,1),TRUE))</f>
        <v/>
      </c>
      <c r="S68" s="276" t="str">
        <f>IF(F68="", "", IF(IN_DATA!R52=3, CO2_Royalty_Factor, IF('Economics Summary'!A68&lt;2, IF('Economics Summary'!Q68&lt;60000, 0.05, ((60000*0.05+('Economics Summary'!Q68-60000)*R68)/'Economics Summary'!Q68)),R68)))</f>
        <v/>
      </c>
      <c r="T68" s="250" t="str">
        <f t="shared" si="10"/>
        <v/>
      </c>
      <c r="U68" s="250" t="str">
        <f t="shared" si="11"/>
        <v/>
      </c>
      <c r="V68" s="344" t="str">
        <f t="shared" si="15"/>
        <v/>
      </c>
      <c r="W68" s="257" t="str">
        <f>IF(F68="","",SUM($V$21:V68))</f>
        <v/>
      </c>
      <c r="X68" s="260" t="str">
        <f xml:space="preserve"> IF(OR(F68="",SUM(IN_DATA!$H$5:'IN_DATA'!H52)=0), "", 1-SUM(IN_DATA!$F$5:'IN_DATA'!F52)/SUM(IN_DATA!$H$5:'IN_DATA'!H52))</f>
        <v/>
      </c>
      <c r="Y68" s="307" t="str">
        <f>IF(OR(F68="",SUM(IN_DATA!$H$5:'IN_DATA'!H52)=0),"",365*(SUM(IN_DATA!$H$5:'IN_DATA'!H52)-SUM(IN_DATA!$F$5:'IN_DATA'!F52))/1000)</f>
        <v/>
      </c>
      <c r="Z68" s="346" t="str">
        <f t="shared" si="12"/>
        <v/>
      </c>
      <c r="AA68" s="370" t="str">
        <f t="shared" si="16"/>
        <v/>
      </c>
      <c r="AB68" s="373" t="str">
        <f>IF(F68="", "", IF(IN_DATA!R52=3, MAX(CO2_Royalty_Factor-Z68/10000,0), IF('Economics Summary'!A68&lt;2, IF('Economics Summary'!Q68&lt;60000, 0.05, ((60000*0.05+('Economics Summary'!Q68-60000)*R68)/'Economics Summary'!Q68)),R68)))</f>
        <v/>
      </c>
      <c r="AC68" s="377" t="str">
        <f t="shared" si="13"/>
        <v/>
      </c>
      <c r="AD68" s="378" t="str">
        <f t="shared" si="17"/>
        <v/>
      </c>
    </row>
    <row r="69" spans="1:30" x14ac:dyDescent="0.2">
      <c r="A69" s="178">
        <v>48</v>
      </c>
      <c r="B69" s="178">
        <f t="shared" si="18"/>
        <v>2060</v>
      </c>
      <c r="C69" s="292" t="str">
        <f>IF(IN_DATA!C53="","",MAX(min_oil_price,MIN(C68+C68*$L$6,max_oil_price)))</f>
        <v/>
      </c>
      <c r="D69" s="293" t="str">
        <f>IF(IN_DATA!C53="","",MAX(min_gas_price,MIN(D68+D68*$L$7,max_gas_price)))</f>
        <v/>
      </c>
      <c r="E69" s="294" t="str">
        <f>IF(IN_DATA!C53="","",MIN(E68+E68*$L$8,16))</f>
        <v/>
      </c>
      <c r="F69" s="110" t="str">
        <f>IF(O69="", "", IN_DATA!C53*365*OCF*FPF)</f>
        <v/>
      </c>
      <c r="G69" s="184" t="str">
        <f>IF(O69="","",IN_DATA!D53*365*FPF*OCF)</f>
        <v/>
      </c>
      <c r="H69" s="235" t="str">
        <f t="shared" si="6"/>
        <v/>
      </c>
      <c r="I69" s="238" t="str">
        <f t="shared" si="7"/>
        <v/>
      </c>
      <c r="J69" s="236" t="str">
        <f t="shared" si="8"/>
        <v/>
      </c>
      <c r="K69" s="239" t="str">
        <f t="shared" si="9"/>
        <v/>
      </c>
      <c r="L69" s="247" t="str">
        <f t="shared" si="14"/>
        <v/>
      </c>
      <c r="M69" s="244" t="str">
        <f>IF(I69=""," ",IF(IN_DATA!R53=1,"Primary Rec.",IF(IN_DATA!R53=2,"Water Flood",IF(IN_DATA!R53=3,"CO2 Flood",""))))</f>
        <v xml:space="preserve"> </v>
      </c>
      <c r="N69" s="109" t="str">
        <f>IF(I69="","",IF(O69=0, 0, OpCost!AD58))</f>
        <v/>
      </c>
      <c r="O69" s="187" t="str">
        <f>IF(OpCost!AE58="", "", OpCost!AE58)</f>
        <v/>
      </c>
      <c r="P69" s="251" t="str">
        <f>IF(F69="","",((IN_DATA!C53+IN_DATA!D53/10)/IN_DATA!P53))</f>
        <v/>
      </c>
      <c r="Q69" s="248" t="str">
        <f>IF(F69="","",SUM($P$21:P69)*365)</f>
        <v/>
      </c>
      <c r="R69" s="249" t="str">
        <f>IF(F69="", "", HLOOKUP(C69,'Reference-Crown Royalties'!$D$2:$AB$49,MATCH(P69,'Reference-Crown Royalties'!$A$2:$A$49,1),TRUE))</f>
        <v/>
      </c>
      <c r="S69" s="276" t="str">
        <f>IF(F69="", "", IF(IN_DATA!R53=3, CO2_Royalty_Factor, IF('Economics Summary'!A69&lt;2, IF('Economics Summary'!Q69&lt;60000, 0.05, ((60000*0.05+('Economics Summary'!Q69-60000)*R69)/'Economics Summary'!Q69)),R69)))</f>
        <v/>
      </c>
      <c r="T69" s="250" t="str">
        <f t="shared" si="10"/>
        <v/>
      </c>
      <c r="U69" s="250" t="str">
        <f t="shared" si="11"/>
        <v/>
      </c>
      <c r="V69" s="344" t="str">
        <f t="shared" si="15"/>
        <v/>
      </c>
      <c r="W69" s="257" t="str">
        <f>IF(F69="","",SUM($V$21:V69))</f>
        <v/>
      </c>
      <c r="X69" s="260" t="str">
        <f xml:space="preserve"> IF(OR(F69="",SUM(IN_DATA!$H$5:'IN_DATA'!H53)=0), "", 1-SUM(IN_DATA!$F$5:'IN_DATA'!F53)/SUM(IN_DATA!$H$5:'IN_DATA'!H53))</f>
        <v/>
      </c>
      <c r="Y69" s="307" t="str">
        <f>IF(OR(F69="",SUM(IN_DATA!$H$5:'IN_DATA'!H53)=0),"",365*(SUM(IN_DATA!$H$5:'IN_DATA'!H53)-SUM(IN_DATA!$F$5:'IN_DATA'!F53))/1000)</f>
        <v/>
      </c>
      <c r="Z69" s="346" t="str">
        <f t="shared" si="12"/>
        <v/>
      </c>
      <c r="AA69" s="370" t="str">
        <f t="shared" si="16"/>
        <v/>
      </c>
      <c r="AB69" s="373" t="str">
        <f>IF(F69="", "", IF(IN_DATA!R53=3, MAX(CO2_Royalty_Factor-Z69/10000,0), IF('Economics Summary'!A69&lt;2, IF('Economics Summary'!Q69&lt;60000, 0.05, ((60000*0.05+('Economics Summary'!Q69-60000)*R69)/'Economics Summary'!Q69)),R69)))</f>
        <v/>
      </c>
      <c r="AC69" s="377" t="str">
        <f t="shared" si="13"/>
        <v/>
      </c>
      <c r="AD69" s="378" t="str">
        <f t="shared" si="17"/>
        <v/>
      </c>
    </row>
    <row r="70" spans="1:30" x14ac:dyDescent="0.2">
      <c r="A70" s="178">
        <v>49</v>
      </c>
      <c r="B70" s="178">
        <f t="shared" si="18"/>
        <v>2061</v>
      </c>
      <c r="C70" s="292" t="str">
        <f>IF(IN_DATA!C54="","",MAX(min_oil_price,MIN(C69+C69*$L$6,max_oil_price)))</f>
        <v/>
      </c>
      <c r="D70" s="293" t="str">
        <f>IF(IN_DATA!C54="","",MAX(min_gas_price,MIN(D69+D69*$L$7,max_gas_price)))</f>
        <v/>
      </c>
      <c r="E70" s="294" t="str">
        <f>IF(IN_DATA!C54="","",MIN(E69+E69*$L$8,16))</f>
        <v/>
      </c>
      <c r="F70" s="110" t="str">
        <f>IF(O70="", "", IN_DATA!C54*365*OCF*FPF)</f>
        <v/>
      </c>
      <c r="G70" s="184" t="str">
        <f>IF(O70="","",IN_DATA!D54*365*FPF*OCF)</f>
        <v/>
      </c>
      <c r="H70" s="235" t="str">
        <f t="shared" si="6"/>
        <v/>
      </c>
      <c r="I70" s="238" t="str">
        <f t="shared" si="7"/>
        <v/>
      </c>
      <c r="J70" s="236" t="str">
        <f t="shared" si="8"/>
        <v/>
      </c>
      <c r="K70" s="239" t="str">
        <f t="shared" si="9"/>
        <v/>
      </c>
      <c r="L70" s="247" t="str">
        <f t="shared" si="14"/>
        <v/>
      </c>
      <c r="M70" s="244" t="str">
        <f>IF(I70=""," ",IF(IN_DATA!R54=1,"Primary Rec.",IF(IN_DATA!R54=2,"Water Flood",IF(IN_DATA!R54=3,"CO2 Flood",""))))</f>
        <v xml:space="preserve"> </v>
      </c>
      <c r="N70" s="109" t="str">
        <f>IF(I70="","",IF(O70=0, 0, OpCost!AD59))</f>
        <v/>
      </c>
      <c r="O70" s="187" t="str">
        <f>IF(OpCost!AE59="", "", OpCost!AE59)</f>
        <v/>
      </c>
      <c r="P70" s="251" t="str">
        <f>IF(F70="","",((IN_DATA!C54+IN_DATA!D54/10)/IN_DATA!P54))</f>
        <v/>
      </c>
      <c r="Q70" s="248" t="str">
        <f>IF(F70="","",SUM($P$21:P70)*365)</f>
        <v/>
      </c>
      <c r="R70" s="249" t="str">
        <f>IF(F70="", "", HLOOKUP(C70,'Reference-Crown Royalties'!$D$2:$AB$49,MATCH(P70,'Reference-Crown Royalties'!$A$2:$A$49,1),TRUE))</f>
        <v/>
      </c>
      <c r="S70" s="276" t="str">
        <f>IF(F70="", "", IF(IN_DATA!R54=3, CO2_Royalty_Factor, IF('Economics Summary'!A70&lt;2, IF('Economics Summary'!Q70&lt;60000, 0.05, ((60000*0.05+('Economics Summary'!Q70-60000)*R70)/'Economics Summary'!Q70)),R70)))</f>
        <v/>
      </c>
      <c r="T70" s="250" t="str">
        <f t="shared" si="10"/>
        <v/>
      </c>
      <c r="U70" s="250" t="str">
        <f t="shared" si="11"/>
        <v/>
      </c>
      <c r="V70" s="344" t="str">
        <f t="shared" si="15"/>
        <v/>
      </c>
      <c r="W70" s="257" t="str">
        <f>IF(F70="","",SUM($V$21:V70))</f>
        <v/>
      </c>
      <c r="X70" s="260" t="str">
        <f xml:space="preserve"> IF(OR(F70="",SUM(IN_DATA!$H$5:'IN_DATA'!H54)=0), "", 1-SUM(IN_DATA!$F$5:'IN_DATA'!F54)/SUM(IN_DATA!$H$5:'IN_DATA'!H54))</f>
        <v/>
      </c>
      <c r="Y70" s="307" t="str">
        <f>IF(OR(F70="",SUM(IN_DATA!$H$5:'IN_DATA'!H54)=0),"",365*(SUM(IN_DATA!$H$5:'IN_DATA'!H54)-SUM(IN_DATA!$F$5:'IN_DATA'!F54))/1000)</f>
        <v/>
      </c>
      <c r="Z70" s="346" t="str">
        <f t="shared" si="12"/>
        <v/>
      </c>
      <c r="AA70" s="370" t="str">
        <f t="shared" si="16"/>
        <v/>
      </c>
      <c r="AB70" s="373" t="str">
        <f>IF(F70="", "", IF(IN_DATA!R54=3, MAX(CO2_Royalty_Factor-Z70/10000,0), IF('Economics Summary'!A70&lt;2, IF('Economics Summary'!Q70&lt;60000, 0.05, ((60000*0.05+('Economics Summary'!Q70-60000)*R70)/'Economics Summary'!Q70)),R70)))</f>
        <v/>
      </c>
      <c r="AC70" s="377" t="str">
        <f t="shared" si="13"/>
        <v/>
      </c>
      <c r="AD70" s="378" t="str">
        <f t="shared" si="17"/>
        <v/>
      </c>
    </row>
    <row r="71" spans="1:30" x14ac:dyDescent="0.2">
      <c r="A71" s="178">
        <v>50</v>
      </c>
      <c r="B71" s="178">
        <f t="shared" si="18"/>
        <v>2062</v>
      </c>
      <c r="C71" s="292" t="str">
        <f>IF(IN_DATA!C55="","",MAX(min_oil_price,MIN(C70+C70*$L$6,max_oil_price)))</f>
        <v/>
      </c>
      <c r="D71" s="293" t="str">
        <f>IF(IN_DATA!C55="","",MAX(min_gas_price,MIN(D70+D70*$L$7,max_gas_price)))</f>
        <v/>
      </c>
      <c r="E71" s="294" t="str">
        <f>IF(IN_DATA!C55="","",MIN(E70+E70*$L$8,16))</f>
        <v/>
      </c>
      <c r="F71" s="110" t="str">
        <f>IF(O71="", "", IN_DATA!C55*365*OCF*FPF)</f>
        <v/>
      </c>
      <c r="G71" s="184" t="str">
        <f>IF(O71="","",IN_DATA!D55*365*FPF*OCF)</f>
        <v/>
      </c>
      <c r="H71" s="235" t="str">
        <f t="shared" si="6"/>
        <v/>
      </c>
      <c r="I71" s="238" t="str">
        <f t="shared" si="7"/>
        <v/>
      </c>
      <c r="J71" s="236" t="str">
        <f t="shared" si="8"/>
        <v/>
      </c>
      <c r="K71" s="239" t="str">
        <f t="shared" si="9"/>
        <v/>
      </c>
      <c r="L71" s="247" t="str">
        <f t="shared" si="14"/>
        <v/>
      </c>
      <c r="M71" s="244" t="str">
        <f>IF(I71=""," ",IF(IN_DATA!R55=1,"Primary Rec.",IF(IN_DATA!R55=2,"Water Flood",IF(IN_DATA!R55=3,"CO2 Flood",""))))</f>
        <v xml:space="preserve"> </v>
      </c>
      <c r="N71" s="109" t="str">
        <f>IF(I71="","",IF(O71=0, 0, OpCost!AD60))</f>
        <v/>
      </c>
      <c r="O71" s="187" t="str">
        <f>IF(OpCost!AE60="", "", OpCost!AE60)</f>
        <v/>
      </c>
      <c r="P71" s="251" t="str">
        <f>IF(F71="","",((IN_DATA!C55+IN_DATA!D55/10)/IN_DATA!P55))</f>
        <v/>
      </c>
      <c r="Q71" s="248" t="str">
        <f>IF(F71="","",SUM($P$21:P71)*365)</f>
        <v/>
      </c>
      <c r="R71" s="249" t="str">
        <f>IF(F71="", "", HLOOKUP(C71,'Reference-Crown Royalties'!$D$2:$AB$49,MATCH(P71,'Reference-Crown Royalties'!$A$2:$A$49,1),TRUE))</f>
        <v/>
      </c>
      <c r="S71" s="276" t="str">
        <f>IF(F71="", "", IF(IN_DATA!R55=3, CO2_Royalty_Factor, IF('Economics Summary'!A71&lt;2, IF('Economics Summary'!Q71&lt;60000, 0.05, ((60000*0.05+('Economics Summary'!Q71-60000)*R71)/'Economics Summary'!Q71)),R71)))</f>
        <v/>
      </c>
      <c r="T71" s="250" t="str">
        <f t="shared" si="10"/>
        <v/>
      </c>
      <c r="U71" s="250" t="str">
        <f t="shared" si="11"/>
        <v/>
      </c>
      <c r="V71" s="344" t="str">
        <f t="shared" si="15"/>
        <v/>
      </c>
      <c r="W71" s="257" t="str">
        <f>IF(F71="","",SUM($V$21:V71))</f>
        <v/>
      </c>
      <c r="X71" s="260" t="str">
        <f xml:space="preserve"> IF(OR(F71="",SUM(IN_DATA!$H$5:'IN_DATA'!H55)=0), "", 1-SUM(IN_DATA!$F$5:'IN_DATA'!F55)/SUM(IN_DATA!$H$5:'IN_DATA'!H55))</f>
        <v/>
      </c>
      <c r="Y71" s="307" t="str">
        <f>IF(OR(F71="",SUM(IN_DATA!$H$5:'IN_DATA'!H55)=0),"",365*(SUM(IN_DATA!$H$5:'IN_DATA'!H55)-SUM(IN_DATA!$F$5:'IN_DATA'!F55))/1000)</f>
        <v/>
      </c>
      <c r="Z71" s="346" t="str">
        <f t="shared" si="12"/>
        <v/>
      </c>
      <c r="AA71" s="370" t="str">
        <f t="shared" si="16"/>
        <v/>
      </c>
      <c r="AB71" s="373" t="str">
        <f>IF(F71="", "", IF(IN_DATA!R55=3, MAX(CO2_Royalty_Factor-Z71/10000,0), IF('Economics Summary'!A71&lt;2, IF('Economics Summary'!Q71&lt;60000, 0.05, ((60000*0.05+('Economics Summary'!Q71-60000)*R71)/'Economics Summary'!Q71)),R71)))</f>
        <v/>
      </c>
      <c r="AC71" s="377" t="str">
        <f t="shared" si="13"/>
        <v/>
      </c>
      <c r="AD71" s="378" t="str">
        <f t="shared" si="17"/>
        <v/>
      </c>
    </row>
    <row r="72" spans="1:30" x14ac:dyDescent="0.2">
      <c r="A72" s="178">
        <v>51</v>
      </c>
      <c r="B72" s="178">
        <f t="shared" si="18"/>
        <v>2063</v>
      </c>
      <c r="C72" s="292" t="str">
        <f>IF(IN_DATA!C56="","",MAX(min_oil_price,MIN(C71+C71*$L$6,max_oil_price)))</f>
        <v/>
      </c>
      <c r="D72" s="293" t="str">
        <f>IF(IN_DATA!C56="","",MAX(min_gas_price,MIN(D71+D71*$L$7,max_gas_price)))</f>
        <v/>
      </c>
      <c r="E72" s="294" t="str">
        <f>IF(IN_DATA!C56="","",MIN(E71+E71*$L$8,16))</f>
        <v/>
      </c>
      <c r="F72" s="110" t="str">
        <f>IF(O72="", "", IN_DATA!C56*365*OCF*FPF)</f>
        <v/>
      </c>
      <c r="G72" s="184" t="str">
        <f>IF(O72="","",IN_DATA!D56*365*FPF*OCF)</f>
        <v/>
      </c>
      <c r="H72" s="235" t="str">
        <f t="shared" si="6"/>
        <v/>
      </c>
      <c r="I72" s="238" t="str">
        <f t="shared" si="7"/>
        <v/>
      </c>
      <c r="J72" s="236" t="str">
        <f t="shared" si="8"/>
        <v/>
      </c>
      <c r="K72" s="239" t="str">
        <f t="shared" si="9"/>
        <v/>
      </c>
      <c r="L72" s="247" t="str">
        <f t="shared" si="14"/>
        <v/>
      </c>
      <c r="M72" s="244" t="str">
        <f>IF(I72=""," ",IF(IN_DATA!R56=1,"Primary Rec.",IF(IN_DATA!R56=2,"Water Flood",IF(IN_DATA!R56=3,"CO2 Flood",""))))</f>
        <v xml:space="preserve"> </v>
      </c>
      <c r="N72" s="109" t="str">
        <f>IF(I72="","",IF(O72=0, 0, OpCost!AD61))</f>
        <v/>
      </c>
      <c r="O72" s="187" t="str">
        <f>IF(OpCost!AE61="", "", OpCost!AE61)</f>
        <v/>
      </c>
      <c r="P72" s="251" t="str">
        <f>IF(F72="","",((IN_DATA!C56+IN_DATA!D56/10)/IN_DATA!P56))</f>
        <v/>
      </c>
      <c r="Q72" s="248" t="str">
        <f>IF(F72="","",SUM($P$21:P72)*365)</f>
        <v/>
      </c>
      <c r="R72" s="249" t="str">
        <f>IF(F72="", "", HLOOKUP(C72,'Reference-Crown Royalties'!$D$2:$AB$49,MATCH(P72,'Reference-Crown Royalties'!$A$2:$A$49,1),TRUE))</f>
        <v/>
      </c>
      <c r="S72" s="276" t="str">
        <f>IF(F72="", "", IF(IN_DATA!R56=3, CO2_Royalty_Factor, IF('Economics Summary'!A72&lt;2, IF('Economics Summary'!Q72&lt;60000, 0.05, ((60000*0.05+('Economics Summary'!Q72-60000)*R72)/'Economics Summary'!Q72)),R72)))</f>
        <v/>
      </c>
      <c r="T72" s="250" t="str">
        <f t="shared" si="10"/>
        <v/>
      </c>
      <c r="U72" s="250" t="str">
        <f t="shared" si="11"/>
        <v/>
      </c>
      <c r="V72" s="344" t="str">
        <f t="shared" si="15"/>
        <v/>
      </c>
      <c r="W72" s="257" t="str">
        <f>IF(F72="","",SUM($V$21:V72))</f>
        <v/>
      </c>
      <c r="X72" s="260" t="str">
        <f xml:space="preserve"> IF(OR(F72="",SUM(IN_DATA!$H$5:'IN_DATA'!H56)=0), "", 1-SUM(IN_DATA!$F$5:'IN_DATA'!F56)/SUM(IN_DATA!$H$5:'IN_DATA'!H56))</f>
        <v/>
      </c>
      <c r="Y72" s="307" t="str">
        <f>IF(OR(F72="",SUM(IN_DATA!$H$5:'IN_DATA'!H56)=0),"",365*(SUM(IN_DATA!$H$5:'IN_DATA'!H56)-SUM(IN_DATA!$F$5:'IN_DATA'!F56))/1000)</f>
        <v/>
      </c>
      <c r="Z72" s="346" t="str">
        <f t="shared" si="12"/>
        <v/>
      </c>
      <c r="AA72" s="370" t="str">
        <f t="shared" si="16"/>
        <v/>
      </c>
      <c r="AB72" s="373" t="str">
        <f>IF(F72="", "", IF(IN_DATA!R56=3, MAX(CO2_Royalty_Factor-Z72/10000,0), IF('Economics Summary'!A72&lt;2, IF('Economics Summary'!Q72&lt;60000, 0.05, ((60000*0.05+('Economics Summary'!Q72-60000)*R72)/'Economics Summary'!Q72)),R72)))</f>
        <v/>
      </c>
      <c r="AC72" s="377" t="str">
        <f t="shared" si="13"/>
        <v/>
      </c>
      <c r="AD72" s="378" t="str">
        <f t="shared" si="17"/>
        <v/>
      </c>
    </row>
    <row r="73" spans="1:30" x14ac:dyDescent="0.2">
      <c r="A73" s="178">
        <v>52</v>
      </c>
      <c r="B73" s="178">
        <f t="shared" si="18"/>
        <v>2064</v>
      </c>
      <c r="C73" s="292" t="str">
        <f>IF(IN_DATA!C57="","",MAX(min_oil_price,MIN(C72+C72*$L$6,max_oil_price)))</f>
        <v/>
      </c>
      <c r="D73" s="293" t="str">
        <f>IF(IN_DATA!C57="","",MAX(min_gas_price,MIN(D72+D72*$L$7,max_gas_price)))</f>
        <v/>
      </c>
      <c r="E73" s="294" t="str">
        <f>IF(IN_DATA!C57="","",MIN(E72+E72*$L$8,16))</f>
        <v/>
      </c>
      <c r="F73" s="110" t="str">
        <f>IF(O73="", "", IN_DATA!C57*365*OCF*FPF)</f>
        <v/>
      </c>
      <c r="G73" s="184" t="str">
        <f>IF(O73="","",IN_DATA!D57*365*FPF*OCF)</f>
        <v/>
      </c>
      <c r="H73" s="235" t="str">
        <f t="shared" si="6"/>
        <v/>
      </c>
      <c r="I73" s="238" t="str">
        <f t="shared" si="7"/>
        <v/>
      </c>
      <c r="J73" s="236" t="str">
        <f t="shared" si="8"/>
        <v/>
      </c>
      <c r="K73" s="239" t="str">
        <f t="shared" si="9"/>
        <v/>
      </c>
      <c r="L73" s="247" t="str">
        <f t="shared" si="14"/>
        <v/>
      </c>
      <c r="M73" s="244" t="str">
        <f>IF(I73=""," ",IF(IN_DATA!R57=1,"Primary Rec.",IF(IN_DATA!R57=2,"Water Flood",IF(IN_DATA!R57=3,"CO2 Flood",""))))</f>
        <v xml:space="preserve"> </v>
      </c>
      <c r="N73" s="109" t="str">
        <f>IF(I73="","",IF(O73=0, 0, OpCost!AD62))</f>
        <v/>
      </c>
      <c r="O73" s="187" t="str">
        <f>IF(OpCost!AE62="", "", OpCost!AE62)</f>
        <v/>
      </c>
      <c r="P73" s="251" t="str">
        <f>IF(F73="","",((IN_DATA!C57+IN_DATA!D57/10)/IN_DATA!P57))</f>
        <v/>
      </c>
      <c r="Q73" s="248" t="str">
        <f>IF(F73="","",SUM($P$21:P73)*365)</f>
        <v/>
      </c>
      <c r="R73" s="249" t="str">
        <f>IF(F73="", "", HLOOKUP(C73,'Reference-Crown Royalties'!$D$2:$AB$49,MATCH(P73,'Reference-Crown Royalties'!$A$2:$A$49,1),TRUE))</f>
        <v/>
      </c>
      <c r="S73" s="276" t="str">
        <f>IF(F73="", "", IF(IN_DATA!R57=3, CO2_Royalty_Factor, IF('Economics Summary'!A73&lt;2, IF('Economics Summary'!Q73&lt;60000, 0.05, ((60000*0.05+('Economics Summary'!Q73-60000)*R73)/'Economics Summary'!Q73)),R73)))</f>
        <v/>
      </c>
      <c r="T73" s="250" t="str">
        <f t="shared" si="10"/>
        <v/>
      </c>
      <c r="U73" s="250" t="str">
        <f t="shared" si="11"/>
        <v/>
      </c>
      <c r="V73" s="344" t="str">
        <f t="shared" si="15"/>
        <v/>
      </c>
      <c r="W73" s="257" t="str">
        <f>IF(F73="","",SUM($V$21:V73))</f>
        <v/>
      </c>
      <c r="X73" s="260" t="str">
        <f xml:space="preserve"> IF(OR(F73="",SUM(IN_DATA!$H$5:'IN_DATA'!H57)=0), "", 1-SUM(IN_DATA!$F$5:'IN_DATA'!F57)/SUM(IN_DATA!$H$5:'IN_DATA'!H57))</f>
        <v/>
      </c>
      <c r="Y73" s="307" t="str">
        <f>IF(OR(F73="",SUM(IN_DATA!$H$5:'IN_DATA'!H57)=0),"",365*(SUM(IN_DATA!$H$5:'IN_DATA'!H57)-SUM(IN_DATA!$F$5:'IN_DATA'!F57))/1000)</f>
        <v/>
      </c>
      <c r="Z73" s="346" t="str">
        <f t="shared" si="12"/>
        <v/>
      </c>
      <c r="AA73" s="370" t="str">
        <f t="shared" si="16"/>
        <v/>
      </c>
      <c r="AB73" s="373" t="str">
        <f>IF(F73="", "", IF(IN_DATA!R57=3, MAX(CO2_Royalty_Factor-Z73/10000,0), IF('Economics Summary'!A73&lt;2, IF('Economics Summary'!Q73&lt;60000, 0.05, ((60000*0.05+('Economics Summary'!Q73-60000)*R73)/'Economics Summary'!Q73)),R73)))</f>
        <v/>
      </c>
      <c r="AC73" s="377" t="str">
        <f t="shared" si="13"/>
        <v/>
      </c>
      <c r="AD73" s="378" t="str">
        <f t="shared" si="17"/>
        <v/>
      </c>
    </row>
    <row r="74" spans="1:30" x14ac:dyDescent="0.2">
      <c r="A74" s="178">
        <v>53</v>
      </c>
      <c r="B74" s="178">
        <f t="shared" si="18"/>
        <v>2065</v>
      </c>
      <c r="C74" s="292" t="str">
        <f>IF(IN_DATA!C58="","",MAX(min_oil_price,MIN(C73+C73*$L$6,max_oil_price)))</f>
        <v/>
      </c>
      <c r="D74" s="293" t="str">
        <f>IF(IN_DATA!C58="","",MAX(min_gas_price,MIN(D73+D73*$L$7,max_gas_price)))</f>
        <v/>
      </c>
      <c r="E74" s="294" t="str">
        <f>IF(IN_DATA!C58="","",MIN(E73+E73*$L$8,16))</f>
        <v/>
      </c>
      <c r="F74" s="110" t="str">
        <f>IF(O74="", "", IN_DATA!C58*365*OCF*FPF)</f>
        <v/>
      </c>
      <c r="G74" s="184" t="str">
        <f>IF(O74="","",IN_DATA!D58*365*FPF*OCF)</f>
        <v/>
      </c>
      <c r="H74" s="235" t="str">
        <f t="shared" si="6"/>
        <v/>
      </c>
      <c r="I74" s="238" t="str">
        <f t="shared" si="7"/>
        <v/>
      </c>
      <c r="J74" s="236" t="str">
        <f t="shared" si="8"/>
        <v/>
      </c>
      <c r="K74" s="239" t="str">
        <f t="shared" si="9"/>
        <v/>
      </c>
      <c r="L74" s="247" t="str">
        <f t="shared" si="14"/>
        <v/>
      </c>
      <c r="M74" s="244" t="str">
        <f>IF(I74=""," ",IF(IN_DATA!R58=1,"Primary Rec.",IF(IN_DATA!R58=2,"Water Flood",IF(IN_DATA!R58=3,"CO2 Flood",""))))</f>
        <v xml:space="preserve"> </v>
      </c>
      <c r="N74" s="109" t="str">
        <f>IF(I74="","",IF(O74=0, 0, OpCost!AD63))</f>
        <v/>
      </c>
      <c r="O74" s="187" t="str">
        <f>IF(OpCost!AE63="", "", OpCost!AE63)</f>
        <v/>
      </c>
      <c r="P74" s="251" t="str">
        <f>IF(F74="","",((IN_DATA!C58+IN_DATA!D58/10)/IN_DATA!P58))</f>
        <v/>
      </c>
      <c r="Q74" s="248" t="str">
        <f>IF(F74="","",SUM($P$21:P74)*365)</f>
        <v/>
      </c>
      <c r="R74" s="249" t="str">
        <f>IF(F74="", "", HLOOKUP(C74,'Reference-Crown Royalties'!$D$2:$AB$49,MATCH(P74,'Reference-Crown Royalties'!$A$2:$A$49,1),TRUE))</f>
        <v/>
      </c>
      <c r="S74" s="276" t="str">
        <f>IF(F74="", "", IF(IN_DATA!R58=3, CO2_Royalty_Factor, IF('Economics Summary'!A74&lt;2, IF('Economics Summary'!Q74&lt;60000, 0.05, ((60000*0.05+('Economics Summary'!Q74-60000)*R74)/'Economics Summary'!Q74)),R74)))</f>
        <v/>
      </c>
      <c r="T74" s="250" t="str">
        <f t="shared" si="10"/>
        <v/>
      </c>
      <c r="U74" s="250" t="str">
        <f t="shared" si="11"/>
        <v/>
      </c>
      <c r="V74" s="344" t="str">
        <f t="shared" si="15"/>
        <v/>
      </c>
      <c r="W74" s="257" t="str">
        <f>IF(F74="","",SUM($V$21:V74))</f>
        <v/>
      </c>
      <c r="X74" s="260" t="str">
        <f xml:space="preserve"> IF(OR(F74="",SUM(IN_DATA!$H$5:'IN_DATA'!H58)=0), "", 1-SUM(IN_DATA!$F$5:'IN_DATA'!F58)/SUM(IN_DATA!$H$5:'IN_DATA'!H58))</f>
        <v/>
      </c>
      <c r="Y74" s="307" t="str">
        <f>IF(OR(F74="",SUM(IN_DATA!$H$5:'IN_DATA'!H58)=0),"",365*(SUM(IN_DATA!$H$5:'IN_DATA'!H58)-SUM(IN_DATA!$F$5:'IN_DATA'!F58))/1000)</f>
        <v/>
      </c>
      <c r="Z74" s="346" t="str">
        <f t="shared" si="12"/>
        <v/>
      </c>
      <c r="AA74" s="370" t="str">
        <f t="shared" si="16"/>
        <v/>
      </c>
      <c r="AB74" s="373" t="str">
        <f>IF(F74="", "", IF(IN_DATA!R58=3, MAX(CO2_Royalty_Factor-Z74/10000,0), IF('Economics Summary'!A74&lt;2, IF('Economics Summary'!Q74&lt;60000, 0.05, ((60000*0.05+('Economics Summary'!Q74-60000)*R74)/'Economics Summary'!Q74)),R74)))</f>
        <v/>
      </c>
      <c r="AC74" s="377" t="str">
        <f t="shared" si="13"/>
        <v/>
      </c>
      <c r="AD74" s="378" t="str">
        <f t="shared" si="17"/>
        <v/>
      </c>
    </row>
    <row r="75" spans="1:30" x14ac:dyDescent="0.2">
      <c r="A75" s="178">
        <v>54</v>
      </c>
      <c r="B75" s="178">
        <f t="shared" si="18"/>
        <v>2066</v>
      </c>
      <c r="C75" s="292" t="str">
        <f>IF(IN_DATA!C59="","",MAX(min_oil_price,MIN(C74+C74*$L$6,max_oil_price)))</f>
        <v/>
      </c>
      <c r="D75" s="293" t="str">
        <f>IF(IN_DATA!C59="","",MAX(min_gas_price,MIN(D74+D74*$L$7,max_gas_price)))</f>
        <v/>
      </c>
      <c r="E75" s="294" t="str">
        <f>IF(IN_DATA!C59="","",MIN(E74+E74*$L$8,16))</f>
        <v/>
      </c>
      <c r="F75" s="110" t="str">
        <f>IF(O75="", "", IN_DATA!C59*365*OCF*FPF)</f>
        <v/>
      </c>
      <c r="G75" s="184" t="str">
        <f>IF(O75="","",IN_DATA!D59*365*FPF*OCF)</f>
        <v/>
      </c>
      <c r="H75" s="235" t="str">
        <f t="shared" si="6"/>
        <v/>
      </c>
      <c r="I75" s="238" t="str">
        <f t="shared" si="7"/>
        <v/>
      </c>
      <c r="J75" s="236" t="str">
        <f t="shared" si="8"/>
        <v/>
      </c>
      <c r="K75" s="239" t="str">
        <f t="shared" si="9"/>
        <v/>
      </c>
      <c r="L75" s="247" t="str">
        <f t="shared" si="14"/>
        <v/>
      </c>
      <c r="M75" s="244" t="str">
        <f>IF(I75=""," ",IF(IN_DATA!R59=1,"Primary Rec.",IF(IN_DATA!R59=2,"Water Flood",IF(IN_DATA!R59=3,"CO2 Flood",""))))</f>
        <v xml:space="preserve"> </v>
      </c>
      <c r="N75" s="109" t="str">
        <f>IF(I75="","",IF(O75=0, 0, OpCost!AD64))</f>
        <v/>
      </c>
      <c r="O75" s="187" t="str">
        <f>IF(OpCost!AE64="", "", OpCost!AE64)</f>
        <v/>
      </c>
      <c r="P75" s="251" t="str">
        <f>IF(F75="","",((IN_DATA!C59+IN_DATA!D59/10)/IN_DATA!P59))</f>
        <v/>
      </c>
      <c r="Q75" s="248" t="str">
        <f>IF(F75="","",SUM($P$21:P75)*365)</f>
        <v/>
      </c>
      <c r="R75" s="249" t="str">
        <f>IF(F75="", "", HLOOKUP(C75,'Reference-Crown Royalties'!$D$2:$AB$49,MATCH(P75,'Reference-Crown Royalties'!$A$2:$A$49,1),TRUE))</f>
        <v/>
      </c>
      <c r="S75" s="276" t="str">
        <f>IF(F75="", "", IF(IN_DATA!R59=3, CO2_Royalty_Factor, IF('Economics Summary'!A75&lt;2, IF('Economics Summary'!Q75&lt;60000, 0.05, ((60000*0.05+('Economics Summary'!Q75-60000)*R75)/'Economics Summary'!Q75)),R75)))</f>
        <v/>
      </c>
      <c r="T75" s="250" t="str">
        <f t="shared" si="10"/>
        <v/>
      </c>
      <c r="U75" s="250" t="str">
        <f t="shared" si="11"/>
        <v/>
      </c>
      <c r="V75" s="344" t="str">
        <f t="shared" si="15"/>
        <v/>
      </c>
      <c r="W75" s="257" t="str">
        <f>IF(F75="","",SUM($V$21:V75))</f>
        <v/>
      </c>
      <c r="X75" s="260" t="str">
        <f xml:space="preserve"> IF(OR(F75="",SUM(IN_DATA!$H$5:'IN_DATA'!H59)=0), "", 1-SUM(IN_DATA!$F$5:'IN_DATA'!F59)/SUM(IN_DATA!$H$5:'IN_DATA'!H59))</f>
        <v/>
      </c>
      <c r="Y75" s="307" t="str">
        <f>IF(OR(F75="",SUM(IN_DATA!$H$5:'IN_DATA'!H59)=0),"",365*(SUM(IN_DATA!$H$5:'IN_DATA'!H59)-SUM(IN_DATA!$F$5:'IN_DATA'!F59))/1000)</f>
        <v/>
      </c>
      <c r="Z75" s="346" t="str">
        <f t="shared" si="12"/>
        <v/>
      </c>
      <c r="AA75" s="370" t="str">
        <f t="shared" si="16"/>
        <v/>
      </c>
      <c r="AB75" s="373" t="str">
        <f>IF(F75="", "", IF(IN_DATA!R59=3, MAX(CO2_Royalty_Factor-Z75/10000,0), IF('Economics Summary'!A75&lt;2, IF('Economics Summary'!Q75&lt;60000, 0.05, ((60000*0.05+('Economics Summary'!Q75-60000)*R75)/'Economics Summary'!Q75)),R75)))</f>
        <v/>
      </c>
      <c r="AC75" s="377" t="str">
        <f t="shared" si="13"/>
        <v/>
      </c>
      <c r="AD75" s="378" t="str">
        <f t="shared" si="17"/>
        <v/>
      </c>
    </row>
    <row r="76" spans="1:30" x14ac:dyDescent="0.2">
      <c r="A76" s="178">
        <v>55</v>
      </c>
      <c r="B76" s="178">
        <f t="shared" si="18"/>
        <v>2067</v>
      </c>
      <c r="C76" s="292" t="str">
        <f>IF(IN_DATA!C60="","",MAX(min_oil_price,MIN(C75+C75*$L$6,max_oil_price)))</f>
        <v/>
      </c>
      <c r="D76" s="293" t="str">
        <f>IF(IN_DATA!C60="","",MAX(min_gas_price,MIN(D75+D75*$L$7,max_gas_price)))</f>
        <v/>
      </c>
      <c r="E76" s="294" t="str">
        <f>IF(IN_DATA!C60="","",MIN(E75+E75*$L$8,16))</f>
        <v/>
      </c>
      <c r="F76" s="110" t="str">
        <f>IF(O76="", "", IN_DATA!C60*365*OCF*FPF)</f>
        <v/>
      </c>
      <c r="G76" s="184" t="str">
        <f>IF(O76="","",IN_DATA!D60*365*FPF*OCF)</f>
        <v/>
      </c>
      <c r="H76" s="235" t="str">
        <f t="shared" si="6"/>
        <v/>
      </c>
      <c r="I76" s="238" t="str">
        <f t="shared" si="7"/>
        <v/>
      </c>
      <c r="J76" s="236" t="str">
        <f t="shared" si="8"/>
        <v/>
      </c>
      <c r="K76" s="239" t="str">
        <f t="shared" si="9"/>
        <v/>
      </c>
      <c r="L76" s="247" t="str">
        <f t="shared" si="14"/>
        <v/>
      </c>
      <c r="M76" s="244" t="str">
        <f>IF(I76=""," ",IF(IN_DATA!R60=1,"Primary Rec.",IF(IN_DATA!R60=2,"Water Flood",IF(IN_DATA!R60=3,"CO2 Flood",""))))</f>
        <v xml:space="preserve"> </v>
      </c>
      <c r="N76" s="109" t="str">
        <f>IF(I76="","",IF(O76=0, 0, OpCost!AD65))</f>
        <v/>
      </c>
      <c r="O76" s="187" t="str">
        <f>IF(OpCost!AE65="", "", OpCost!AE65)</f>
        <v/>
      </c>
      <c r="P76" s="251" t="str">
        <f>IF(F76="","",((IN_DATA!C60+IN_DATA!D60/10)/IN_DATA!P60))</f>
        <v/>
      </c>
      <c r="Q76" s="248" t="str">
        <f>IF(F76="","",SUM($P$21:P76)*365)</f>
        <v/>
      </c>
      <c r="R76" s="249" t="str">
        <f>IF(F76="", "", HLOOKUP(C76,'Reference-Crown Royalties'!$D$2:$AB$49,MATCH(P76,'Reference-Crown Royalties'!$A$2:$A$49,1),TRUE))</f>
        <v/>
      </c>
      <c r="S76" s="276" t="str">
        <f>IF(F76="", "", IF(IN_DATA!R60=3, CO2_Royalty_Factor, IF('Economics Summary'!A76&lt;2, IF('Economics Summary'!Q76&lt;60000, 0.05, ((60000*0.05+('Economics Summary'!Q76-60000)*R76)/'Economics Summary'!Q76)),R76)))</f>
        <v/>
      </c>
      <c r="T76" s="250" t="str">
        <f t="shared" si="10"/>
        <v/>
      </c>
      <c r="U76" s="250" t="str">
        <f t="shared" si="11"/>
        <v/>
      </c>
      <c r="V76" s="344" t="str">
        <f t="shared" si="15"/>
        <v/>
      </c>
      <c r="W76" s="257" t="str">
        <f>IF(F76="","",SUM($V$21:V76))</f>
        <v/>
      </c>
      <c r="X76" s="260" t="str">
        <f xml:space="preserve"> IF(OR(F76="",SUM(IN_DATA!$H$5:'IN_DATA'!H60)=0), "", 1-SUM(IN_DATA!$F$5:'IN_DATA'!F60)/SUM(IN_DATA!$H$5:'IN_DATA'!H60))</f>
        <v/>
      </c>
      <c r="Y76" s="307" t="str">
        <f>IF(OR(F76="",SUM(IN_DATA!$H$5:'IN_DATA'!H60)=0),"",365*(SUM(IN_DATA!$H$5:'IN_DATA'!H60)-SUM(IN_DATA!$F$5:'IN_DATA'!F60))/1000)</f>
        <v/>
      </c>
      <c r="Z76" s="346" t="str">
        <f t="shared" si="12"/>
        <v/>
      </c>
      <c r="AA76" s="370" t="str">
        <f t="shared" si="16"/>
        <v/>
      </c>
      <c r="AB76" s="373" t="str">
        <f>IF(F76="", "", IF(IN_DATA!R60=3, MAX(CO2_Royalty_Factor-Z76/10000,0), IF('Economics Summary'!A76&lt;2, IF('Economics Summary'!Q76&lt;60000, 0.05, ((60000*0.05+('Economics Summary'!Q76-60000)*R76)/'Economics Summary'!Q76)),R76)))</f>
        <v/>
      </c>
      <c r="AC76" s="377" t="str">
        <f t="shared" si="13"/>
        <v/>
      </c>
      <c r="AD76" s="378" t="str">
        <f t="shared" si="17"/>
        <v/>
      </c>
    </row>
    <row r="77" spans="1:30" x14ac:dyDescent="0.2">
      <c r="A77" s="178">
        <v>56</v>
      </c>
      <c r="B77" s="178">
        <f t="shared" si="18"/>
        <v>2068</v>
      </c>
      <c r="C77" s="292" t="str">
        <f>IF(IN_DATA!C61="","",MAX(min_oil_price,MIN(C76+C76*$L$6,max_oil_price)))</f>
        <v/>
      </c>
      <c r="D77" s="293" t="str">
        <f>IF(IN_DATA!C61="","",MAX(min_gas_price,MIN(D76+D76*$L$7,max_gas_price)))</f>
        <v/>
      </c>
      <c r="E77" s="294" t="str">
        <f>IF(IN_DATA!C61="","",MIN(E76+E76*$L$8,16))</f>
        <v/>
      </c>
      <c r="F77" s="110" t="str">
        <f>IF(O77="", "", IN_DATA!C61*365*OCF*FPF)</f>
        <v/>
      </c>
      <c r="G77" s="184" t="str">
        <f>IF(O77="","",IN_DATA!D61*365*FPF*OCF)</f>
        <v/>
      </c>
      <c r="H77" s="235" t="str">
        <f t="shared" si="6"/>
        <v/>
      </c>
      <c r="I77" s="238" t="str">
        <f t="shared" si="7"/>
        <v/>
      </c>
      <c r="J77" s="236" t="str">
        <f t="shared" si="8"/>
        <v/>
      </c>
      <c r="K77" s="239" t="str">
        <f t="shared" si="9"/>
        <v/>
      </c>
      <c r="L77" s="247" t="str">
        <f t="shared" si="14"/>
        <v/>
      </c>
      <c r="M77" s="244" t="str">
        <f>IF(I77=""," ",IF(IN_DATA!R61=1,"Primary Rec.",IF(IN_DATA!R61=2,"Water Flood",IF(IN_DATA!R61=3,"CO2 Flood",""))))</f>
        <v xml:space="preserve"> </v>
      </c>
      <c r="N77" s="109" t="str">
        <f>IF(I77="","",IF(O77=0, 0, OpCost!AD66))</f>
        <v/>
      </c>
      <c r="O77" s="187" t="str">
        <f>IF(OpCost!AE66="", "", OpCost!AE66)</f>
        <v/>
      </c>
      <c r="P77" s="251" t="str">
        <f>IF(F77="","",((IN_DATA!C61+IN_DATA!D61/10)/IN_DATA!P61))</f>
        <v/>
      </c>
      <c r="Q77" s="248" t="str">
        <f>IF(F77="","",SUM($P$21:P77)*365)</f>
        <v/>
      </c>
      <c r="R77" s="249" t="str">
        <f>IF(F77="", "", HLOOKUP(C77,'Reference-Crown Royalties'!$D$2:$AB$49,MATCH(P77,'Reference-Crown Royalties'!$A$2:$A$49,1),TRUE))</f>
        <v/>
      </c>
      <c r="S77" s="276" t="str">
        <f>IF(F77="", "", IF(IN_DATA!R61=3, CO2_Royalty_Factor, IF('Economics Summary'!A77&lt;2, IF('Economics Summary'!Q77&lt;60000, 0.05, ((60000*0.05+('Economics Summary'!Q77-60000)*R77)/'Economics Summary'!Q77)),R77)))</f>
        <v/>
      </c>
      <c r="T77" s="250" t="str">
        <f t="shared" si="10"/>
        <v/>
      </c>
      <c r="U77" s="250" t="str">
        <f t="shared" si="11"/>
        <v/>
      </c>
      <c r="V77" s="344" t="str">
        <f t="shared" si="15"/>
        <v/>
      </c>
      <c r="W77" s="257" t="str">
        <f>IF(F77="","",SUM($V$21:V77))</f>
        <v/>
      </c>
      <c r="X77" s="260" t="str">
        <f xml:space="preserve"> IF(OR(F77="",SUM(IN_DATA!$H$5:'IN_DATA'!H61)=0), "", 1-SUM(IN_DATA!$F$5:'IN_DATA'!F61)/SUM(IN_DATA!$H$5:'IN_DATA'!H61))</f>
        <v/>
      </c>
      <c r="Y77" s="307" t="str">
        <f>IF(OR(F77="",SUM(IN_DATA!$H$5:'IN_DATA'!H61)=0),"",365*(SUM(IN_DATA!$H$5:'IN_DATA'!H61)-SUM(IN_DATA!$F$5:'IN_DATA'!F61))/1000)</f>
        <v/>
      </c>
      <c r="Z77" s="346" t="str">
        <f t="shared" si="12"/>
        <v/>
      </c>
      <c r="AA77" s="370" t="str">
        <f t="shared" si="16"/>
        <v/>
      </c>
      <c r="AB77" s="373" t="str">
        <f>IF(F77="", "", IF(IN_DATA!R61=3, MAX(CO2_Royalty_Factor-Z77/10000,0), IF('Economics Summary'!A77&lt;2, IF('Economics Summary'!Q77&lt;60000, 0.05, ((60000*0.05+('Economics Summary'!Q77-60000)*R77)/'Economics Summary'!Q77)),R77)))</f>
        <v/>
      </c>
      <c r="AC77" s="377" t="str">
        <f t="shared" si="13"/>
        <v/>
      </c>
      <c r="AD77" s="378" t="str">
        <f t="shared" si="17"/>
        <v/>
      </c>
    </row>
    <row r="78" spans="1:30" x14ac:dyDescent="0.2">
      <c r="A78" s="178">
        <v>57</v>
      </c>
      <c r="B78" s="178">
        <f t="shared" si="18"/>
        <v>2069</v>
      </c>
      <c r="C78" s="292" t="str">
        <f>IF(IN_DATA!C62="","",MAX(min_oil_price,MIN(C77+C77*$L$6,max_oil_price)))</f>
        <v/>
      </c>
      <c r="D78" s="293" t="str">
        <f>IF(IN_DATA!C62="","",MAX(min_gas_price,MIN(D77+D77*$L$7,max_gas_price)))</f>
        <v/>
      </c>
      <c r="E78" s="294" t="str">
        <f>IF(IN_DATA!C62="","",MIN(E77+E77*$L$8,16))</f>
        <v/>
      </c>
      <c r="F78" s="110" t="str">
        <f>IF(O78="", "", IN_DATA!C62*365*OCF*FPF)</f>
        <v/>
      </c>
      <c r="G78" s="184" t="str">
        <f>IF(O78="","",IN_DATA!D62*365*FPF*OCF)</f>
        <v/>
      </c>
      <c r="H78" s="235" t="str">
        <f t="shared" si="6"/>
        <v/>
      </c>
      <c r="I78" s="238" t="str">
        <f t="shared" si="7"/>
        <v/>
      </c>
      <c r="J78" s="236" t="str">
        <f t="shared" si="8"/>
        <v/>
      </c>
      <c r="K78" s="239" t="str">
        <f t="shared" si="9"/>
        <v/>
      </c>
      <c r="L78" s="247" t="str">
        <f t="shared" si="14"/>
        <v/>
      </c>
      <c r="M78" s="244" t="str">
        <f>IF(I78=""," ",IF(IN_DATA!R62=1,"Primary Rec.",IF(IN_DATA!R62=2,"Water Flood",IF(IN_DATA!R62=3,"CO2 Flood",""))))</f>
        <v xml:space="preserve"> </v>
      </c>
      <c r="N78" s="109" t="str">
        <f>IF(I78="","",IF(O78=0, 0, OpCost!AD67))</f>
        <v/>
      </c>
      <c r="O78" s="187" t="str">
        <f>IF(OpCost!AE67="", "", OpCost!AE67)</f>
        <v/>
      </c>
      <c r="P78" s="251" t="str">
        <f>IF(F78="","",((IN_DATA!C62+IN_DATA!D62/10)/IN_DATA!P62))</f>
        <v/>
      </c>
      <c r="Q78" s="248" t="str">
        <f>IF(F78="","",SUM($P$21:P78)*365)</f>
        <v/>
      </c>
      <c r="R78" s="249" t="str">
        <f>IF(F78="", "", HLOOKUP(C78,'Reference-Crown Royalties'!$D$2:$AB$49,MATCH(P78,'Reference-Crown Royalties'!$A$2:$A$49,1),TRUE))</f>
        <v/>
      </c>
      <c r="S78" s="276" t="str">
        <f>IF(F78="", "", IF(IN_DATA!R62=3, CO2_Royalty_Factor, IF('Economics Summary'!A78&lt;2, IF('Economics Summary'!Q78&lt;60000, 0.05, ((60000*0.05+('Economics Summary'!Q78-60000)*R78)/'Economics Summary'!Q78)),R78)))</f>
        <v/>
      </c>
      <c r="T78" s="250" t="str">
        <f t="shared" si="10"/>
        <v/>
      </c>
      <c r="U78" s="250" t="str">
        <f t="shared" si="11"/>
        <v/>
      </c>
      <c r="V78" s="344" t="str">
        <f t="shared" si="15"/>
        <v/>
      </c>
      <c r="W78" s="257" t="str">
        <f>IF(F78="","",SUM($V$21:V78))</f>
        <v/>
      </c>
      <c r="X78" s="260" t="str">
        <f xml:space="preserve"> IF(OR(F78="",SUM(IN_DATA!$H$5:'IN_DATA'!H62)=0), "", 1-SUM(IN_DATA!$F$5:'IN_DATA'!F62)/SUM(IN_DATA!$H$5:'IN_DATA'!H62))</f>
        <v/>
      </c>
      <c r="Y78" s="307" t="str">
        <f>IF(OR(F78="",SUM(IN_DATA!$H$5:'IN_DATA'!H62)=0),"",365*(SUM(IN_DATA!$H$5:'IN_DATA'!H62)-SUM(IN_DATA!$F$5:'IN_DATA'!F62))/1000)</f>
        <v/>
      </c>
      <c r="Z78" s="346" t="str">
        <f t="shared" si="12"/>
        <v/>
      </c>
      <c r="AA78" s="370" t="str">
        <f t="shared" si="16"/>
        <v/>
      </c>
      <c r="AB78" s="373" t="str">
        <f>IF(F78="", "", IF(IN_DATA!R62=3, MAX(CO2_Royalty_Factor-Z78/10000,0), IF('Economics Summary'!A78&lt;2, IF('Economics Summary'!Q78&lt;60000, 0.05, ((60000*0.05+('Economics Summary'!Q78-60000)*R78)/'Economics Summary'!Q78)),R78)))</f>
        <v/>
      </c>
      <c r="AC78" s="377" t="str">
        <f t="shared" si="13"/>
        <v/>
      </c>
      <c r="AD78" s="378" t="str">
        <f t="shared" si="17"/>
        <v/>
      </c>
    </row>
    <row r="79" spans="1:30" x14ac:dyDescent="0.2">
      <c r="A79" s="178">
        <v>58</v>
      </c>
      <c r="B79" s="178">
        <f t="shared" si="18"/>
        <v>2070</v>
      </c>
      <c r="C79" s="292" t="str">
        <f>IF(IN_DATA!C63="","",MAX(min_oil_price,MIN(C78+C78*$L$6,max_oil_price)))</f>
        <v/>
      </c>
      <c r="D79" s="293" t="str">
        <f>IF(IN_DATA!C63="","",MAX(min_gas_price,MIN(D78+D78*$L$7,max_gas_price)))</f>
        <v/>
      </c>
      <c r="E79" s="294" t="str">
        <f>IF(IN_DATA!C63="","",MIN(E78+E78*$L$8,16))</f>
        <v/>
      </c>
      <c r="F79" s="110" t="str">
        <f>IF(O79="", "", IN_DATA!C63*365*OCF*FPF)</f>
        <v/>
      </c>
      <c r="G79" s="184" t="str">
        <f>IF(O79="","",IN_DATA!D63*365*FPF*OCF)</f>
        <v/>
      </c>
      <c r="H79" s="235" t="str">
        <f t="shared" si="6"/>
        <v/>
      </c>
      <c r="I79" s="238" t="str">
        <f t="shared" si="7"/>
        <v/>
      </c>
      <c r="J79" s="236" t="str">
        <f t="shared" si="8"/>
        <v/>
      </c>
      <c r="K79" s="239" t="str">
        <f t="shared" si="9"/>
        <v/>
      </c>
      <c r="L79" s="247" t="str">
        <f t="shared" si="14"/>
        <v/>
      </c>
      <c r="M79" s="244" t="str">
        <f>IF(I79=""," ",IF(IN_DATA!R63=1,"Primary Rec.",IF(IN_DATA!R63=2,"Water Flood",IF(IN_DATA!R63=3,"CO2 Flood",""))))</f>
        <v xml:space="preserve"> </v>
      </c>
      <c r="N79" s="109" t="str">
        <f>IF(I79="","",IF(O79=0, 0, OpCost!AD68))</f>
        <v/>
      </c>
      <c r="O79" s="187" t="str">
        <f>IF(OpCost!AE68="", "", OpCost!AE68)</f>
        <v/>
      </c>
      <c r="P79" s="251" t="str">
        <f>IF(F79="","",((IN_DATA!C63+IN_DATA!D63/10)/IN_DATA!P63))</f>
        <v/>
      </c>
      <c r="Q79" s="248" t="str">
        <f>IF(F79="","",SUM($P$21:P79)*365)</f>
        <v/>
      </c>
      <c r="R79" s="249" t="str">
        <f>IF(F79="", "", HLOOKUP(C79,'Reference-Crown Royalties'!$D$2:$AB$49,MATCH(P79,'Reference-Crown Royalties'!$A$2:$A$49,1),TRUE))</f>
        <v/>
      </c>
      <c r="S79" s="276" t="str">
        <f>IF(F79="", "", IF(IN_DATA!R63=3, CO2_Royalty_Factor, IF('Economics Summary'!A79&lt;2, IF('Economics Summary'!Q79&lt;60000, 0.05, ((60000*0.05+('Economics Summary'!Q79-60000)*R79)/'Economics Summary'!Q79)),R79)))</f>
        <v/>
      </c>
      <c r="T79" s="250" t="str">
        <f t="shared" si="10"/>
        <v/>
      </c>
      <c r="U79" s="250" t="str">
        <f t="shared" si="11"/>
        <v/>
      </c>
      <c r="V79" s="344" t="str">
        <f t="shared" si="15"/>
        <v/>
      </c>
      <c r="W79" s="257" t="str">
        <f>IF(F79="","",SUM($V$21:V79))</f>
        <v/>
      </c>
      <c r="X79" s="260" t="str">
        <f xml:space="preserve"> IF(OR(F79="",SUM(IN_DATA!$H$5:'IN_DATA'!H63)=0), "", 1-SUM(IN_DATA!$F$5:'IN_DATA'!F63)/SUM(IN_DATA!$H$5:'IN_DATA'!H63))</f>
        <v/>
      </c>
      <c r="Y79" s="307" t="str">
        <f>IF(OR(F79="",SUM(IN_DATA!$H$5:'IN_DATA'!H63)=0),"",365*(SUM(IN_DATA!$H$5:'IN_DATA'!H63)-SUM(IN_DATA!$F$5:'IN_DATA'!F63))/1000)</f>
        <v/>
      </c>
      <c r="Z79" s="346" t="str">
        <f t="shared" si="12"/>
        <v/>
      </c>
      <c r="AA79" s="370" t="str">
        <f t="shared" si="16"/>
        <v/>
      </c>
      <c r="AB79" s="373" t="str">
        <f>IF(F79="", "", IF(IN_DATA!R63=3, MAX(CO2_Royalty_Factor-Z79/10000,0), IF('Economics Summary'!A79&lt;2, IF('Economics Summary'!Q79&lt;60000, 0.05, ((60000*0.05+('Economics Summary'!Q79-60000)*R79)/'Economics Summary'!Q79)),R79)))</f>
        <v/>
      </c>
      <c r="AC79" s="377" t="str">
        <f t="shared" si="13"/>
        <v/>
      </c>
      <c r="AD79" s="378" t="str">
        <f t="shared" si="17"/>
        <v/>
      </c>
    </row>
    <row r="80" spans="1:30" x14ac:dyDescent="0.2">
      <c r="A80" s="178">
        <v>59</v>
      </c>
      <c r="B80" s="178">
        <f t="shared" si="18"/>
        <v>2071</v>
      </c>
      <c r="C80" s="292" t="str">
        <f>IF(IN_DATA!C64="","",MAX(min_oil_price,MIN(C79+C79*$L$6,max_oil_price)))</f>
        <v/>
      </c>
      <c r="D80" s="293" t="str">
        <f>IF(IN_DATA!C64="","",MAX(min_gas_price,MIN(D79+D79*$L$7,max_gas_price)))</f>
        <v/>
      </c>
      <c r="E80" s="294" t="str">
        <f>IF(IN_DATA!C64="","",MIN(E79+E79*$L$8,16))</f>
        <v/>
      </c>
      <c r="F80" s="110" t="str">
        <f>IF(O80="", "", IN_DATA!C64*365*OCF*FPF)</f>
        <v/>
      </c>
      <c r="G80" s="184" t="str">
        <f>IF(O80="","",IN_DATA!D64*365*FPF*OCF)</f>
        <v/>
      </c>
      <c r="H80" s="235" t="str">
        <f t="shared" si="6"/>
        <v/>
      </c>
      <c r="I80" s="238" t="str">
        <f t="shared" si="7"/>
        <v/>
      </c>
      <c r="J80" s="236" t="str">
        <f t="shared" si="8"/>
        <v/>
      </c>
      <c r="K80" s="239" t="str">
        <f t="shared" si="9"/>
        <v/>
      </c>
      <c r="L80" s="247" t="str">
        <f t="shared" si="14"/>
        <v/>
      </c>
      <c r="M80" s="244" t="str">
        <f>IF(I80=""," ",IF(IN_DATA!R64=1,"Primary Rec.",IF(IN_DATA!R64=2,"Water Flood",IF(IN_DATA!R64=3,"CO2 Flood",""))))</f>
        <v xml:space="preserve"> </v>
      </c>
      <c r="N80" s="109" t="str">
        <f>IF(I80="","",IF(O80=0, 0, OpCost!AD69))</f>
        <v/>
      </c>
      <c r="O80" s="187" t="str">
        <f>IF(OpCost!AE69="", "", OpCost!AE69)</f>
        <v/>
      </c>
      <c r="P80" s="251" t="str">
        <f>IF(F80="","",((IN_DATA!C64+IN_DATA!D64/10)/IN_DATA!P64))</f>
        <v/>
      </c>
      <c r="Q80" s="248" t="str">
        <f>IF(F80="","",SUM($P$21:P80)*365)</f>
        <v/>
      </c>
      <c r="R80" s="249" t="str">
        <f>IF(F80="", "", HLOOKUP(C80,'Reference-Crown Royalties'!$D$2:$AB$49,MATCH(P80,'Reference-Crown Royalties'!$A$2:$A$49,1),TRUE))</f>
        <v/>
      </c>
      <c r="S80" s="276" t="str">
        <f>IF(F80="", "", IF(IN_DATA!R64=3, CO2_Royalty_Factor, IF('Economics Summary'!A80&lt;2, IF('Economics Summary'!Q80&lt;60000, 0.05, ((60000*0.05+('Economics Summary'!Q80-60000)*R80)/'Economics Summary'!Q80)),R80)))</f>
        <v/>
      </c>
      <c r="T80" s="250" t="str">
        <f t="shared" si="10"/>
        <v/>
      </c>
      <c r="U80" s="250" t="str">
        <f t="shared" si="11"/>
        <v/>
      </c>
      <c r="V80" s="344" t="str">
        <f t="shared" si="15"/>
        <v/>
      </c>
      <c r="W80" s="257" t="str">
        <f>IF(F80="","",SUM($V$21:V80))</f>
        <v/>
      </c>
      <c r="X80" s="260" t="str">
        <f xml:space="preserve"> IF(OR(F80="",SUM(IN_DATA!$H$5:'IN_DATA'!H64)=0), "", 1-SUM(IN_DATA!$F$5:'IN_DATA'!F64)/SUM(IN_DATA!$H$5:'IN_DATA'!H64))</f>
        <v/>
      </c>
      <c r="Y80" s="307" t="str">
        <f>IF(OR(F80="",SUM(IN_DATA!$H$5:'IN_DATA'!H64)=0),"",365*(SUM(IN_DATA!$H$5:'IN_DATA'!H64)-SUM(IN_DATA!$F$5:'IN_DATA'!F64))/1000)</f>
        <v/>
      </c>
      <c r="Z80" s="346" t="str">
        <f t="shared" si="12"/>
        <v/>
      </c>
      <c r="AA80" s="370" t="str">
        <f t="shared" si="16"/>
        <v/>
      </c>
      <c r="AB80" s="373" t="str">
        <f>IF(F80="", "", IF(IN_DATA!R64=3, MAX(CO2_Royalty_Factor-Z80/10000,0), IF('Economics Summary'!A80&lt;2, IF('Economics Summary'!Q80&lt;60000, 0.05, ((60000*0.05+('Economics Summary'!Q80-60000)*R80)/'Economics Summary'!Q80)),R80)))</f>
        <v/>
      </c>
      <c r="AC80" s="377" t="str">
        <f t="shared" si="13"/>
        <v/>
      </c>
      <c r="AD80" s="378" t="str">
        <f t="shared" si="17"/>
        <v/>
      </c>
    </row>
    <row r="81" spans="1:30" x14ac:dyDescent="0.2">
      <c r="A81" s="178">
        <v>60</v>
      </c>
      <c r="B81" s="178">
        <f t="shared" si="18"/>
        <v>2072</v>
      </c>
      <c r="C81" s="292" t="str">
        <f>IF(IN_DATA!C65="","",MAX(min_oil_price,MIN(C80+C80*$L$6,max_oil_price)))</f>
        <v/>
      </c>
      <c r="D81" s="293" t="str">
        <f>IF(IN_DATA!C65="","",MAX(min_gas_price,MIN(D80+D80*$L$7,max_gas_price)))</f>
        <v/>
      </c>
      <c r="E81" s="294" t="str">
        <f>IF(IN_DATA!C65="","",MIN(E80+E80*$L$8,16))</f>
        <v/>
      </c>
      <c r="F81" s="110" t="str">
        <f>IF(O81="", "", IN_DATA!C65*365*OCF*FPF)</f>
        <v/>
      </c>
      <c r="G81" s="184" t="str">
        <f>IF(O81="","",IN_DATA!D65*365*FPF*OCF)</f>
        <v/>
      </c>
      <c r="H81" s="235" t="str">
        <f t="shared" si="6"/>
        <v/>
      </c>
      <c r="I81" s="238" t="str">
        <f t="shared" si="7"/>
        <v/>
      </c>
      <c r="J81" s="236" t="str">
        <f t="shared" si="8"/>
        <v/>
      </c>
      <c r="K81" s="239" t="str">
        <f t="shared" si="9"/>
        <v/>
      </c>
      <c r="L81" s="247" t="str">
        <f t="shared" si="14"/>
        <v/>
      </c>
      <c r="M81" s="244" t="str">
        <f>IF(I81=""," ",IF(IN_DATA!R65=1,"Primary Rec.",IF(IN_DATA!R65=2,"Water Flood",IF(IN_DATA!R65=3,"CO2 Flood",""))))</f>
        <v xml:space="preserve"> </v>
      </c>
      <c r="N81" s="109" t="str">
        <f>IF(I81="","",IF(O81=0, 0, OpCost!AD70))</f>
        <v/>
      </c>
      <c r="O81" s="187" t="str">
        <f>IF(OpCost!AE70="", "", OpCost!AE70)</f>
        <v/>
      </c>
      <c r="P81" s="251" t="str">
        <f>IF(F81="","",((IN_DATA!C65+IN_DATA!D65/10)/IN_DATA!P65))</f>
        <v/>
      </c>
      <c r="Q81" s="248" t="str">
        <f>IF(F81="","",SUM($P$21:P81)*365)</f>
        <v/>
      </c>
      <c r="R81" s="249" t="str">
        <f>IF(F81="", "", HLOOKUP(C81,'Reference-Crown Royalties'!$D$2:$AB$49,MATCH(P81,'Reference-Crown Royalties'!$A$2:$A$49,1),TRUE))</f>
        <v/>
      </c>
      <c r="S81" s="276" t="str">
        <f>IF(F81="", "", IF(IN_DATA!R65=3, CO2_Royalty_Factor, IF('Economics Summary'!A81&lt;2, IF('Economics Summary'!Q81&lt;60000, 0.05, ((60000*0.05+('Economics Summary'!Q81-60000)*R81)/'Economics Summary'!Q81)),R81)))</f>
        <v/>
      </c>
      <c r="T81" s="250" t="str">
        <f t="shared" si="10"/>
        <v/>
      </c>
      <c r="U81" s="250" t="str">
        <f t="shared" si="11"/>
        <v/>
      </c>
      <c r="V81" s="344" t="str">
        <f t="shared" si="15"/>
        <v/>
      </c>
      <c r="W81" s="257" t="str">
        <f>IF(F81="","",SUM($V$21:V81))</f>
        <v/>
      </c>
      <c r="X81" s="260" t="str">
        <f xml:space="preserve"> IF(OR(F81="",SUM(IN_DATA!$H$5:'IN_DATA'!H65)=0), "", 1-SUM(IN_DATA!$F$5:'IN_DATA'!F65)/SUM(IN_DATA!$H$5:'IN_DATA'!H65))</f>
        <v/>
      </c>
      <c r="Y81" s="307" t="str">
        <f>IF(OR(F81="",SUM(IN_DATA!$H$5:'IN_DATA'!H65)=0),"",365*(SUM(IN_DATA!$H$5:'IN_DATA'!H65)-SUM(IN_DATA!$F$5:'IN_DATA'!F65))/1000)</f>
        <v/>
      </c>
      <c r="Z81" s="346" t="str">
        <f t="shared" si="12"/>
        <v/>
      </c>
      <c r="AA81" s="370" t="str">
        <f t="shared" si="16"/>
        <v/>
      </c>
      <c r="AB81" s="373" t="str">
        <f>IF(F81="", "", IF(IN_DATA!R65=3, MAX(CO2_Royalty_Factor-Z81/10000,0), IF('Economics Summary'!A81&lt;2, IF('Economics Summary'!Q81&lt;60000, 0.05, ((60000*0.05+('Economics Summary'!Q81-60000)*R81)/'Economics Summary'!Q81)),R81)))</f>
        <v/>
      </c>
      <c r="AC81" s="377" t="str">
        <f t="shared" si="13"/>
        <v/>
      </c>
      <c r="AD81" s="378" t="str">
        <f t="shared" si="17"/>
        <v/>
      </c>
    </row>
    <row r="82" spans="1:30" x14ac:dyDescent="0.2">
      <c r="A82" s="178">
        <v>61</v>
      </c>
      <c r="B82" s="178">
        <f t="shared" si="18"/>
        <v>2073</v>
      </c>
      <c r="C82" s="292" t="str">
        <f>IF(IN_DATA!C66="","",MAX(min_oil_price,MIN(C81+C81*$L$6,max_oil_price)))</f>
        <v/>
      </c>
      <c r="D82" s="293" t="str">
        <f>IF(IN_DATA!C66="","",MAX(min_gas_price,MIN(D81+D81*$L$7,max_gas_price)))</f>
        <v/>
      </c>
      <c r="E82" s="294" t="str">
        <f>IF(IN_DATA!C66="","",MIN(E81+E81*$L$8,16))</f>
        <v/>
      </c>
      <c r="F82" s="110" t="str">
        <f>IF(O82="", "", IN_DATA!C66*365*OCF*FPF)</f>
        <v/>
      </c>
      <c r="G82" s="184" t="str">
        <f>IF(O82="","",IN_DATA!D66*365*FPF*OCF)</f>
        <v/>
      </c>
      <c r="H82" s="235" t="str">
        <f t="shared" si="6"/>
        <v/>
      </c>
      <c r="I82" s="238" t="str">
        <f t="shared" si="7"/>
        <v/>
      </c>
      <c r="J82" s="236" t="str">
        <f t="shared" si="8"/>
        <v/>
      </c>
      <c r="K82" s="239" t="str">
        <f t="shared" si="9"/>
        <v/>
      </c>
      <c r="L82" s="247" t="str">
        <f t="shared" si="14"/>
        <v/>
      </c>
      <c r="M82" s="244" t="str">
        <f>IF(I82=""," ",IF(IN_DATA!R66=1,"Primary Rec.",IF(IN_DATA!R66=2,"Water Flood",IF(IN_DATA!R66=3,"CO2 Flood",""))))</f>
        <v xml:space="preserve"> </v>
      </c>
      <c r="N82" s="109" t="str">
        <f>IF(I82="","",IF(O82=0, 0, OpCost!AD71))</f>
        <v/>
      </c>
      <c r="O82" s="187" t="str">
        <f>IF(OpCost!AE71="", "", OpCost!AE71)</f>
        <v/>
      </c>
      <c r="P82" s="251" t="str">
        <f>IF(F82="","",((IN_DATA!C66+IN_DATA!D66/10)/IN_DATA!P66))</f>
        <v/>
      </c>
      <c r="Q82" s="248" t="str">
        <f>IF(F82="","",SUM($P$21:P82)*365)</f>
        <v/>
      </c>
      <c r="R82" s="249" t="str">
        <f>IF(F82="", "", HLOOKUP(C82,'Reference-Crown Royalties'!$D$2:$AB$49,MATCH(P82,'Reference-Crown Royalties'!$A$2:$A$49,1),TRUE))</f>
        <v/>
      </c>
      <c r="S82" s="276" t="str">
        <f>IF(F82="", "", IF(IN_DATA!R66=3, CO2_Royalty_Factor, IF('Economics Summary'!A82&lt;2, IF('Economics Summary'!Q82&lt;60000, 0.05, ((60000*0.05+('Economics Summary'!Q82-60000)*R82)/'Economics Summary'!Q82)),R82)))</f>
        <v/>
      </c>
      <c r="T82" s="250" t="str">
        <f t="shared" si="10"/>
        <v/>
      </c>
      <c r="U82" s="250" t="str">
        <f t="shared" si="11"/>
        <v/>
      </c>
      <c r="V82" s="344" t="str">
        <f t="shared" si="15"/>
        <v/>
      </c>
      <c r="W82" s="257" t="str">
        <f>IF(F82="","",SUM($V$21:V82))</f>
        <v/>
      </c>
      <c r="X82" s="260" t="str">
        <f xml:space="preserve"> IF(OR(F82="",SUM(IN_DATA!$H$5:'IN_DATA'!H66)=0), "", 1-SUM(IN_DATA!$F$5:'IN_DATA'!F66)/SUM(IN_DATA!$H$5:'IN_DATA'!H66))</f>
        <v/>
      </c>
      <c r="Y82" s="307" t="str">
        <f>IF(OR(F82="",SUM(IN_DATA!$H$5:'IN_DATA'!H66)=0),"",365*(SUM(IN_DATA!$H$5:'IN_DATA'!H66)-SUM(IN_DATA!$F$5:'IN_DATA'!F66))/1000)</f>
        <v/>
      </c>
      <c r="Z82" s="346" t="str">
        <f t="shared" si="12"/>
        <v/>
      </c>
      <c r="AA82" s="370" t="str">
        <f t="shared" si="16"/>
        <v/>
      </c>
      <c r="AB82" s="373" t="str">
        <f>IF(F82="", "", IF(IN_DATA!R66=3, MAX(CO2_Royalty_Factor-Z82/10000,0), IF('Economics Summary'!A82&lt;2, IF('Economics Summary'!Q82&lt;60000, 0.05, ((60000*0.05+('Economics Summary'!Q82-60000)*R82)/'Economics Summary'!Q82)),R82)))</f>
        <v/>
      </c>
      <c r="AC82" s="377" t="str">
        <f t="shared" si="13"/>
        <v/>
      </c>
      <c r="AD82" s="378" t="str">
        <f t="shared" si="17"/>
        <v/>
      </c>
    </row>
    <row r="83" spans="1:30" x14ac:dyDescent="0.2">
      <c r="A83" s="178">
        <v>62</v>
      </c>
      <c r="B83" s="178">
        <f t="shared" si="18"/>
        <v>2074</v>
      </c>
      <c r="C83" s="292" t="str">
        <f>IF(IN_DATA!C67="","",MAX(min_oil_price,MIN(C82+C82*$L$6,max_oil_price)))</f>
        <v/>
      </c>
      <c r="D83" s="293" t="str">
        <f>IF(IN_DATA!C67="","",MAX(min_gas_price,MIN(D82+D82*$L$7,max_gas_price)))</f>
        <v/>
      </c>
      <c r="E83" s="294" t="str">
        <f>IF(IN_DATA!C67="","",MIN(E82+E82*$L$8,16))</f>
        <v/>
      </c>
      <c r="F83" s="110" t="str">
        <f>IF(O83="", "", IN_DATA!C67*365*OCF*FPF)</f>
        <v/>
      </c>
      <c r="G83" s="184" t="str">
        <f>IF(O83="","",IN_DATA!D67*365*FPF*OCF)</f>
        <v/>
      </c>
      <c r="H83" s="235" t="str">
        <f t="shared" si="6"/>
        <v/>
      </c>
      <c r="I83" s="238" t="str">
        <f t="shared" si="7"/>
        <v/>
      </c>
      <c r="J83" s="236" t="str">
        <f t="shared" si="8"/>
        <v/>
      </c>
      <c r="K83" s="239" t="str">
        <f t="shared" si="9"/>
        <v/>
      </c>
      <c r="L83" s="247" t="str">
        <f t="shared" si="14"/>
        <v/>
      </c>
      <c r="M83" s="244" t="str">
        <f>IF(I83=""," ",IF(IN_DATA!R67=1,"Primary Rec.",IF(IN_DATA!R67=2,"Water Flood",IF(IN_DATA!R67=3,"CO2 Flood",""))))</f>
        <v xml:space="preserve"> </v>
      </c>
      <c r="N83" s="109" t="str">
        <f>IF(I83="","",IF(O83=0, 0, OpCost!AD72))</f>
        <v/>
      </c>
      <c r="O83" s="187" t="str">
        <f>IF(OpCost!AE72="", "", OpCost!AE72)</f>
        <v/>
      </c>
      <c r="P83" s="251" t="str">
        <f>IF(F83="","",((IN_DATA!C67+IN_DATA!D67/10)/IN_DATA!P67))</f>
        <v/>
      </c>
      <c r="Q83" s="248" t="str">
        <f>IF(F83="","",SUM($P$21:P83)*365)</f>
        <v/>
      </c>
      <c r="R83" s="249" t="str">
        <f>IF(F83="", "", HLOOKUP(C83,'Reference-Crown Royalties'!$D$2:$AB$49,MATCH(P83,'Reference-Crown Royalties'!$A$2:$A$49,1),TRUE))</f>
        <v/>
      </c>
      <c r="S83" s="276" t="str">
        <f>IF(F83="", "", IF(IN_DATA!R67=3, CO2_Royalty_Factor, IF('Economics Summary'!A83&lt;2, IF('Economics Summary'!Q83&lt;60000, 0.05, ((60000*0.05+('Economics Summary'!Q83-60000)*R83)/'Economics Summary'!Q83)),R83)))</f>
        <v/>
      </c>
      <c r="T83" s="250" t="str">
        <f t="shared" si="10"/>
        <v/>
      </c>
      <c r="U83" s="250" t="str">
        <f t="shared" si="11"/>
        <v/>
      </c>
      <c r="V83" s="344" t="str">
        <f t="shared" si="15"/>
        <v/>
      </c>
      <c r="W83" s="257" t="str">
        <f>IF(F83="","",SUM($V$21:V83))</f>
        <v/>
      </c>
      <c r="X83" s="260" t="str">
        <f xml:space="preserve"> IF(OR(F83="",SUM(IN_DATA!$H$5:'IN_DATA'!H67)=0), "", 1-SUM(IN_DATA!$F$5:'IN_DATA'!F67)/SUM(IN_DATA!$H$5:'IN_DATA'!H67))</f>
        <v/>
      </c>
      <c r="Y83" s="307" t="str">
        <f>IF(OR(F83="",SUM(IN_DATA!$H$5:'IN_DATA'!H67)=0),"",365*(SUM(IN_DATA!$H$5:'IN_DATA'!H67)-SUM(IN_DATA!$F$5:'IN_DATA'!F67))/1000)</f>
        <v/>
      </c>
      <c r="Z83" s="346" t="str">
        <f t="shared" si="12"/>
        <v/>
      </c>
      <c r="AA83" s="370" t="str">
        <f t="shared" si="16"/>
        <v/>
      </c>
      <c r="AB83" s="373" t="str">
        <f>IF(F83="", "", IF(IN_DATA!R67=3, MAX(CO2_Royalty_Factor-Z83/10000,0), IF('Economics Summary'!A83&lt;2, IF('Economics Summary'!Q83&lt;60000, 0.05, ((60000*0.05+('Economics Summary'!Q83-60000)*R83)/'Economics Summary'!Q83)),R83)))</f>
        <v/>
      </c>
      <c r="AC83" s="377" t="str">
        <f t="shared" si="13"/>
        <v/>
      </c>
      <c r="AD83" s="378" t="str">
        <f t="shared" si="17"/>
        <v/>
      </c>
    </row>
    <row r="84" spans="1:30" x14ac:dyDescent="0.2">
      <c r="A84" s="178">
        <v>63</v>
      </c>
      <c r="B84" s="178">
        <f t="shared" si="18"/>
        <v>2075</v>
      </c>
      <c r="C84" s="292" t="str">
        <f>IF(IN_DATA!C68="","",MAX(min_oil_price,MIN(C83+C83*$L$6,max_oil_price)))</f>
        <v/>
      </c>
      <c r="D84" s="293" t="str">
        <f>IF(IN_DATA!C68="","",MAX(min_gas_price,MIN(D83+D83*$L$7,max_gas_price)))</f>
        <v/>
      </c>
      <c r="E84" s="294" t="str">
        <f>IF(IN_DATA!C68="","",MIN(E83+E83*$L$8,16))</f>
        <v/>
      </c>
      <c r="F84" s="110" t="str">
        <f>IF(O84="", "", IN_DATA!C68*365*OCF*FPF)</f>
        <v/>
      </c>
      <c r="G84" s="184" t="str">
        <f>IF(O84="","",IN_DATA!D68*365*FPF*OCF)</f>
        <v/>
      </c>
      <c r="H84" s="235" t="str">
        <f t="shared" si="6"/>
        <v/>
      </c>
      <c r="I84" s="238" t="str">
        <f t="shared" si="7"/>
        <v/>
      </c>
      <c r="J84" s="236" t="str">
        <f t="shared" si="8"/>
        <v/>
      </c>
      <c r="K84" s="239" t="str">
        <f t="shared" si="9"/>
        <v/>
      </c>
      <c r="L84" s="247" t="str">
        <f t="shared" si="14"/>
        <v/>
      </c>
      <c r="M84" s="244" t="str">
        <f>IF(I84=""," ",IF(IN_DATA!R68=1,"Primary Rec.",IF(IN_DATA!R68=2,"Water Flood",IF(IN_DATA!R68=3,"CO2 Flood",""))))</f>
        <v xml:space="preserve"> </v>
      </c>
      <c r="N84" s="109" t="str">
        <f>IF(I84="","",IF(O84=0, 0, OpCost!AD73))</f>
        <v/>
      </c>
      <c r="O84" s="187" t="str">
        <f>IF(OpCost!AE73="", "", OpCost!AE73)</f>
        <v/>
      </c>
      <c r="P84" s="251" t="str">
        <f>IF(F84="","",((IN_DATA!C68+IN_DATA!D68/10)/IN_DATA!P68))</f>
        <v/>
      </c>
      <c r="Q84" s="248" t="str">
        <f>IF(F84="","",SUM($P$21:P84)*365)</f>
        <v/>
      </c>
      <c r="R84" s="249" t="str">
        <f>IF(F84="", "", HLOOKUP(C84,'Reference-Crown Royalties'!$D$2:$AB$49,MATCH(P84,'Reference-Crown Royalties'!$A$2:$A$49,1),TRUE))</f>
        <v/>
      </c>
      <c r="S84" s="276" t="str">
        <f>IF(F84="", "", IF(IN_DATA!R68=3, CO2_Royalty_Factor, IF('Economics Summary'!A84&lt;2, IF('Economics Summary'!Q84&lt;60000, 0.05, ((60000*0.05+('Economics Summary'!Q84-60000)*R84)/'Economics Summary'!Q84)),R84)))</f>
        <v/>
      </c>
      <c r="T84" s="250" t="str">
        <f t="shared" si="10"/>
        <v/>
      </c>
      <c r="U84" s="250" t="str">
        <f t="shared" si="11"/>
        <v/>
      </c>
      <c r="V84" s="344" t="str">
        <f t="shared" si="15"/>
        <v/>
      </c>
      <c r="W84" s="257" t="str">
        <f>IF(F84="","",SUM($V$21:V84))</f>
        <v/>
      </c>
      <c r="X84" s="260" t="str">
        <f xml:space="preserve"> IF(OR(F84="",SUM(IN_DATA!$H$5:'IN_DATA'!H68)=0), "", 1-SUM(IN_DATA!$F$5:'IN_DATA'!F68)/SUM(IN_DATA!$H$5:'IN_DATA'!H68))</f>
        <v/>
      </c>
      <c r="Y84" s="307" t="str">
        <f>IF(OR(F84="",SUM(IN_DATA!$H$5:'IN_DATA'!H68)=0),"",365*(SUM(IN_DATA!$H$5:'IN_DATA'!H68)-SUM(IN_DATA!$F$5:'IN_DATA'!F68))/1000)</f>
        <v/>
      </c>
      <c r="Z84" s="346" t="str">
        <f t="shared" si="12"/>
        <v/>
      </c>
      <c r="AA84" s="370" t="str">
        <f t="shared" si="16"/>
        <v/>
      </c>
      <c r="AB84" s="373" t="str">
        <f>IF(F84="", "", IF(IN_DATA!R68=3, MAX(CO2_Royalty_Factor-Z84/10000,0), IF('Economics Summary'!A84&lt;2, IF('Economics Summary'!Q84&lt;60000, 0.05, ((60000*0.05+('Economics Summary'!Q84-60000)*R84)/'Economics Summary'!Q84)),R84)))</f>
        <v/>
      </c>
      <c r="AC84" s="377" t="str">
        <f t="shared" si="13"/>
        <v/>
      </c>
      <c r="AD84" s="378" t="str">
        <f t="shared" si="17"/>
        <v/>
      </c>
    </row>
    <row r="85" spans="1:30" x14ac:dyDescent="0.2">
      <c r="A85" s="178">
        <v>64</v>
      </c>
      <c r="B85" s="178">
        <f t="shared" si="18"/>
        <v>2076</v>
      </c>
      <c r="C85" s="292" t="str">
        <f>IF(IN_DATA!C69="","",MAX(min_oil_price,MIN(C84+C84*$L$6,max_oil_price)))</f>
        <v/>
      </c>
      <c r="D85" s="293" t="str">
        <f>IF(IN_DATA!C69="","",MAX(min_gas_price,MIN(D84+D84*$L$7,max_gas_price)))</f>
        <v/>
      </c>
      <c r="E85" s="294" t="str">
        <f>IF(IN_DATA!C69="","",MIN(E84+E84*$L$8,16))</f>
        <v/>
      </c>
      <c r="F85" s="110" t="str">
        <f>IF(O85="", "", IN_DATA!C69*365*OCF*FPF)</f>
        <v/>
      </c>
      <c r="G85" s="184" t="str">
        <f>IF(O85="","",IN_DATA!D69*365*FPF*OCF)</f>
        <v/>
      </c>
      <c r="H85" s="235" t="str">
        <f t="shared" si="6"/>
        <v/>
      </c>
      <c r="I85" s="238" t="str">
        <f t="shared" si="7"/>
        <v/>
      </c>
      <c r="J85" s="236" t="str">
        <f t="shared" si="8"/>
        <v/>
      </c>
      <c r="K85" s="239" t="str">
        <f t="shared" si="9"/>
        <v/>
      </c>
      <c r="L85" s="247" t="str">
        <f t="shared" si="14"/>
        <v/>
      </c>
      <c r="M85" s="244" t="str">
        <f>IF(I85=""," ",IF(IN_DATA!R69=1,"Primary Rec.",IF(IN_DATA!R69=2,"Water Flood",IF(IN_DATA!R69=3,"CO2 Flood",""))))</f>
        <v xml:space="preserve"> </v>
      </c>
      <c r="N85" s="109" t="str">
        <f>IF(I85="","",IF(O85=0, 0, OpCost!AD74))</f>
        <v/>
      </c>
      <c r="O85" s="187" t="str">
        <f>IF(OpCost!AE74="", "", OpCost!AE74)</f>
        <v/>
      </c>
      <c r="P85" s="251" t="str">
        <f>IF(F85="","",((IN_DATA!C69+IN_DATA!D69/10)/IN_DATA!P69))</f>
        <v/>
      </c>
      <c r="Q85" s="248" t="str">
        <f>IF(F85="","",SUM($P$21:P85)*365)</f>
        <v/>
      </c>
      <c r="R85" s="249" t="str">
        <f>IF(F85="", "", HLOOKUP(C85,'Reference-Crown Royalties'!$D$2:$AB$49,MATCH(P85,'Reference-Crown Royalties'!$A$2:$A$49,1),TRUE))</f>
        <v/>
      </c>
      <c r="S85" s="276" t="str">
        <f>IF(F85="", "", IF(IN_DATA!R69=3, CO2_Royalty_Factor, IF('Economics Summary'!A85&lt;2, IF('Economics Summary'!Q85&lt;60000, 0.05, ((60000*0.05+('Economics Summary'!Q85-60000)*R85)/'Economics Summary'!Q85)),R85)))</f>
        <v/>
      </c>
      <c r="T85" s="250" t="str">
        <f t="shared" si="10"/>
        <v/>
      </c>
      <c r="U85" s="250" t="str">
        <f t="shared" si="11"/>
        <v/>
      </c>
      <c r="V85" s="344" t="str">
        <f t="shared" ref="V85:V116" si="19">IF(F85="","",IF(T85-L85&lt;0,T85-L85,(T85-L85)*(1-Tax_Rate)))</f>
        <v/>
      </c>
      <c r="W85" s="257" t="str">
        <f>IF(F85="","",SUM($V$21:V85))</f>
        <v/>
      </c>
      <c r="X85" s="260" t="str">
        <f xml:space="preserve"> IF(OR(F85="",SUM(IN_DATA!$H$5:'IN_DATA'!H69)=0), "", 1-SUM(IN_DATA!$F$5:'IN_DATA'!F69)/SUM(IN_DATA!$H$5:'IN_DATA'!H69))</f>
        <v/>
      </c>
      <c r="Y85" s="307" t="str">
        <f>IF(OR(F85="",SUM(IN_DATA!$H$5:'IN_DATA'!H69)=0),"",365*(SUM(IN_DATA!$H$5:'IN_DATA'!H69)-SUM(IN_DATA!$F$5:'IN_DATA'!F69))/1000)</f>
        <v/>
      </c>
      <c r="Z85" s="346" t="str">
        <f t="shared" si="12"/>
        <v/>
      </c>
      <c r="AA85" s="370" t="str">
        <f t="shared" ref="AA85:AA116" si="20">IF(F85="","",IF(T85-L85+(Z85*CO2_Incentive)&lt;0,T85-L85+(Z85*CO2_Incentive),(T85-L85+(Z85*CO2_Incentive))*(1-Tax_Rate)))</f>
        <v/>
      </c>
      <c r="AB85" s="373" t="str">
        <f>IF(F85="", "", IF(IN_DATA!R69=3, MAX(CO2_Royalty_Factor-Z85/10000,0), IF('Economics Summary'!A85&lt;2, IF('Economics Summary'!Q85&lt;60000, 0.05, ((60000*0.05+('Economics Summary'!Q85-60000)*R85)/'Economics Summary'!Q85)),R85)))</f>
        <v/>
      </c>
      <c r="AC85" s="377" t="str">
        <f t="shared" si="13"/>
        <v/>
      </c>
      <c r="AD85" s="378" t="str">
        <f t="shared" ref="AD85:AD116" si="21">IF(F85="","",IF(AC85-L85&lt;0,AC85-L85,(AC85-L85)*(1-Tax_Rate)))</f>
        <v/>
      </c>
    </row>
    <row r="86" spans="1:30" x14ac:dyDescent="0.2">
      <c r="A86" s="178">
        <v>65</v>
      </c>
      <c r="B86" s="178">
        <f t="shared" si="18"/>
        <v>2077</v>
      </c>
      <c r="C86" s="292" t="str">
        <f>IF(IN_DATA!C70="","",MAX(min_oil_price,MIN(C85+C85*$L$6,max_oil_price)))</f>
        <v/>
      </c>
      <c r="D86" s="293" t="str">
        <f>IF(IN_DATA!C70="","",MAX(min_gas_price,MIN(D85+D85*$L$7,max_gas_price)))</f>
        <v/>
      </c>
      <c r="E86" s="294" t="str">
        <f>IF(IN_DATA!C70="","",MIN(E85+E85*$L$8,16))</f>
        <v/>
      </c>
      <c r="F86" s="110" t="str">
        <f>IF(O86="", "", IN_DATA!C70*365*OCF*FPF)</f>
        <v/>
      </c>
      <c r="G86" s="184" t="str">
        <f>IF(O86="","",IN_DATA!D70*365*FPF*OCF)</f>
        <v/>
      </c>
      <c r="H86" s="235" t="str">
        <f t="shared" ref="H86:H149" si="22">IF(O86="","",G86*0.065)</f>
        <v/>
      </c>
      <c r="I86" s="238" t="str">
        <f t="shared" ref="I86:I149" si="23">IF(F86="","",C86*F86/1000)</f>
        <v/>
      </c>
      <c r="J86" s="236" t="str">
        <f t="shared" ref="J86:J149" si="24">IF(G86="","",D86*G86/1000)</f>
        <v/>
      </c>
      <c r="K86" s="239" t="str">
        <f t="shared" ref="K86:K149" si="25">IF(H86="","",E86*H86/1000)</f>
        <v/>
      </c>
      <c r="L86" s="247" t="str">
        <f t="shared" si="14"/>
        <v/>
      </c>
      <c r="M86" s="244" t="str">
        <f>IF(I86=""," ",IF(IN_DATA!R70=1,"Primary Rec.",IF(IN_DATA!R70=2,"Water Flood",IF(IN_DATA!R70=3,"CO2 Flood",""))))</f>
        <v xml:space="preserve"> </v>
      </c>
      <c r="N86" s="109" t="str">
        <f>IF(I86="","",IF(O86=0, 0, OpCost!AD75))</f>
        <v/>
      </c>
      <c r="O86" s="187" t="str">
        <f>IF(OpCost!AE75="", "", OpCost!AE75)</f>
        <v/>
      </c>
      <c r="P86" s="251" t="str">
        <f>IF(F86="","",((IN_DATA!C70+IN_DATA!D70/10)/IN_DATA!P70))</f>
        <v/>
      </c>
      <c r="Q86" s="248" t="str">
        <f>IF(F86="","",SUM($P$21:P86)*365)</f>
        <v/>
      </c>
      <c r="R86" s="249" t="str">
        <f>IF(F86="", "", HLOOKUP(C86,'Reference-Crown Royalties'!$D$2:$AB$49,MATCH(P86,'Reference-Crown Royalties'!$A$2:$A$49,1),TRUE))</f>
        <v/>
      </c>
      <c r="S86" s="276" t="str">
        <f>IF(F86="", "", IF(IN_DATA!R70=3, CO2_Royalty_Factor, IF('Economics Summary'!A86&lt;2, IF('Economics Summary'!Q86&lt;60000, 0.05, ((60000*0.05+('Economics Summary'!Q86-60000)*R86)/'Economics Summary'!Q86)),R86)))</f>
        <v/>
      </c>
      <c r="T86" s="250" t="str">
        <f t="shared" ref="T86:T149" si="26">IF(F86="","",(I86+J86+K86)*$B$6*(1-S86)-N86)</f>
        <v/>
      </c>
      <c r="U86" s="250" t="str">
        <f t="shared" ref="U86:U149" si="27">IF(F86="","",T86/(1+$A$6)^$A86)</f>
        <v/>
      </c>
      <c r="V86" s="344" t="str">
        <f t="shared" si="19"/>
        <v/>
      </c>
      <c r="W86" s="257" t="str">
        <f>IF(F86="","",SUM($V$21:V86))</f>
        <v/>
      </c>
      <c r="X86" s="260" t="str">
        <f xml:space="preserve"> IF(OR(F86="",SUM(IN_DATA!$H$5:'IN_DATA'!H70)=0), "", 1-SUM(IN_DATA!$F$5:'IN_DATA'!F70)/SUM(IN_DATA!$H$5:'IN_DATA'!H70))</f>
        <v/>
      </c>
      <c r="Y86" s="307" t="str">
        <f>IF(OR(F86="",SUM(IN_DATA!$H$5:'IN_DATA'!H70)=0),"",365*(SUM(IN_DATA!$H$5:'IN_DATA'!H70)-SUM(IN_DATA!$F$5:'IN_DATA'!F70))/1000)</f>
        <v/>
      </c>
      <c r="Z86" s="346" t="str">
        <f t="shared" ref="Z86:Z149" si="28">IF(Y86="","",Y86/17.4)</f>
        <v/>
      </c>
      <c r="AA86" s="370" t="str">
        <f t="shared" si="20"/>
        <v/>
      </c>
      <c r="AB86" s="373" t="str">
        <f>IF(F86="", "", IF(IN_DATA!R70=3, MAX(CO2_Royalty_Factor-Z86/10000,0), IF('Economics Summary'!A86&lt;2, IF('Economics Summary'!Q86&lt;60000, 0.05, ((60000*0.05+('Economics Summary'!Q86-60000)*R86)/'Economics Summary'!Q86)),R86)))</f>
        <v/>
      </c>
      <c r="AC86" s="377" t="str">
        <f t="shared" ref="AC86:AC149" si="29">IF(F86="","",(I86+J86+K86)*$B$6*(1-AB86)-N86)</f>
        <v/>
      </c>
      <c r="AD86" s="378" t="str">
        <f t="shared" si="21"/>
        <v/>
      </c>
    </row>
    <row r="87" spans="1:30" x14ac:dyDescent="0.2">
      <c r="A87" s="178">
        <v>66</v>
      </c>
      <c r="B87" s="178">
        <f t="shared" si="18"/>
        <v>2078</v>
      </c>
      <c r="C87" s="292" t="str">
        <f>IF(IN_DATA!C71="","",MAX(min_oil_price,MIN(C86+C86*$L$6,max_oil_price)))</f>
        <v/>
      </c>
      <c r="D87" s="293" t="str">
        <f>IF(IN_DATA!C71="","",MAX(min_gas_price,MIN(D86+D86*$L$7,max_gas_price)))</f>
        <v/>
      </c>
      <c r="E87" s="294" t="str">
        <f>IF(IN_DATA!C71="","",MIN(E86+E86*$L$8,16))</f>
        <v/>
      </c>
      <c r="F87" s="110" t="str">
        <f>IF(O87="", "", IN_DATA!C71*365*OCF*FPF)</f>
        <v/>
      </c>
      <c r="G87" s="184" t="str">
        <f>IF(O87="","",IN_DATA!D71*365*FPF*OCF)</f>
        <v/>
      </c>
      <c r="H87" s="235" t="str">
        <f t="shared" si="22"/>
        <v/>
      </c>
      <c r="I87" s="238" t="str">
        <f t="shared" si="23"/>
        <v/>
      </c>
      <c r="J87" s="236" t="str">
        <f t="shared" si="24"/>
        <v/>
      </c>
      <c r="K87" s="239" t="str">
        <f t="shared" si="25"/>
        <v/>
      </c>
      <c r="L87" s="247" t="str">
        <f t="shared" ref="L87:L150" si="30">IF(F87="","",0)</f>
        <v/>
      </c>
      <c r="M87" s="244" t="str">
        <f>IF(I87=""," ",IF(IN_DATA!R71=1,"Primary Rec.",IF(IN_DATA!R71=2,"Water Flood",IF(IN_DATA!R71=3,"CO2 Flood",""))))</f>
        <v xml:space="preserve"> </v>
      </c>
      <c r="N87" s="109" t="str">
        <f>IF(I87="","",IF(O87=0, 0, OpCost!AD76))</f>
        <v/>
      </c>
      <c r="O87" s="187" t="str">
        <f>IF(OpCost!AE76="", "", OpCost!AE76)</f>
        <v/>
      </c>
      <c r="P87" s="251" t="str">
        <f>IF(F87="","",((IN_DATA!C71+IN_DATA!D71/10)/IN_DATA!P71))</f>
        <v/>
      </c>
      <c r="Q87" s="248" t="str">
        <f>IF(F87="","",SUM($P$21:P87)*365)</f>
        <v/>
      </c>
      <c r="R87" s="249" t="str">
        <f>IF(F87="", "", HLOOKUP(C87,'Reference-Crown Royalties'!$D$2:$AB$49,MATCH(P87,'Reference-Crown Royalties'!$A$2:$A$49,1),TRUE))</f>
        <v/>
      </c>
      <c r="S87" s="276" t="str">
        <f>IF(F87="", "", IF(IN_DATA!R71=3, CO2_Royalty_Factor, IF('Economics Summary'!A87&lt;2, IF('Economics Summary'!Q87&lt;60000, 0.05, ((60000*0.05+('Economics Summary'!Q87-60000)*R87)/'Economics Summary'!Q87)),R87)))</f>
        <v/>
      </c>
      <c r="T87" s="250" t="str">
        <f t="shared" si="26"/>
        <v/>
      </c>
      <c r="U87" s="250" t="str">
        <f t="shared" si="27"/>
        <v/>
      </c>
      <c r="V87" s="344" t="str">
        <f t="shared" si="19"/>
        <v/>
      </c>
      <c r="W87" s="257" t="str">
        <f>IF(F87="","",SUM($V$21:V87))</f>
        <v/>
      </c>
      <c r="X87" s="260" t="str">
        <f xml:space="preserve"> IF(OR(F87="",SUM(IN_DATA!$H$5:'IN_DATA'!H71)=0), "", 1-SUM(IN_DATA!$F$5:'IN_DATA'!F71)/SUM(IN_DATA!$H$5:'IN_DATA'!H71))</f>
        <v/>
      </c>
      <c r="Y87" s="307" t="str">
        <f>IF(OR(F87="",SUM(IN_DATA!$H$5:'IN_DATA'!H71)=0),"",365*(SUM(IN_DATA!$H$5:'IN_DATA'!H71)-SUM(IN_DATA!$F$5:'IN_DATA'!F71))/1000)</f>
        <v/>
      </c>
      <c r="Z87" s="346" t="str">
        <f t="shared" si="28"/>
        <v/>
      </c>
      <c r="AA87" s="370" t="str">
        <f t="shared" si="20"/>
        <v/>
      </c>
      <c r="AB87" s="373" t="str">
        <f>IF(F87="", "", IF(IN_DATA!R71=3, MAX(CO2_Royalty_Factor-Z87/10000,0), IF('Economics Summary'!A87&lt;2, IF('Economics Summary'!Q87&lt;60000, 0.05, ((60000*0.05+('Economics Summary'!Q87-60000)*R87)/'Economics Summary'!Q87)),R87)))</f>
        <v/>
      </c>
      <c r="AC87" s="377" t="str">
        <f t="shared" si="29"/>
        <v/>
      </c>
      <c r="AD87" s="378" t="str">
        <f t="shared" si="21"/>
        <v/>
      </c>
    </row>
    <row r="88" spans="1:30" x14ac:dyDescent="0.2">
      <c r="A88" s="178">
        <v>67</v>
      </c>
      <c r="B88" s="178">
        <f t="shared" si="18"/>
        <v>2079</v>
      </c>
      <c r="C88" s="292" t="str">
        <f>IF(IN_DATA!C72="","",MAX(min_oil_price,MIN(C87+C87*$L$6,max_oil_price)))</f>
        <v/>
      </c>
      <c r="D88" s="293" t="str">
        <f>IF(IN_DATA!C72="","",MAX(min_gas_price,MIN(D87+D87*$L$7,max_gas_price)))</f>
        <v/>
      </c>
      <c r="E88" s="294" t="str">
        <f>IF(IN_DATA!C72="","",MIN(E87+E87*$L$8,16))</f>
        <v/>
      </c>
      <c r="F88" s="110" t="str">
        <f>IF(O88="", "", IN_DATA!C72*365*OCF*FPF)</f>
        <v/>
      </c>
      <c r="G88" s="184" t="str">
        <f>IF(O88="","",IN_DATA!D72*365*FPF*OCF)</f>
        <v/>
      </c>
      <c r="H88" s="235" t="str">
        <f t="shared" si="22"/>
        <v/>
      </c>
      <c r="I88" s="238" t="str">
        <f t="shared" si="23"/>
        <v/>
      </c>
      <c r="J88" s="236" t="str">
        <f t="shared" si="24"/>
        <v/>
      </c>
      <c r="K88" s="239" t="str">
        <f t="shared" si="25"/>
        <v/>
      </c>
      <c r="L88" s="247" t="str">
        <f t="shared" si="30"/>
        <v/>
      </c>
      <c r="M88" s="244" t="str">
        <f>IF(I88=""," ",IF(IN_DATA!R72=1,"Primary Rec.",IF(IN_DATA!R72=2,"Water Flood",IF(IN_DATA!R72=3,"CO2 Flood",""))))</f>
        <v xml:space="preserve"> </v>
      </c>
      <c r="N88" s="109" t="str">
        <f>IF(I88="","",IF(O88=0, 0, OpCost!AD77))</f>
        <v/>
      </c>
      <c r="O88" s="187" t="str">
        <f>IF(OpCost!AE77="", "", OpCost!AE77)</f>
        <v/>
      </c>
      <c r="P88" s="251" t="str">
        <f>IF(F88="","",((IN_DATA!C72+IN_DATA!D72/10)/IN_DATA!P72))</f>
        <v/>
      </c>
      <c r="Q88" s="248" t="str">
        <f>IF(F88="","",SUM($P$21:P88)*365)</f>
        <v/>
      </c>
      <c r="R88" s="249" t="str">
        <f>IF(F88="", "", HLOOKUP(C88,'Reference-Crown Royalties'!$D$2:$AB$49,MATCH(P88,'Reference-Crown Royalties'!$A$2:$A$49,1),TRUE))</f>
        <v/>
      </c>
      <c r="S88" s="276" t="str">
        <f>IF(F88="", "", IF(IN_DATA!R72=3, CO2_Royalty_Factor, IF('Economics Summary'!A88&lt;2, IF('Economics Summary'!Q88&lt;60000, 0.05, ((60000*0.05+('Economics Summary'!Q88-60000)*R88)/'Economics Summary'!Q88)),R88)))</f>
        <v/>
      </c>
      <c r="T88" s="250" t="str">
        <f t="shared" si="26"/>
        <v/>
      </c>
      <c r="U88" s="250" t="str">
        <f t="shared" si="27"/>
        <v/>
      </c>
      <c r="V88" s="344" t="str">
        <f t="shared" si="19"/>
        <v/>
      </c>
      <c r="W88" s="257" t="str">
        <f>IF(F88="","",SUM($V$21:V88))</f>
        <v/>
      </c>
      <c r="X88" s="260" t="str">
        <f xml:space="preserve"> IF(OR(F88="",SUM(IN_DATA!$H$5:'IN_DATA'!H72)=0), "", 1-SUM(IN_DATA!$F$5:'IN_DATA'!F72)/SUM(IN_DATA!$H$5:'IN_DATA'!H72))</f>
        <v/>
      </c>
      <c r="Y88" s="307" t="str">
        <f>IF(OR(F88="",SUM(IN_DATA!$H$5:'IN_DATA'!H72)=0),"",365*(SUM(IN_DATA!$H$5:'IN_DATA'!H72)-SUM(IN_DATA!$F$5:'IN_DATA'!F72))/1000)</f>
        <v/>
      </c>
      <c r="Z88" s="346" t="str">
        <f t="shared" si="28"/>
        <v/>
      </c>
      <c r="AA88" s="370" t="str">
        <f t="shared" si="20"/>
        <v/>
      </c>
      <c r="AB88" s="373" t="str">
        <f>IF(F88="", "", IF(IN_DATA!R72=3, MAX(CO2_Royalty_Factor-Z88/10000,0), IF('Economics Summary'!A88&lt;2, IF('Economics Summary'!Q88&lt;60000, 0.05, ((60000*0.05+('Economics Summary'!Q88-60000)*R88)/'Economics Summary'!Q88)),R88)))</f>
        <v/>
      </c>
      <c r="AC88" s="377" t="str">
        <f t="shared" si="29"/>
        <v/>
      </c>
      <c r="AD88" s="378" t="str">
        <f t="shared" si="21"/>
        <v/>
      </c>
    </row>
    <row r="89" spans="1:30" x14ac:dyDescent="0.2">
      <c r="A89" s="178">
        <v>68</v>
      </c>
      <c r="B89" s="178">
        <f t="shared" si="18"/>
        <v>2080</v>
      </c>
      <c r="C89" s="292" t="str">
        <f>IF(IN_DATA!C73="","",MAX(min_oil_price,MIN(C88+C88*$L$6,max_oil_price)))</f>
        <v/>
      </c>
      <c r="D89" s="293" t="str">
        <f>IF(IN_DATA!C73="","",MAX(min_gas_price,MIN(D88+D88*$L$7,max_gas_price)))</f>
        <v/>
      </c>
      <c r="E89" s="294" t="str">
        <f>IF(IN_DATA!C73="","",MIN(E88+E88*$L$8,16))</f>
        <v/>
      </c>
      <c r="F89" s="110" t="str">
        <f>IF(O89="", "", IN_DATA!C73*365*OCF*FPF)</f>
        <v/>
      </c>
      <c r="G89" s="184" t="str">
        <f>IF(O89="","",IN_DATA!D73*365*FPF*OCF)</f>
        <v/>
      </c>
      <c r="H89" s="235" t="str">
        <f t="shared" si="22"/>
        <v/>
      </c>
      <c r="I89" s="238" t="str">
        <f t="shared" si="23"/>
        <v/>
      </c>
      <c r="J89" s="236" t="str">
        <f t="shared" si="24"/>
        <v/>
      </c>
      <c r="K89" s="239" t="str">
        <f t="shared" si="25"/>
        <v/>
      </c>
      <c r="L89" s="247" t="str">
        <f t="shared" si="30"/>
        <v/>
      </c>
      <c r="M89" s="244" t="str">
        <f>IF(I89=""," ",IF(IN_DATA!R73=1,"Primary Rec.",IF(IN_DATA!R73=2,"Water Flood",IF(IN_DATA!R73=3,"CO2 Flood",""))))</f>
        <v xml:space="preserve"> </v>
      </c>
      <c r="N89" s="109" t="str">
        <f>IF(I89="","",IF(O89=0, 0, OpCost!AD78))</f>
        <v/>
      </c>
      <c r="O89" s="187" t="str">
        <f>IF(OpCost!AE78="", "", OpCost!AE78)</f>
        <v/>
      </c>
      <c r="P89" s="251" t="str">
        <f>IF(F89="","",((IN_DATA!C73+IN_DATA!D73/10)/IN_DATA!P73))</f>
        <v/>
      </c>
      <c r="Q89" s="248" t="str">
        <f>IF(F89="","",SUM($P$21:P89)*365)</f>
        <v/>
      </c>
      <c r="R89" s="249" t="str">
        <f>IF(F89="", "", HLOOKUP(C89,'Reference-Crown Royalties'!$D$2:$AB$49,MATCH(P89,'Reference-Crown Royalties'!$A$2:$A$49,1),TRUE))</f>
        <v/>
      </c>
      <c r="S89" s="276" t="str">
        <f>IF(F89="", "", IF(IN_DATA!R73=3, CO2_Royalty_Factor, IF('Economics Summary'!A89&lt;2, IF('Economics Summary'!Q89&lt;60000, 0.05, ((60000*0.05+('Economics Summary'!Q89-60000)*R89)/'Economics Summary'!Q89)),R89)))</f>
        <v/>
      </c>
      <c r="T89" s="250" t="str">
        <f t="shared" si="26"/>
        <v/>
      </c>
      <c r="U89" s="250" t="str">
        <f t="shared" si="27"/>
        <v/>
      </c>
      <c r="V89" s="344" t="str">
        <f t="shared" si="19"/>
        <v/>
      </c>
      <c r="W89" s="257" t="str">
        <f>IF(F89="","",SUM($V$21:V89))</f>
        <v/>
      </c>
      <c r="X89" s="260" t="str">
        <f xml:space="preserve"> IF(OR(F89="",SUM(IN_DATA!$H$5:'IN_DATA'!H73)=0), "", 1-SUM(IN_DATA!$F$5:'IN_DATA'!F73)/SUM(IN_DATA!$H$5:'IN_DATA'!H73))</f>
        <v/>
      </c>
      <c r="Y89" s="307" t="str">
        <f>IF(OR(F89="",SUM(IN_DATA!$H$5:'IN_DATA'!H73)=0),"",365*(SUM(IN_DATA!$H$5:'IN_DATA'!H73)-SUM(IN_DATA!$F$5:'IN_DATA'!F73))/1000)</f>
        <v/>
      </c>
      <c r="Z89" s="346" t="str">
        <f t="shared" si="28"/>
        <v/>
      </c>
      <c r="AA89" s="370" t="str">
        <f t="shared" si="20"/>
        <v/>
      </c>
      <c r="AB89" s="373" t="str">
        <f>IF(F89="", "", IF(IN_DATA!R73=3, MAX(CO2_Royalty_Factor-Z89/10000,0), IF('Economics Summary'!A89&lt;2, IF('Economics Summary'!Q89&lt;60000, 0.05, ((60000*0.05+('Economics Summary'!Q89-60000)*R89)/'Economics Summary'!Q89)),R89)))</f>
        <v/>
      </c>
      <c r="AC89" s="377" t="str">
        <f t="shared" si="29"/>
        <v/>
      </c>
      <c r="AD89" s="378" t="str">
        <f t="shared" si="21"/>
        <v/>
      </c>
    </row>
    <row r="90" spans="1:30" x14ac:dyDescent="0.2">
      <c r="A90" s="178">
        <v>69</v>
      </c>
      <c r="B90" s="178">
        <f t="shared" si="18"/>
        <v>2081</v>
      </c>
      <c r="C90" s="292" t="str">
        <f>IF(IN_DATA!C74="","",MAX(min_oil_price,MIN(C89+C89*$L$6,max_oil_price)))</f>
        <v/>
      </c>
      <c r="D90" s="293" t="str">
        <f>IF(IN_DATA!C74="","",MAX(min_gas_price,MIN(D89+D89*$L$7,max_gas_price)))</f>
        <v/>
      </c>
      <c r="E90" s="294" t="str">
        <f>IF(IN_DATA!C74="","",MIN(E89+E89*$L$8,16))</f>
        <v/>
      </c>
      <c r="F90" s="110" t="str">
        <f>IF(O90="", "", IN_DATA!C74*365*OCF*FPF)</f>
        <v/>
      </c>
      <c r="G90" s="184" t="str">
        <f>IF(O90="","",IN_DATA!D74*365*FPF*OCF)</f>
        <v/>
      </c>
      <c r="H90" s="235" t="str">
        <f t="shared" si="22"/>
        <v/>
      </c>
      <c r="I90" s="238" t="str">
        <f t="shared" si="23"/>
        <v/>
      </c>
      <c r="J90" s="236" t="str">
        <f t="shared" si="24"/>
        <v/>
      </c>
      <c r="K90" s="239" t="str">
        <f t="shared" si="25"/>
        <v/>
      </c>
      <c r="L90" s="247" t="str">
        <f t="shared" si="30"/>
        <v/>
      </c>
      <c r="M90" s="244" t="str">
        <f>IF(I90=""," ",IF(IN_DATA!R74=1,"Primary Rec.",IF(IN_DATA!R74=2,"Water Flood",IF(IN_DATA!R74=3,"CO2 Flood",""))))</f>
        <v xml:space="preserve"> </v>
      </c>
      <c r="N90" s="109" t="str">
        <f>IF(I90="","",IF(O90=0, 0, OpCost!AD79))</f>
        <v/>
      </c>
      <c r="O90" s="187" t="str">
        <f>IF(OpCost!AE79="", "", OpCost!AE79)</f>
        <v/>
      </c>
      <c r="P90" s="251" t="str">
        <f>IF(F90="","",((IN_DATA!C74+IN_DATA!D74/10)/IN_DATA!P74))</f>
        <v/>
      </c>
      <c r="Q90" s="248" t="str">
        <f>IF(F90="","",SUM($P$21:P90)*365)</f>
        <v/>
      </c>
      <c r="R90" s="249" t="str">
        <f>IF(F90="", "", HLOOKUP(C90,'Reference-Crown Royalties'!$D$2:$AB$49,MATCH(P90,'Reference-Crown Royalties'!$A$2:$A$49,1),TRUE))</f>
        <v/>
      </c>
      <c r="S90" s="276" t="str">
        <f>IF(F90="", "", IF(IN_DATA!R74=3, CO2_Royalty_Factor, IF('Economics Summary'!A90&lt;2, IF('Economics Summary'!Q90&lt;60000, 0.05, ((60000*0.05+('Economics Summary'!Q90-60000)*R90)/'Economics Summary'!Q90)),R90)))</f>
        <v/>
      </c>
      <c r="T90" s="250" t="str">
        <f t="shared" si="26"/>
        <v/>
      </c>
      <c r="U90" s="250" t="str">
        <f t="shared" si="27"/>
        <v/>
      </c>
      <c r="V90" s="344" t="str">
        <f t="shared" si="19"/>
        <v/>
      </c>
      <c r="W90" s="257" t="str">
        <f>IF(F90="","",SUM($V$21:V90))</f>
        <v/>
      </c>
      <c r="X90" s="260" t="str">
        <f xml:space="preserve"> IF(OR(F90="",SUM(IN_DATA!$H$5:'IN_DATA'!H74)=0), "", 1-SUM(IN_DATA!$F$5:'IN_DATA'!F74)/SUM(IN_DATA!$H$5:'IN_DATA'!H74))</f>
        <v/>
      </c>
      <c r="Y90" s="307" t="str">
        <f>IF(OR(F90="",SUM(IN_DATA!$H$5:'IN_DATA'!H74)=0),"",365*(SUM(IN_DATA!$H$5:'IN_DATA'!H74)-SUM(IN_DATA!$F$5:'IN_DATA'!F74))/1000)</f>
        <v/>
      </c>
      <c r="Z90" s="346" t="str">
        <f t="shared" si="28"/>
        <v/>
      </c>
      <c r="AA90" s="370" t="str">
        <f t="shared" si="20"/>
        <v/>
      </c>
      <c r="AB90" s="373" t="str">
        <f>IF(F90="", "", IF(IN_DATA!R74=3, MAX(CO2_Royalty_Factor-Z90/10000,0), IF('Economics Summary'!A90&lt;2, IF('Economics Summary'!Q90&lt;60000, 0.05, ((60000*0.05+('Economics Summary'!Q90-60000)*R90)/'Economics Summary'!Q90)),R90)))</f>
        <v/>
      </c>
      <c r="AC90" s="377" t="str">
        <f t="shared" si="29"/>
        <v/>
      </c>
      <c r="AD90" s="378" t="str">
        <f t="shared" si="21"/>
        <v/>
      </c>
    </row>
    <row r="91" spans="1:30" x14ac:dyDescent="0.2">
      <c r="A91" s="178">
        <v>70</v>
      </c>
      <c r="B91" s="178">
        <f t="shared" si="18"/>
        <v>2082</v>
      </c>
      <c r="C91" s="292" t="str">
        <f>IF(IN_DATA!C75="","",MAX(min_oil_price,MIN(C90+C90*$L$6,max_oil_price)))</f>
        <v/>
      </c>
      <c r="D91" s="293" t="str">
        <f>IF(IN_DATA!C75="","",MAX(min_gas_price,MIN(D90+D90*$L$7,max_gas_price)))</f>
        <v/>
      </c>
      <c r="E91" s="294" t="str">
        <f>IF(IN_DATA!C75="","",MIN(E90+E90*$L$8,16))</f>
        <v/>
      </c>
      <c r="F91" s="110" t="str">
        <f>IF(O91="", "", IN_DATA!C75*365*OCF*FPF)</f>
        <v/>
      </c>
      <c r="G91" s="184" t="str">
        <f>IF(O91="","",IN_DATA!D75*365*FPF*OCF)</f>
        <v/>
      </c>
      <c r="H91" s="235" t="str">
        <f t="shared" si="22"/>
        <v/>
      </c>
      <c r="I91" s="238" t="str">
        <f t="shared" si="23"/>
        <v/>
      </c>
      <c r="J91" s="236" t="str">
        <f t="shared" si="24"/>
        <v/>
      </c>
      <c r="K91" s="239" t="str">
        <f t="shared" si="25"/>
        <v/>
      </c>
      <c r="L91" s="247" t="str">
        <f t="shared" si="30"/>
        <v/>
      </c>
      <c r="M91" s="244" t="str">
        <f>IF(I91=""," ",IF(IN_DATA!R75=1,"Primary Rec.",IF(IN_DATA!R75=2,"Water Flood",IF(IN_DATA!R75=3,"CO2 Flood",""))))</f>
        <v xml:space="preserve"> </v>
      </c>
      <c r="N91" s="109" t="str">
        <f>IF(I91="","",IF(O91=0, 0, OpCost!AD80))</f>
        <v/>
      </c>
      <c r="O91" s="187" t="str">
        <f>IF(OpCost!AE80="", "", OpCost!AE80)</f>
        <v/>
      </c>
      <c r="P91" s="251" t="str">
        <f>IF(F91="","",((IN_DATA!C75+IN_DATA!D75/10)/IN_DATA!P75))</f>
        <v/>
      </c>
      <c r="Q91" s="248" t="str">
        <f>IF(F91="","",SUM($P$21:P91)*365)</f>
        <v/>
      </c>
      <c r="R91" s="249" t="str">
        <f>IF(F91="", "", HLOOKUP(C91,'Reference-Crown Royalties'!$D$2:$AB$49,MATCH(P91,'Reference-Crown Royalties'!$A$2:$A$49,1),TRUE))</f>
        <v/>
      </c>
      <c r="S91" s="276" t="str">
        <f>IF(F91="", "", IF(IN_DATA!R75=3, CO2_Royalty_Factor, IF('Economics Summary'!A91&lt;2, IF('Economics Summary'!Q91&lt;60000, 0.05, ((60000*0.05+('Economics Summary'!Q91-60000)*R91)/'Economics Summary'!Q91)),R91)))</f>
        <v/>
      </c>
      <c r="T91" s="250" t="str">
        <f t="shared" si="26"/>
        <v/>
      </c>
      <c r="U91" s="250" t="str">
        <f t="shared" si="27"/>
        <v/>
      </c>
      <c r="V91" s="344" t="str">
        <f t="shared" si="19"/>
        <v/>
      </c>
      <c r="W91" s="257" t="str">
        <f>IF(F91="","",SUM($V$21:V91))</f>
        <v/>
      </c>
      <c r="X91" s="260" t="str">
        <f xml:space="preserve"> IF(OR(F91="",SUM(IN_DATA!$H$5:'IN_DATA'!H75)=0), "", 1-SUM(IN_DATA!$F$5:'IN_DATA'!F75)/SUM(IN_DATA!$H$5:'IN_DATA'!H75))</f>
        <v/>
      </c>
      <c r="Y91" s="307" t="str">
        <f>IF(OR(F91="",SUM(IN_DATA!$H$5:'IN_DATA'!H75)=0),"",365*(SUM(IN_DATA!$H$5:'IN_DATA'!H75)-SUM(IN_DATA!$F$5:'IN_DATA'!F75))/1000)</f>
        <v/>
      </c>
      <c r="Z91" s="346" t="str">
        <f t="shared" si="28"/>
        <v/>
      </c>
      <c r="AA91" s="370" t="str">
        <f t="shared" si="20"/>
        <v/>
      </c>
      <c r="AB91" s="373" t="str">
        <f>IF(F91="", "", IF(IN_DATA!R75=3, MAX(CO2_Royalty_Factor-Z91/10000,0), IF('Economics Summary'!A91&lt;2, IF('Economics Summary'!Q91&lt;60000, 0.05, ((60000*0.05+('Economics Summary'!Q91-60000)*R91)/'Economics Summary'!Q91)),R91)))</f>
        <v/>
      </c>
      <c r="AC91" s="377" t="str">
        <f t="shared" si="29"/>
        <v/>
      </c>
      <c r="AD91" s="378" t="str">
        <f t="shared" si="21"/>
        <v/>
      </c>
    </row>
    <row r="92" spans="1:30" x14ac:dyDescent="0.2">
      <c r="A92" s="178">
        <v>71</v>
      </c>
      <c r="B92" s="178">
        <f t="shared" si="18"/>
        <v>2083</v>
      </c>
      <c r="C92" s="292" t="str">
        <f>IF(IN_DATA!C76="","",MAX(min_oil_price,MIN(C91+C91*$L$6,max_oil_price)))</f>
        <v/>
      </c>
      <c r="D92" s="293" t="str">
        <f>IF(IN_DATA!C76="","",MAX(min_gas_price,MIN(D91+D91*$L$7,max_gas_price)))</f>
        <v/>
      </c>
      <c r="E92" s="294" t="str">
        <f>IF(IN_DATA!C76="","",MIN(E91+E91*$L$8,16))</f>
        <v/>
      </c>
      <c r="F92" s="110" t="str">
        <f>IF(O92="", "", IN_DATA!C76*365*OCF*FPF)</f>
        <v/>
      </c>
      <c r="G92" s="184" t="str">
        <f>IF(O92="","",IN_DATA!D76*365*FPF*OCF)</f>
        <v/>
      </c>
      <c r="H92" s="235" t="str">
        <f t="shared" si="22"/>
        <v/>
      </c>
      <c r="I92" s="238" t="str">
        <f t="shared" si="23"/>
        <v/>
      </c>
      <c r="J92" s="236" t="str">
        <f t="shared" si="24"/>
        <v/>
      </c>
      <c r="K92" s="239" t="str">
        <f t="shared" si="25"/>
        <v/>
      </c>
      <c r="L92" s="247" t="str">
        <f t="shared" si="30"/>
        <v/>
      </c>
      <c r="M92" s="244" t="str">
        <f>IF(I92=""," ",IF(IN_DATA!R76=1,"Primary Rec.",IF(IN_DATA!R76=2,"Water Flood",IF(IN_DATA!R76=3,"CO2 Flood",""))))</f>
        <v xml:space="preserve"> </v>
      </c>
      <c r="N92" s="109" t="str">
        <f>IF(I92="","",IF(O92=0, 0, OpCost!AD81))</f>
        <v/>
      </c>
      <c r="O92" s="187" t="str">
        <f>IF(OpCost!AE81="", "", OpCost!AE81)</f>
        <v/>
      </c>
      <c r="P92" s="251" t="str">
        <f>IF(F92="","",((IN_DATA!C76+IN_DATA!D76/10)/IN_DATA!P76))</f>
        <v/>
      </c>
      <c r="Q92" s="248" t="str">
        <f>IF(F92="","",SUM($P$21:P92)*365)</f>
        <v/>
      </c>
      <c r="R92" s="249" t="str">
        <f>IF(F92="", "", HLOOKUP(C92,'Reference-Crown Royalties'!$D$2:$AB$49,MATCH(P92,'Reference-Crown Royalties'!$A$2:$A$49,1),TRUE))</f>
        <v/>
      </c>
      <c r="S92" s="276" t="str">
        <f>IF(F92="", "", IF(IN_DATA!R76=3, CO2_Royalty_Factor, IF('Economics Summary'!A92&lt;2, IF('Economics Summary'!Q92&lt;60000, 0.05, ((60000*0.05+('Economics Summary'!Q92-60000)*R92)/'Economics Summary'!Q92)),R92)))</f>
        <v/>
      </c>
      <c r="T92" s="250" t="str">
        <f t="shared" si="26"/>
        <v/>
      </c>
      <c r="U92" s="250" t="str">
        <f t="shared" si="27"/>
        <v/>
      </c>
      <c r="V92" s="344" t="str">
        <f t="shared" si="19"/>
        <v/>
      </c>
      <c r="W92" s="257" t="str">
        <f>IF(F92="","",SUM($V$21:V92))</f>
        <v/>
      </c>
      <c r="X92" s="260" t="str">
        <f xml:space="preserve"> IF(OR(F92="",SUM(IN_DATA!$H$5:'IN_DATA'!H76)=0), "", 1-SUM(IN_DATA!$F$5:'IN_DATA'!F76)/SUM(IN_DATA!$H$5:'IN_DATA'!H76))</f>
        <v/>
      </c>
      <c r="Y92" s="307" t="str">
        <f>IF(OR(F92="",SUM(IN_DATA!$H$5:'IN_DATA'!H76)=0),"",365*(SUM(IN_DATA!$H$5:'IN_DATA'!H76)-SUM(IN_DATA!$F$5:'IN_DATA'!F76))/1000)</f>
        <v/>
      </c>
      <c r="Z92" s="346" t="str">
        <f t="shared" si="28"/>
        <v/>
      </c>
      <c r="AA92" s="370" t="str">
        <f t="shared" si="20"/>
        <v/>
      </c>
      <c r="AB92" s="373" t="str">
        <f>IF(F92="", "", IF(IN_DATA!R76=3, MAX(CO2_Royalty_Factor-Z92/10000,0), IF('Economics Summary'!A92&lt;2, IF('Economics Summary'!Q92&lt;60000, 0.05, ((60000*0.05+('Economics Summary'!Q92-60000)*R92)/'Economics Summary'!Q92)),R92)))</f>
        <v/>
      </c>
      <c r="AC92" s="377" t="str">
        <f t="shared" si="29"/>
        <v/>
      </c>
      <c r="AD92" s="378" t="str">
        <f t="shared" si="21"/>
        <v/>
      </c>
    </row>
    <row r="93" spans="1:30" x14ac:dyDescent="0.2">
      <c r="A93" s="178">
        <v>72</v>
      </c>
      <c r="B93" s="178">
        <f t="shared" si="18"/>
        <v>2084</v>
      </c>
      <c r="C93" s="292" t="str">
        <f>IF(IN_DATA!C77="","",MAX(min_oil_price,MIN(C92+C92*$L$6,max_oil_price)))</f>
        <v/>
      </c>
      <c r="D93" s="293" t="str">
        <f>IF(IN_DATA!C77="","",MAX(min_gas_price,MIN(D92+D92*$L$7,max_gas_price)))</f>
        <v/>
      </c>
      <c r="E93" s="294" t="str">
        <f>IF(IN_DATA!C77="","",MIN(E92+E92*$L$8,16))</f>
        <v/>
      </c>
      <c r="F93" s="110" t="str">
        <f>IF(O93="", "", IN_DATA!C77*365*OCF*FPF)</f>
        <v/>
      </c>
      <c r="G93" s="184" t="str">
        <f>IF(O93="","",IN_DATA!D77*365*FPF*OCF)</f>
        <v/>
      </c>
      <c r="H93" s="235" t="str">
        <f t="shared" si="22"/>
        <v/>
      </c>
      <c r="I93" s="238" t="str">
        <f t="shared" si="23"/>
        <v/>
      </c>
      <c r="J93" s="236" t="str">
        <f t="shared" si="24"/>
        <v/>
      </c>
      <c r="K93" s="239" t="str">
        <f t="shared" si="25"/>
        <v/>
      </c>
      <c r="L93" s="247" t="str">
        <f t="shared" si="30"/>
        <v/>
      </c>
      <c r="M93" s="244" t="str">
        <f>IF(I93=""," ",IF(IN_DATA!R77=1,"Primary Rec.",IF(IN_DATA!R77=2,"Water Flood",IF(IN_DATA!R77=3,"CO2 Flood",""))))</f>
        <v xml:space="preserve"> </v>
      </c>
      <c r="N93" s="109" t="str">
        <f>IF(I93="","",IF(O93=0, 0, OpCost!AD82))</f>
        <v/>
      </c>
      <c r="O93" s="187" t="str">
        <f>IF(OpCost!AE82="", "", OpCost!AE82)</f>
        <v/>
      </c>
      <c r="P93" s="251" t="str">
        <f>IF(F93="","",((IN_DATA!C77+IN_DATA!D77/10)/IN_DATA!P77))</f>
        <v/>
      </c>
      <c r="Q93" s="248" t="str">
        <f>IF(F93="","",SUM($P$21:P93)*365)</f>
        <v/>
      </c>
      <c r="R93" s="249" t="str">
        <f>IF(F93="", "", HLOOKUP(C93,'Reference-Crown Royalties'!$D$2:$AB$49,MATCH(P93,'Reference-Crown Royalties'!$A$2:$A$49,1),TRUE))</f>
        <v/>
      </c>
      <c r="S93" s="276" t="str">
        <f>IF(F93="", "", IF(IN_DATA!R77=3, CO2_Royalty_Factor, IF('Economics Summary'!A93&lt;2, IF('Economics Summary'!Q93&lt;60000, 0.05, ((60000*0.05+('Economics Summary'!Q93-60000)*R93)/'Economics Summary'!Q93)),R93)))</f>
        <v/>
      </c>
      <c r="T93" s="250" t="str">
        <f t="shared" si="26"/>
        <v/>
      </c>
      <c r="U93" s="250" t="str">
        <f t="shared" si="27"/>
        <v/>
      </c>
      <c r="V93" s="344" t="str">
        <f t="shared" si="19"/>
        <v/>
      </c>
      <c r="W93" s="257" t="str">
        <f>IF(F93="","",SUM($V$21:V93))</f>
        <v/>
      </c>
      <c r="X93" s="260" t="str">
        <f xml:space="preserve"> IF(OR(F93="",SUM(IN_DATA!$H$5:'IN_DATA'!H77)=0), "", 1-SUM(IN_DATA!$F$5:'IN_DATA'!F77)/SUM(IN_DATA!$H$5:'IN_DATA'!H77))</f>
        <v/>
      </c>
      <c r="Y93" s="307" t="str">
        <f>IF(OR(F93="",SUM(IN_DATA!$H$5:'IN_DATA'!H77)=0),"",365*(SUM(IN_DATA!$H$5:'IN_DATA'!H77)-SUM(IN_DATA!$F$5:'IN_DATA'!F77))/1000)</f>
        <v/>
      </c>
      <c r="Z93" s="346" t="str">
        <f t="shared" si="28"/>
        <v/>
      </c>
      <c r="AA93" s="370" t="str">
        <f t="shared" si="20"/>
        <v/>
      </c>
      <c r="AB93" s="373" t="str">
        <f>IF(F93="", "", IF(IN_DATA!R77=3, MAX(CO2_Royalty_Factor-Z93/10000,0), IF('Economics Summary'!A93&lt;2, IF('Economics Summary'!Q93&lt;60000, 0.05, ((60000*0.05+('Economics Summary'!Q93-60000)*R93)/'Economics Summary'!Q93)),R93)))</f>
        <v/>
      </c>
      <c r="AC93" s="377" t="str">
        <f t="shared" si="29"/>
        <v/>
      </c>
      <c r="AD93" s="378" t="str">
        <f t="shared" si="21"/>
        <v/>
      </c>
    </row>
    <row r="94" spans="1:30" x14ac:dyDescent="0.2">
      <c r="A94" s="178">
        <v>73</v>
      </c>
      <c r="B94" s="178">
        <f t="shared" si="18"/>
        <v>2085</v>
      </c>
      <c r="C94" s="292" t="str">
        <f>IF(IN_DATA!C78="","",MAX(min_oil_price,MIN(C93+C93*$L$6,max_oil_price)))</f>
        <v/>
      </c>
      <c r="D94" s="293" t="str">
        <f>IF(IN_DATA!C78="","",MAX(min_gas_price,MIN(D93+D93*$L$7,max_gas_price)))</f>
        <v/>
      </c>
      <c r="E94" s="294" t="str">
        <f>IF(IN_DATA!C78="","",MIN(E93+E93*$L$8,16))</f>
        <v/>
      </c>
      <c r="F94" s="110" t="str">
        <f>IF(O94="", "", IN_DATA!C78*365*OCF*FPF)</f>
        <v/>
      </c>
      <c r="G94" s="184" t="str">
        <f>IF(O94="","",IN_DATA!D78*365*FPF*OCF)</f>
        <v/>
      </c>
      <c r="H94" s="235" t="str">
        <f t="shared" si="22"/>
        <v/>
      </c>
      <c r="I94" s="238" t="str">
        <f t="shared" si="23"/>
        <v/>
      </c>
      <c r="J94" s="236" t="str">
        <f t="shared" si="24"/>
        <v/>
      </c>
      <c r="K94" s="239" t="str">
        <f t="shared" si="25"/>
        <v/>
      </c>
      <c r="L94" s="247" t="str">
        <f t="shared" si="30"/>
        <v/>
      </c>
      <c r="M94" s="244" t="str">
        <f>IF(I94=""," ",IF(IN_DATA!R78=1,"Primary Rec.",IF(IN_DATA!R78=2,"Water Flood",IF(IN_DATA!R78=3,"CO2 Flood",""))))</f>
        <v xml:space="preserve"> </v>
      </c>
      <c r="N94" s="109" t="str">
        <f>IF(I94="","",IF(O94=0, 0, OpCost!AD83))</f>
        <v/>
      </c>
      <c r="O94" s="187" t="str">
        <f>IF(OpCost!AE83="", "", OpCost!AE83)</f>
        <v/>
      </c>
      <c r="P94" s="251" t="str">
        <f>IF(F94="","",((IN_DATA!C78+IN_DATA!D78/10)/IN_DATA!P78))</f>
        <v/>
      </c>
      <c r="Q94" s="248" t="str">
        <f>IF(F94="","",SUM($P$21:P94)*365)</f>
        <v/>
      </c>
      <c r="R94" s="249" t="str">
        <f>IF(F94="", "", HLOOKUP(C94,'Reference-Crown Royalties'!$D$2:$AB$49,MATCH(P94,'Reference-Crown Royalties'!$A$2:$A$49,1),TRUE))</f>
        <v/>
      </c>
      <c r="S94" s="276" t="str">
        <f>IF(F94="", "", IF(IN_DATA!R78=3, CO2_Royalty_Factor, IF('Economics Summary'!A94&lt;2, IF('Economics Summary'!Q94&lt;60000, 0.05, ((60000*0.05+('Economics Summary'!Q94-60000)*R94)/'Economics Summary'!Q94)),R94)))</f>
        <v/>
      </c>
      <c r="T94" s="250" t="str">
        <f t="shared" si="26"/>
        <v/>
      </c>
      <c r="U94" s="250" t="str">
        <f t="shared" si="27"/>
        <v/>
      </c>
      <c r="V94" s="344" t="str">
        <f t="shared" si="19"/>
        <v/>
      </c>
      <c r="W94" s="257" t="str">
        <f>IF(F94="","",SUM($V$21:V94))</f>
        <v/>
      </c>
      <c r="X94" s="260" t="str">
        <f xml:space="preserve"> IF(OR(F94="",SUM(IN_DATA!$H$5:'IN_DATA'!H78)=0), "", 1-SUM(IN_DATA!$F$5:'IN_DATA'!F78)/SUM(IN_DATA!$H$5:'IN_DATA'!H78))</f>
        <v/>
      </c>
      <c r="Y94" s="307" t="str">
        <f>IF(OR(F94="",SUM(IN_DATA!$H$5:'IN_DATA'!H78)=0),"",365*(SUM(IN_DATA!$H$5:'IN_DATA'!H78)-SUM(IN_DATA!$F$5:'IN_DATA'!F78))/1000)</f>
        <v/>
      </c>
      <c r="Z94" s="346" t="str">
        <f t="shared" si="28"/>
        <v/>
      </c>
      <c r="AA94" s="370" t="str">
        <f t="shared" si="20"/>
        <v/>
      </c>
      <c r="AB94" s="373" t="str">
        <f>IF(F94="", "", IF(IN_DATA!R78=3, MAX(CO2_Royalty_Factor-Z94/10000,0), IF('Economics Summary'!A94&lt;2, IF('Economics Summary'!Q94&lt;60000, 0.05, ((60000*0.05+('Economics Summary'!Q94-60000)*R94)/'Economics Summary'!Q94)),R94)))</f>
        <v/>
      </c>
      <c r="AC94" s="377" t="str">
        <f t="shared" si="29"/>
        <v/>
      </c>
      <c r="AD94" s="378" t="str">
        <f t="shared" si="21"/>
        <v/>
      </c>
    </row>
    <row r="95" spans="1:30" x14ac:dyDescent="0.2">
      <c r="A95" s="178">
        <v>74</v>
      </c>
      <c r="B95" s="178">
        <f t="shared" si="18"/>
        <v>2086</v>
      </c>
      <c r="C95" s="292" t="str">
        <f>IF(IN_DATA!C79="","",MAX(min_oil_price,MIN(C94+C94*$L$6,max_oil_price)))</f>
        <v/>
      </c>
      <c r="D95" s="293" t="str">
        <f>IF(IN_DATA!C79="","",MAX(min_gas_price,MIN(D94+D94*$L$7,max_gas_price)))</f>
        <v/>
      </c>
      <c r="E95" s="294" t="str">
        <f>IF(IN_DATA!C79="","",MIN(E94+E94*$L$8,16))</f>
        <v/>
      </c>
      <c r="F95" s="110" t="str">
        <f>IF(O95="", "", IN_DATA!C79*365*OCF*FPF)</f>
        <v/>
      </c>
      <c r="G95" s="184" t="str">
        <f>IF(O95="","",IN_DATA!D79*365*FPF*OCF)</f>
        <v/>
      </c>
      <c r="H95" s="235" t="str">
        <f t="shared" si="22"/>
        <v/>
      </c>
      <c r="I95" s="238" t="str">
        <f t="shared" si="23"/>
        <v/>
      </c>
      <c r="J95" s="236" t="str">
        <f t="shared" si="24"/>
        <v/>
      </c>
      <c r="K95" s="239" t="str">
        <f t="shared" si="25"/>
        <v/>
      </c>
      <c r="L95" s="247" t="str">
        <f t="shared" si="30"/>
        <v/>
      </c>
      <c r="M95" s="244" t="str">
        <f>IF(I95=""," ",IF(IN_DATA!R79=1,"Primary Rec.",IF(IN_DATA!R79=2,"Water Flood",IF(IN_DATA!R79=3,"CO2 Flood",""))))</f>
        <v xml:space="preserve"> </v>
      </c>
      <c r="N95" s="109" t="str">
        <f>IF(I95="","",IF(O95=0, 0, OpCost!AD84))</f>
        <v/>
      </c>
      <c r="O95" s="187" t="str">
        <f>IF(OpCost!AE84="", "", OpCost!AE84)</f>
        <v/>
      </c>
      <c r="P95" s="251" t="str">
        <f>IF(F95="","",((IN_DATA!C79+IN_DATA!D79/10)/IN_DATA!P79))</f>
        <v/>
      </c>
      <c r="Q95" s="248" t="str">
        <f>IF(F95="","",SUM($P$21:P95)*365)</f>
        <v/>
      </c>
      <c r="R95" s="249" t="str">
        <f>IF(F95="", "", HLOOKUP(C95,'Reference-Crown Royalties'!$D$2:$AB$49,MATCH(P95,'Reference-Crown Royalties'!$A$2:$A$49,1),TRUE))</f>
        <v/>
      </c>
      <c r="S95" s="276" t="str">
        <f>IF(F95="", "", IF(IN_DATA!R79=3, CO2_Royalty_Factor, IF('Economics Summary'!A95&lt;2, IF('Economics Summary'!Q95&lt;60000, 0.05, ((60000*0.05+('Economics Summary'!Q95-60000)*R95)/'Economics Summary'!Q95)),R95)))</f>
        <v/>
      </c>
      <c r="T95" s="250" t="str">
        <f t="shared" si="26"/>
        <v/>
      </c>
      <c r="U95" s="250" t="str">
        <f t="shared" si="27"/>
        <v/>
      </c>
      <c r="V95" s="344" t="str">
        <f t="shared" si="19"/>
        <v/>
      </c>
      <c r="W95" s="257" t="str">
        <f>IF(F95="","",SUM($V$21:V95))</f>
        <v/>
      </c>
      <c r="X95" s="260" t="str">
        <f xml:space="preserve"> IF(OR(F95="",SUM(IN_DATA!$H$5:'IN_DATA'!H79)=0), "", 1-SUM(IN_DATA!$F$5:'IN_DATA'!F79)/SUM(IN_DATA!$H$5:'IN_DATA'!H79))</f>
        <v/>
      </c>
      <c r="Y95" s="307" t="str">
        <f>IF(OR(F95="",SUM(IN_DATA!$H$5:'IN_DATA'!H79)=0),"",365*(SUM(IN_DATA!$H$5:'IN_DATA'!H79)-SUM(IN_DATA!$F$5:'IN_DATA'!F79))/1000)</f>
        <v/>
      </c>
      <c r="Z95" s="346" t="str">
        <f t="shared" si="28"/>
        <v/>
      </c>
      <c r="AA95" s="370" t="str">
        <f t="shared" si="20"/>
        <v/>
      </c>
      <c r="AB95" s="373" t="str">
        <f>IF(F95="", "", IF(IN_DATA!R79=3, MAX(CO2_Royalty_Factor-Z95/10000,0), IF('Economics Summary'!A95&lt;2, IF('Economics Summary'!Q95&lt;60000, 0.05, ((60000*0.05+('Economics Summary'!Q95-60000)*R95)/'Economics Summary'!Q95)),R95)))</f>
        <v/>
      </c>
      <c r="AC95" s="377" t="str">
        <f t="shared" si="29"/>
        <v/>
      </c>
      <c r="AD95" s="378" t="str">
        <f t="shared" si="21"/>
        <v/>
      </c>
    </row>
    <row r="96" spans="1:30" x14ac:dyDescent="0.2">
      <c r="A96" s="178">
        <v>75</v>
      </c>
      <c r="B96" s="178">
        <f t="shared" si="18"/>
        <v>2087</v>
      </c>
      <c r="C96" s="292" t="str">
        <f>IF(IN_DATA!C80="","",MAX(min_oil_price,MIN(C95+C95*$L$6,max_oil_price)))</f>
        <v/>
      </c>
      <c r="D96" s="293" t="str">
        <f>IF(IN_DATA!C80="","",MAX(min_gas_price,MIN(D95+D95*$L$7,max_gas_price)))</f>
        <v/>
      </c>
      <c r="E96" s="294" t="str">
        <f>IF(IN_DATA!C80="","",MIN(E95+E95*$L$8,16))</f>
        <v/>
      </c>
      <c r="F96" s="110" t="str">
        <f>IF(O96="", "", IN_DATA!C80*365*OCF*FPF)</f>
        <v/>
      </c>
      <c r="G96" s="184" t="str">
        <f>IF(O96="","",IN_DATA!D80*365*FPF*OCF)</f>
        <v/>
      </c>
      <c r="H96" s="235" t="str">
        <f t="shared" si="22"/>
        <v/>
      </c>
      <c r="I96" s="238" t="str">
        <f t="shared" si="23"/>
        <v/>
      </c>
      <c r="J96" s="236" t="str">
        <f t="shared" si="24"/>
        <v/>
      </c>
      <c r="K96" s="239" t="str">
        <f t="shared" si="25"/>
        <v/>
      </c>
      <c r="L96" s="247" t="str">
        <f t="shared" si="30"/>
        <v/>
      </c>
      <c r="M96" s="244" t="str">
        <f>IF(I96=""," ",IF(IN_DATA!R80=1,"Primary Rec.",IF(IN_DATA!R80=2,"Water Flood",IF(IN_DATA!R80=3,"CO2 Flood",""))))</f>
        <v xml:space="preserve"> </v>
      </c>
      <c r="N96" s="109" t="str">
        <f>IF(I96="","",IF(O96=0, 0, OpCost!AD85))</f>
        <v/>
      </c>
      <c r="O96" s="187" t="str">
        <f>IF(OpCost!AE85="", "", OpCost!AE85)</f>
        <v/>
      </c>
      <c r="P96" s="251" t="str">
        <f>IF(F96="","",((IN_DATA!C80+IN_DATA!D80/10)/IN_DATA!P80))</f>
        <v/>
      </c>
      <c r="Q96" s="248" t="str">
        <f>IF(F96="","",SUM($P$21:P96)*365)</f>
        <v/>
      </c>
      <c r="R96" s="249" t="str">
        <f>IF(F96="", "", HLOOKUP(C96,'Reference-Crown Royalties'!$D$2:$AB$49,MATCH(P96,'Reference-Crown Royalties'!$A$2:$A$49,1),TRUE))</f>
        <v/>
      </c>
      <c r="S96" s="276" t="str">
        <f>IF(F96="", "", IF(IN_DATA!R80=3, CO2_Royalty_Factor, IF('Economics Summary'!A96&lt;2, IF('Economics Summary'!Q96&lt;60000, 0.05, ((60000*0.05+('Economics Summary'!Q96-60000)*R96)/'Economics Summary'!Q96)),R96)))</f>
        <v/>
      </c>
      <c r="T96" s="250" t="str">
        <f t="shared" si="26"/>
        <v/>
      </c>
      <c r="U96" s="250" t="str">
        <f t="shared" si="27"/>
        <v/>
      </c>
      <c r="V96" s="344" t="str">
        <f t="shared" si="19"/>
        <v/>
      </c>
      <c r="W96" s="257" t="str">
        <f>IF(F96="","",SUM($V$21:V96))</f>
        <v/>
      </c>
      <c r="X96" s="260" t="str">
        <f xml:space="preserve"> IF(OR(F96="",SUM(IN_DATA!$H$5:'IN_DATA'!H80)=0), "", 1-SUM(IN_DATA!$F$5:'IN_DATA'!F80)/SUM(IN_DATA!$H$5:'IN_DATA'!H80))</f>
        <v/>
      </c>
      <c r="Y96" s="307" t="str">
        <f>IF(OR(F96="",SUM(IN_DATA!$H$5:'IN_DATA'!H80)=0),"",365*(SUM(IN_DATA!$H$5:'IN_DATA'!H80)-SUM(IN_DATA!$F$5:'IN_DATA'!F80))/1000)</f>
        <v/>
      </c>
      <c r="Z96" s="346" t="str">
        <f t="shared" si="28"/>
        <v/>
      </c>
      <c r="AA96" s="370" t="str">
        <f t="shared" si="20"/>
        <v/>
      </c>
      <c r="AB96" s="373" t="str">
        <f>IF(F96="", "", IF(IN_DATA!R80=3, MAX(CO2_Royalty_Factor-Z96/10000,0), IF('Economics Summary'!A96&lt;2, IF('Economics Summary'!Q96&lt;60000, 0.05, ((60000*0.05+('Economics Summary'!Q96-60000)*R96)/'Economics Summary'!Q96)),R96)))</f>
        <v/>
      </c>
      <c r="AC96" s="377" t="str">
        <f t="shared" si="29"/>
        <v/>
      </c>
      <c r="AD96" s="378" t="str">
        <f t="shared" si="21"/>
        <v/>
      </c>
    </row>
    <row r="97" spans="1:30" x14ac:dyDescent="0.2">
      <c r="A97" s="178">
        <v>76</v>
      </c>
      <c r="B97" s="178">
        <f t="shared" si="18"/>
        <v>2088</v>
      </c>
      <c r="C97" s="292" t="str">
        <f>IF(IN_DATA!C81="","",MAX(min_oil_price,MIN(C96+C96*$L$6,max_oil_price)))</f>
        <v/>
      </c>
      <c r="D97" s="293" t="str">
        <f>IF(IN_DATA!C81="","",MAX(min_gas_price,MIN(D96+D96*$L$7,max_gas_price)))</f>
        <v/>
      </c>
      <c r="E97" s="294" t="str">
        <f>IF(IN_DATA!C81="","",MIN(E96+E96*$L$8,16))</f>
        <v/>
      </c>
      <c r="F97" s="110" t="str">
        <f>IF(O97="", "", IN_DATA!C81*365*OCF*FPF)</f>
        <v/>
      </c>
      <c r="G97" s="184" t="str">
        <f>IF(O97="","",IN_DATA!D81*365*FPF*OCF)</f>
        <v/>
      </c>
      <c r="H97" s="235" t="str">
        <f t="shared" si="22"/>
        <v/>
      </c>
      <c r="I97" s="238" t="str">
        <f t="shared" si="23"/>
        <v/>
      </c>
      <c r="J97" s="236" t="str">
        <f t="shared" si="24"/>
        <v/>
      </c>
      <c r="K97" s="239" t="str">
        <f t="shared" si="25"/>
        <v/>
      </c>
      <c r="L97" s="247" t="str">
        <f t="shared" si="30"/>
        <v/>
      </c>
      <c r="M97" s="244" t="str">
        <f>IF(I97=""," ",IF(IN_DATA!R81=1,"Primary Rec.",IF(IN_DATA!R81=2,"Water Flood",IF(IN_DATA!R81=3,"CO2 Flood",""))))</f>
        <v xml:space="preserve"> </v>
      </c>
      <c r="N97" s="109" t="str">
        <f>IF(I97="","",IF(O97=0, 0, OpCost!AD86))</f>
        <v/>
      </c>
      <c r="O97" s="187" t="str">
        <f>IF(OpCost!AE86="", "", OpCost!AE86)</f>
        <v/>
      </c>
      <c r="P97" s="251" t="str">
        <f>IF(F97="","",((IN_DATA!C81+IN_DATA!D81/10)/IN_DATA!P81))</f>
        <v/>
      </c>
      <c r="Q97" s="248" t="str">
        <f>IF(F97="","",SUM($P$21:P97)*365)</f>
        <v/>
      </c>
      <c r="R97" s="249" t="str">
        <f>IF(F97="", "", HLOOKUP(C97,'Reference-Crown Royalties'!$D$2:$AB$49,MATCH(P97,'Reference-Crown Royalties'!$A$2:$A$49,1),TRUE))</f>
        <v/>
      </c>
      <c r="S97" s="276" t="str">
        <f>IF(F97="", "", IF(IN_DATA!R81=3, CO2_Royalty_Factor, IF('Economics Summary'!A97&lt;2, IF('Economics Summary'!Q97&lt;60000, 0.05, ((60000*0.05+('Economics Summary'!Q97-60000)*R97)/'Economics Summary'!Q97)),R97)))</f>
        <v/>
      </c>
      <c r="T97" s="250" t="str">
        <f t="shared" si="26"/>
        <v/>
      </c>
      <c r="U97" s="250" t="str">
        <f t="shared" si="27"/>
        <v/>
      </c>
      <c r="V97" s="344" t="str">
        <f t="shared" si="19"/>
        <v/>
      </c>
      <c r="W97" s="257" t="str">
        <f>IF(F97="","",SUM($V$21:V97))</f>
        <v/>
      </c>
      <c r="X97" s="260" t="str">
        <f xml:space="preserve"> IF(OR(F97="",SUM(IN_DATA!$H$5:'IN_DATA'!H81)=0), "", 1-SUM(IN_DATA!$F$5:'IN_DATA'!F81)/SUM(IN_DATA!$H$5:'IN_DATA'!H81))</f>
        <v/>
      </c>
      <c r="Y97" s="307" t="str">
        <f>IF(OR(F97="",SUM(IN_DATA!$H$5:'IN_DATA'!H81)=0),"",365*(SUM(IN_DATA!$H$5:'IN_DATA'!H81)-SUM(IN_DATA!$F$5:'IN_DATA'!F81))/1000)</f>
        <v/>
      </c>
      <c r="Z97" s="346" t="str">
        <f t="shared" si="28"/>
        <v/>
      </c>
      <c r="AA97" s="370" t="str">
        <f t="shared" si="20"/>
        <v/>
      </c>
      <c r="AB97" s="373" t="str">
        <f>IF(F97="", "", IF(IN_DATA!R81=3, MAX(CO2_Royalty_Factor-Z97/10000,0), IF('Economics Summary'!A97&lt;2, IF('Economics Summary'!Q97&lt;60000, 0.05, ((60000*0.05+('Economics Summary'!Q97-60000)*R97)/'Economics Summary'!Q97)),R97)))</f>
        <v/>
      </c>
      <c r="AC97" s="377" t="str">
        <f t="shared" si="29"/>
        <v/>
      </c>
      <c r="AD97" s="378" t="str">
        <f t="shared" si="21"/>
        <v/>
      </c>
    </row>
    <row r="98" spans="1:30" x14ac:dyDescent="0.2">
      <c r="A98" s="178">
        <v>77</v>
      </c>
      <c r="B98" s="178">
        <f t="shared" si="18"/>
        <v>2089</v>
      </c>
      <c r="C98" s="292" t="str">
        <f>IF(IN_DATA!C82="","",MAX(min_oil_price,MIN(C97+C97*$L$6,max_oil_price)))</f>
        <v/>
      </c>
      <c r="D98" s="293" t="str">
        <f>IF(IN_DATA!C82="","",MAX(min_gas_price,MIN(D97+D97*$L$7,max_gas_price)))</f>
        <v/>
      </c>
      <c r="E98" s="294" t="str">
        <f>IF(IN_DATA!C82="","",MIN(E97+E97*$L$8,16))</f>
        <v/>
      </c>
      <c r="F98" s="110" t="str">
        <f>IF(O98="", "", IN_DATA!C82*365*OCF*FPF)</f>
        <v/>
      </c>
      <c r="G98" s="184" t="str">
        <f>IF(O98="","",IN_DATA!D82*365*FPF*OCF)</f>
        <v/>
      </c>
      <c r="H98" s="235" t="str">
        <f t="shared" si="22"/>
        <v/>
      </c>
      <c r="I98" s="238" t="str">
        <f t="shared" si="23"/>
        <v/>
      </c>
      <c r="J98" s="236" t="str">
        <f t="shared" si="24"/>
        <v/>
      </c>
      <c r="K98" s="239" t="str">
        <f t="shared" si="25"/>
        <v/>
      </c>
      <c r="L98" s="247" t="str">
        <f t="shared" si="30"/>
        <v/>
      </c>
      <c r="M98" s="244" t="str">
        <f>IF(I98=""," ",IF(IN_DATA!R82=1,"Primary Rec.",IF(IN_DATA!R82=2,"Water Flood",IF(IN_DATA!R82=3,"CO2 Flood",""))))</f>
        <v xml:space="preserve"> </v>
      </c>
      <c r="N98" s="109" t="str">
        <f>IF(I98="","",IF(O98=0, 0, OpCost!AD87))</f>
        <v/>
      </c>
      <c r="O98" s="187" t="str">
        <f>IF(OpCost!AE87="", "", OpCost!AE87)</f>
        <v/>
      </c>
      <c r="P98" s="251" t="str">
        <f>IF(F98="","",((IN_DATA!C82+IN_DATA!D82/10)/IN_DATA!P82))</f>
        <v/>
      </c>
      <c r="Q98" s="248" t="str">
        <f>IF(F98="","",SUM($P$21:P98)*365)</f>
        <v/>
      </c>
      <c r="R98" s="249" t="str">
        <f>IF(F98="", "", HLOOKUP(C98,'Reference-Crown Royalties'!$D$2:$AB$49,MATCH(P98,'Reference-Crown Royalties'!$A$2:$A$49,1),TRUE))</f>
        <v/>
      </c>
      <c r="S98" s="276" t="str">
        <f>IF(F98="", "", IF(IN_DATA!R82=3, CO2_Royalty_Factor, IF('Economics Summary'!A98&lt;2, IF('Economics Summary'!Q98&lt;60000, 0.05, ((60000*0.05+('Economics Summary'!Q98-60000)*R98)/'Economics Summary'!Q98)),R98)))</f>
        <v/>
      </c>
      <c r="T98" s="250" t="str">
        <f t="shared" si="26"/>
        <v/>
      </c>
      <c r="U98" s="250" t="str">
        <f t="shared" si="27"/>
        <v/>
      </c>
      <c r="V98" s="344" t="str">
        <f t="shared" si="19"/>
        <v/>
      </c>
      <c r="W98" s="257" t="str">
        <f>IF(F98="","",SUM($V$21:V98))</f>
        <v/>
      </c>
      <c r="X98" s="260" t="str">
        <f xml:space="preserve"> IF(OR(F98="",SUM(IN_DATA!$H$5:'IN_DATA'!H82)=0), "", 1-SUM(IN_DATA!$F$5:'IN_DATA'!F82)/SUM(IN_DATA!$H$5:'IN_DATA'!H82))</f>
        <v/>
      </c>
      <c r="Y98" s="307" t="str">
        <f>IF(OR(F98="",SUM(IN_DATA!$H$5:'IN_DATA'!H82)=0),"",365*(SUM(IN_DATA!$H$5:'IN_DATA'!H82)-SUM(IN_DATA!$F$5:'IN_DATA'!F82))/1000)</f>
        <v/>
      </c>
      <c r="Z98" s="346" t="str">
        <f t="shared" si="28"/>
        <v/>
      </c>
      <c r="AA98" s="370" t="str">
        <f t="shared" si="20"/>
        <v/>
      </c>
      <c r="AB98" s="373" t="str">
        <f>IF(F98="", "", IF(IN_DATA!R82=3, MAX(CO2_Royalty_Factor-Z98/10000,0), IF('Economics Summary'!A98&lt;2, IF('Economics Summary'!Q98&lt;60000, 0.05, ((60000*0.05+('Economics Summary'!Q98-60000)*R98)/'Economics Summary'!Q98)),R98)))</f>
        <v/>
      </c>
      <c r="AC98" s="377" t="str">
        <f t="shared" si="29"/>
        <v/>
      </c>
      <c r="AD98" s="378" t="str">
        <f t="shared" si="21"/>
        <v/>
      </c>
    </row>
    <row r="99" spans="1:30" x14ac:dyDescent="0.2">
      <c r="A99" s="178">
        <v>78</v>
      </c>
      <c r="B99" s="178">
        <f t="shared" si="18"/>
        <v>2090</v>
      </c>
      <c r="C99" s="292" t="str">
        <f>IF(IN_DATA!C83="","",MAX(min_oil_price,MIN(C98+C98*$L$6,max_oil_price)))</f>
        <v/>
      </c>
      <c r="D99" s="293" t="str">
        <f>IF(IN_DATA!C83="","",MAX(min_gas_price,MIN(D98+D98*$L$7,max_gas_price)))</f>
        <v/>
      </c>
      <c r="E99" s="294" t="str">
        <f>IF(IN_DATA!C83="","",MIN(E98+E98*$L$8,16))</f>
        <v/>
      </c>
      <c r="F99" s="110" t="str">
        <f>IF(O99="", "", IN_DATA!C83*365*OCF*FPF)</f>
        <v/>
      </c>
      <c r="G99" s="184" t="str">
        <f>IF(O99="","",IN_DATA!D83*365*FPF*OCF)</f>
        <v/>
      </c>
      <c r="H99" s="235" t="str">
        <f t="shared" si="22"/>
        <v/>
      </c>
      <c r="I99" s="238" t="str">
        <f t="shared" si="23"/>
        <v/>
      </c>
      <c r="J99" s="236" t="str">
        <f t="shared" si="24"/>
        <v/>
      </c>
      <c r="K99" s="239" t="str">
        <f t="shared" si="25"/>
        <v/>
      </c>
      <c r="L99" s="247" t="str">
        <f t="shared" si="30"/>
        <v/>
      </c>
      <c r="M99" s="244" t="str">
        <f>IF(I99=""," ",IF(IN_DATA!R83=1,"Primary Rec.",IF(IN_DATA!R83=2,"Water Flood",IF(IN_DATA!R83=3,"CO2 Flood",""))))</f>
        <v xml:space="preserve"> </v>
      </c>
      <c r="N99" s="109" t="str">
        <f>IF(I99="","",IF(O99=0, 0, OpCost!AD88))</f>
        <v/>
      </c>
      <c r="O99" s="187" t="str">
        <f>IF(OpCost!AE88="", "", OpCost!AE88)</f>
        <v/>
      </c>
      <c r="P99" s="251" t="str">
        <f>IF(F99="","",((IN_DATA!C83+IN_DATA!D83/10)/IN_DATA!P83))</f>
        <v/>
      </c>
      <c r="Q99" s="248" t="str">
        <f>IF(F99="","",SUM($P$21:P99)*365)</f>
        <v/>
      </c>
      <c r="R99" s="249" t="str">
        <f>IF(F99="", "", HLOOKUP(C99,'Reference-Crown Royalties'!$D$2:$AB$49,MATCH(P99,'Reference-Crown Royalties'!$A$2:$A$49,1),TRUE))</f>
        <v/>
      </c>
      <c r="S99" s="276" t="str">
        <f>IF(F99="", "", IF(IN_DATA!R83=3, CO2_Royalty_Factor, IF('Economics Summary'!A99&lt;2, IF('Economics Summary'!Q99&lt;60000, 0.05, ((60000*0.05+('Economics Summary'!Q99-60000)*R99)/'Economics Summary'!Q99)),R99)))</f>
        <v/>
      </c>
      <c r="T99" s="250" t="str">
        <f t="shared" si="26"/>
        <v/>
      </c>
      <c r="U99" s="250" t="str">
        <f t="shared" si="27"/>
        <v/>
      </c>
      <c r="V99" s="344" t="str">
        <f t="shared" si="19"/>
        <v/>
      </c>
      <c r="W99" s="257" t="str">
        <f>IF(F99="","",SUM($V$21:V99))</f>
        <v/>
      </c>
      <c r="X99" s="260" t="str">
        <f xml:space="preserve"> IF(OR(F99="",SUM(IN_DATA!$H$5:'IN_DATA'!H83)=0), "", 1-SUM(IN_DATA!$F$5:'IN_DATA'!F83)/SUM(IN_DATA!$H$5:'IN_DATA'!H83))</f>
        <v/>
      </c>
      <c r="Y99" s="307" t="str">
        <f>IF(OR(F99="",SUM(IN_DATA!$H$5:'IN_DATA'!H83)=0),"",365*(SUM(IN_DATA!$H$5:'IN_DATA'!H83)-SUM(IN_DATA!$F$5:'IN_DATA'!F83))/1000)</f>
        <v/>
      </c>
      <c r="Z99" s="346" t="str">
        <f t="shared" si="28"/>
        <v/>
      </c>
      <c r="AA99" s="370" t="str">
        <f t="shared" si="20"/>
        <v/>
      </c>
      <c r="AB99" s="373" t="str">
        <f>IF(F99="", "", IF(IN_DATA!R83=3, MAX(CO2_Royalty_Factor-Z99/10000,0), IF('Economics Summary'!A99&lt;2, IF('Economics Summary'!Q99&lt;60000, 0.05, ((60000*0.05+('Economics Summary'!Q99-60000)*R99)/'Economics Summary'!Q99)),R99)))</f>
        <v/>
      </c>
      <c r="AC99" s="377" t="str">
        <f t="shared" si="29"/>
        <v/>
      </c>
      <c r="AD99" s="378" t="str">
        <f t="shared" si="21"/>
        <v/>
      </c>
    </row>
    <row r="100" spans="1:30" x14ac:dyDescent="0.2">
      <c r="A100" s="178">
        <v>79</v>
      </c>
      <c r="B100" s="178">
        <f t="shared" si="18"/>
        <v>2091</v>
      </c>
      <c r="C100" s="292" t="str">
        <f>IF(IN_DATA!C84="","",MAX(min_oil_price,MIN(C99+C99*$L$6,max_oil_price)))</f>
        <v/>
      </c>
      <c r="D100" s="293" t="str">
        <f>IF(IN_DATA!C84="","",MAX(min_gas_price,MIN(D99+D99*$L$7,max_gas_price)))</f>
        <v/>
      </c>
      <c r="E100" s="294" t="str">
        <f>IF(IN_DATA!C84="","",MIN(E99+E99*$L$8,16))</f>
        <v/>
      </c>
      <c r="F100" s="110" t="str">
        <f>IF(O100="", "", IN_DATA!C84*365*OCF*FPF)</f>
        <v/>
      </c>
      <c r="G100" s="184" t="str">
        <f>IF(O100="","",IN_DATA!D84*365*FPF*OCF)</f>
        <v/>
      </c>
      <c r="H100" s="235" t="str">
        <f t="shared" si="22"/>
        <v/>
      </c>
      <c r="I100" s="238" t="str">
        <f t="shared" si="23"/>
        <v/>
      </c>
      <c r="J100" s="236" t="str">
        <f t="shared" si="24"/>
        <v/>
      </c>
      <c r="K100" s="239" t="str">
        <f t="shared" si="25"/>
        <v/>
      </c>
      <c r="L100" s="247" t="str">
        <f t="shared" si="30"/>
        <v/>
      </c>
      <c r="M100" s="244" t="str">
        <f>IF(I100=""," ",IF(IN_DATA!R84=1,"Primary Rec.",IF(IN_DATA!R84=2,"Water Flood",IF(IN_DATA!R84=3,"CO2 Flood",""))))</f>
        <v xml:space="preserve"> </v>
      </c>
      <c r="N100" s="109" t="str">
        <f>IF(I100="","",IF(O100=0, 0, OpCost!AD89))</f>
        <v/>
      </c>
      <c r="O100" s="187" t="str">
        <f>IF(OpCost!AE89="", "", OpCost!AE89)</f>
        <v/>
      </c>
      <c r="P100" s="251" t="str">
        <f>IF(F100="","",((IN_DATA!C84+IN_DATA!D84/10)/IN_DATA!P84))</f>
        <v/>
      </c>
      <c r="Q100" s="248" t="str">
        <f>IF(F100="","",SUM($P$21:P100)*365)</f>
        <v/>
      </c>
      <c r="R100" s="249" t="str">
        <f>IF(F100="", "", HLOOKUP(C100,'Reference-Crown Royalties'!$D$2:$AB$49,MATCH(P100,'Reference-Crown Royalties'!$A$2:$A$49,1),TRUE))</f>
        <v/>
      </c>
      <c r="S100" s="276" t="str">
        <f>IF(F100="", "", IF(IN_DATA!R84=3, CO2_Royalty_Factor, IF('Economics Summary'!A100&lt;2, IF('Economics Summary'!Q100&lt;60000, 0.05, ((60000*0.05+('Economics Summary'!Q100-60000)*R100)/'Economics Summary'!Q100)),R100)))</f>
        <v/>
      </c>
      <c r="T100" s="250" t="str">
        <f t="shared" si="26"/>
        <v/>
      </c>
      <c r="U100" s="250" t="str">
        <f t="shared" si="27"/>
        <v/>
      </c>
      <c r="V100" s="344" t="str">
        <f t="shared" si="19"/>
        <v/>
      </c>
      <c r="W100" s="257" t="str">
        <f>IF(F100="","",SUM($V$21:V100))</f>
        <v/>
      </c>
      <c r="X100" s="260" t="str">
        <f xml:space="preserve"> IF(OR(F100="",SUM(IN_DATA!$H$5:'IN_DATA'!H84)=0), "", 1-SUM(IN_DATA!$F$5:'IN_DATA'!F84)/SUM(IN_DATA!$H$5:'IN_DATA'!H84))</f>
        <v/>
      </c>
      <c r="Y100" s="307" t="str">
        <f>IF(OR(F100="",SUM(IN_DATA!$H$5:'IN_DATA'!H84)=0),"",365*(SUM(IN_DATA!$H$5:'IN_DATA'!H84)-SUM(IN_DATA!$F$5:'IN_DATA'!F84))/1000)</f>
        <v/>
      </c>
      <c r="Z100" s="346" t="str">
        <f t="shared" si="28"/>
        <v/>
      </c>
      <c r="AA100" s="370" t="str">
        <f t="shared" si="20"/>
        <v/>
      </c>
      <c r="AB100" s="373" t="str">
        <f>IF(F100="", "", IF(IN_DATA!R84=3, MAX(CO2_Royalty_Factor-Z100/10000,0), IF('Economics Summary'!A100&lt;2, IF('Economics Summary'!Q100&lt;60000, 0.05, ((60000*0.05+('Economics Summary'!Q100-60000)*R100)/'Economics Summary'!Q100)),R100)))</f>
        <v/>
      </c>
      <c r="AC100" s="377" t="str">
        <f t="shared" si="29"/>
        <v/>
      </c>
      <c r="AD100" s="378" t="str">
        <f t="shared" si="21"/>
        <v/>
      </c>
    </row>
    <row r="101" spans="1:30" x14ac:dyDescent="0.2">
      <c r="A101" s="178">
        <v>80</v>
      </c>
      <c r="B101" s="178">
        <f t="shared" si="18"/>
        <v>2092</v>
      </c>
      <c r="C101" s="292" t="str">
        <f>IF(IN_DATA!C85="","",MAX(min_oil_price,MIN(C100+C100*$L$6,max_oil_price)))</f>
        <v/>
      </c>
      <c r="D101" s="293" t="str">
        <f>IF(IN_DATA!C85="","",MAX(min_gas_price,MIN(D100+D100*$L$7,max_gas_price)))</f>
        <v/>
      </c>
      <c r="E101" s="294" t="str">
        <f>IF(IN_DATA!C85="","",MIN(E100+E100*$L$8,16))</f>
        <v/>
      </c>
      <c r="F101" s="110" t="str">
        <f>IF(O101="", "", IN_DATA!C85*365*OCF*FPF)</f>
        <v/>
      </c>
      <c r="G101" s="184" t="str">
        <f>IF(O101="","",IN_DATA!D85*365*FPF*OCF)</f>
        <v/>
      </c>
      <c r="H101" s="235" t="str">
        <f t="shared" si="22"/>
        <v/>
      </c>
      <c r="I101" s="238" t="str">
        <f t="shared" si="23"/>
        <v/>
      </c>
      <c r="J101" s="236" t="str">
        <f t="shared" si="24"/>
        <v/>
      </c>
      <c r="K101" s="239" t="str">
        <f t="shared" si="25"/>
        <v/>
      </c>
      <c r="L101" s="247" t="str">
        <f t="shared" si="30"/>
        <v/>
      </c>
      <c r="M101" s="244" t="str">
        <f>IF(I101=""," ",IF(IN_DATA!R85=1,"Primary Rec.",IF(IN_DATA!R85=2,"Water Flood",IF(IN_DATA!R85=3,"CO2 Flood",""))))</f>
        <v xml:space="preserve"> </v>
      </c>
      <c r="N101" s="109" t="str">
        <f>IF(I101="","",IF(O101=0, 0, OpCost!AD90))</f>
        <v/>
      </c>
      <c r="O101" s="187" t="str">
        <f>IF(OpCost!AE90="", "", OpCost!AE90)</f>
        <v/>
      </c>
      <c r="P101" s="251" t="str">
        <f>IF(F101="","",((IN_DATA!C85+IN_DATA!D85/10)/IN_DATA!P85))</f>
        <v/>
      </c>
      <c r="Q101" s="248" t="str">
        <f>IF(F101="","",SUM($P$21:P101)*365)</f>
        <v/>
      </c>
      <c r="R101" s="249" t="str">
        <f>IF(F101="", "", HLOOKUP(C101,'Reference-Crown Royalties'!$D$2:$AB$49,MATCH(P101,'Reference-Crown Royalties'!$A$2:$A$49,1),TRUE))</f>
        <v/>
      </c>
      <c r="S101" s="276" t="str">
        <f>IF(F101="", "", IF(IN_DATA!R85=3, CO2_Royalty_Factor, IF('Economics Summary'!A101&lt;2, IF('Economics Summary'!Q101&lt;60000, 0.05, ((60000*0.05+('Economics Summary'!Q101-60000)*R101)/'Economics Summary'!Q101)),R101)))</f>
        <v/>
      </c>
      <c r="T101" s="250" t="str">
        <f t="shared" si="26"/>
        <v/>
      </c>
      <c r="U101" s="250" t="str">
        <f t="shared" si="27"/>
        <v/>
      </c>
      <c r="V101" s="344" t="str">
        <f t="shared" si="19"/>
        <v/>
      </c>
      <c r="W101" s="257" t="str">
        <f>IF(F101="","",SUM($V$21:V101))</f>
        <v/>
      </c>
      <c r="X101" s="260" t="str">
        <f xml:space="preserve"> IF(OR(F101="",SUM(IN_DATA!$H$5:'IN_DATA'!H85)=0), "", 1-SUM(IN_DATA!$F$5:'IN_DATA'!F85)/SUM(IN_DATA!$H$5:'IN_DATA'!H85))</f>
        <v/>
      </c>
      <c r="Y101" s="307" t="str">
        <f>IF(OR(F101="",SUM(IN_DATA!$H$5:'IN_DATA'!H85)=0),"",365*(SUM(IN_DATA!$H$5:'IN_DATA'!H85)-SUM(IN_DATA!$F$5:'IN_DATA'!F85))/1000)</f>
        <v/>
      </c>
      <c r="Z101" s="346" t="str">
        <f t="shared" si="28"/>
        <v/>
      </c>
      <c r="AA101" s="370" t="str">
        <f t="shared" si="20"/>
        <v/>
      </c>
      <c r="AB101" s="373" t="str">
        <f>IF(F101="", "", IF(IN_DATA!R85=3, MAX(CO2_Royalty_Factor-Z101/10000,0), IF('Economics Summary'!A101&lt;2, IF('Economics Summary'!Q101&lt;60000, 0.05, ((60000*0.05+('Economics Summary'!Q101-60000)*R101)/'Economics Summary'!Q101)),R101)))</f>
        <v/>
      </c>
      <c r="AC101" s="377" t="str">
        <f t="shared" si="29"/>
        <v/>
      </c>
      <c r="AD101" s="378" t="str">
        <f t="shared" si="21"/>
        <v/>
      </c>
    </row>
    <row r="102" spans="1:30" x14ac:dyDescent="0.2">
      <c r="A102" s="178">
        <v>81</v>
      </c>
      <c r="B102" s="178">
        <f t="shared" si="18"/>
        <v>2093</v>
      </c>
      <c r="C102" s="292" t="str">
        <f>IF(IN_DATA!C86="","",MAX(min_oil_price,MIN(C101+C101*$L$6,max_oil_price)))</f>
        <v/>
      </c>
      <c r="D102" s="293" t="str">
        <f>IF(IN_DATA!C86="","",MAX(min_gas_price,MIN(D101+D101*$L$7,max_gas_price)))</f>
        <v/>
      </c>
      <c r="E102" s="294" t="str">
        <f>IF(IN_DATA!C86="","",MIN(E101+E101*$L$8,16))</f>
        <v/>
      </c>
      <c r="F102" s="110" t="str">
        <f>IF(O102="", "", IN_DATA!C86*365*OCF*FPF)</f>
        <v/>
      </c>
      <c r="G102" s="184" t="str">
        <f>IF(O102="","",IN_DATA!D86*365*FPF*OCF)</f>
        <v/>
      </c>
      <c r="H102" s="235" t="str">
        <f t="shared" si="22"/>
        <v/>
      </c>
      <c r="I102" s="238" t="str">
        <f t="shared" si="23"/>
        <v/>
      </c>
      <c r="J102" s="236" t="str">
        <f t="shared" si="24"/>
        <v/>
      </c>
      <c r="K102" s="239" t="str">
        <f t="shared" si="25"/>
        <v/>
      </c>
      <c r="L102" s="247" t="str">
        <f t="shared" si="30"/>
        <v/>
      </c>
      <c r="M102" s="244" t="str">
        <f>IF(I102=""," ",IF(IN_DATA!R86=1,"Primary Rec.",IF(IN_DATA!R86=2,"Water Flood",IF(IN_DATA!R86=3,"CO2 Flood",""))))</f>
        <v xml:space="preserve"> </v>
      </c>
      <c r="N102" s="109" t="str">
        <f>IF(I102="","",IF(O102=0, 0, OpCost!AD91))</f>
        <v/>
      </c>
      <c r="O102" s="187" t="str">
        <f>IF(OpCost!AE91="", "", OpCost!AE91)</f>
        <v/>
      </c>
      <c r="P102" s="251" t="str">
        <f>IF(F102="","",((IN_DATA!C86+IN_DATA!D86/10)/IN_DATA!P86))</f>
        <v/>
      </c>
      <c r="Q102" s="248" t="str">
        <f>IF(F102="","",SUM($P$21:P102)*365)</f>
        <v/>
      </c>
      <c r="R102" s="249" t="str">
        <f>IF(F102="", "", HLOOKUP(C102,'Reference-Crown Royalties'!$D$2:$AB$49,MATCH(P102,'Reference-Crown Royalties'!$A$2:$A$49,1),TRUE))</f>
        <v/>
      </c>
      <c r="S102" s="276" t="str">
        <f>IF(F102="", "", IF(IN_DATA!R86=3, CO2_Royalty_Factor, IF('Economics Summary'!A102&lt;2, IF('Economics Summary'!Q102&lt;60000, 0.05, ((60000*0.05+('Economics Summary'!Q102-60000)*R102)/'Economics Summary'!Q102)),R102)))</f>
        <v/>
      </c>
      <c r="T102" s="250" t="str">
        <f t="shared" si="26"/>
        <v/>
      </c>
      <c r="U102" s="250" t="str">
        <f t="shared" si="27"/>
        <v/>
      </c>
      <c r="V102" s="344" t="str">
        <f t="shared" si="19"/>
        <v/>
      </c>
      <c r="W102" s="257" t="str">
        <f>IF(F102="","",SUM($V$21:V102))</f>
        <v/>
      </c>
      <c r="X102" s="260" t="str">
        <f xml:space="preserve"> IF(OR(F102="",SUM(IN_DATA!$H$5:'IN_DATA'!H86)=0), "", 1-SUM(IN_DATA!$F$5:'IN_DATA'!F86)/SUM(IN_DATA!$H$5:'IN_DATA'!H86))</f>
        <v/>
      </c>
      <c r="Y102" s="307" t="str">
        <f>IF(OR(F102="",SUM(IN_DATA!$H$5:'IN_DATA'!H86)=0),"",365*(SUM(IN_DATA!$H$5:'IN_DATA'!H86)-SUM(IN_DATA!$F$5:'IN_DATA'!F86))/1000)</f>
        <v/>
      </c>
      <c r="Z102" s="346" t="str">
        <f t="shared" si="28"/>
        <v/>
      </c>
      <c r="AA102" s="370" t="str">
        <f t="shared" si="20"/>
        <v/>
      </c>
      <c r="AB102" s="373" t="str">
        <f>IF(F102="", "", IF(IN_DATA!R86=3, MAX(CO2_Royalty_Factor-Z102/10000,0), IF('Economics Summary'!A102&lt;2, IF('Economics Summary'!Q102&lt;60000, 0.05, ((60000*0.05+('Economics Summary'!Q102-60000)*R102)/'Economics Summary'!Q102)),R102)))</f>
        <v/>
      </c>
      <c r="AC102" s="377" t="str">
        <f t="shared" si="29"/>
        <v/>
      </c>
      <c r="AD102" s="378" t="str">
        <f t="shared" si="21"/>
        <v/>
      </c>
    </row>
    <row r="103" spans="1:30" x14ac:dyDescent="0.2">
      <c r="A103" s="178">
        <v>82</v>
      </c>
      <c r="B103" s="178">
        <f t="shared" ref="B103:B120" si="31">A103+$B$16</f>
        <v>2094</v>
      </c>
      <c r="C103" s="292" t="str">
        <f>IF(IN_DATA!C87="","",MAX(min_oil_price,MIN(C102+C102*$L$6,max_oil_price)))</f>
        <v/>
      </c>
      <c r="D103" s="293" t="str">
        <f>IF(IN_DATA!C87="","",MAX(min_gas_price,MIN(D102+D102*$L$7,max_gas_price)))</f>
        <v/>
      </c>
      <c r="E103" s="294" t="str">
        <f>IF(IN_DATA!C87="","",MIN(E102+E102*$L$8,16))</f>
        <v/>
      </c>
      <c r="F103" s="110" t="str">
        <f>IF(O103="", "", IN_DATA!C87*365*OCF*FPF)</f>
        <v/>
      </c>
      <c r="G103" s="184" t="str">
        <f>IF(O103="","",IN_DATA!D87*365*FPF*OCF)</f>
        <v/>
      </c>
      <c r="H103" s="235" t="str">
        <f t="shared" si="22"/>
        <v/>
      </c>
      <c r="I103" s="238" t="str">
        <f t="shared" si="23"/>
        <v/>
      </c>
      <c r="J103" s="236" t="str">
        <f t="shared" si="24"/>
        <v/>
      </c>
      <c r="K103" s="239" t="str">
        <f t="shared" si="25"/>
        <v/>
      </c>
      <c r="L103" s="247" t="str">
        <f t="shared" si="30"/>
        <v/>
      </c>
      <c r="M103" s="244" t="str">
        <f>IF(I103=""," ",IF(IN_DATA!R87=1,"Primary Rec.",IF(IN_DATA!R87=2,"Water Flood",IF(IN_DATA!R87=3,"CO2 Flood",""))))</f>
        <v xml:space="preserve"> </v>
      </c>
      <c r="N103" s="109" t="str">
        <f>IF(I103="","",IF(O103=0, 0, OpCost!AD92))</f>
        <v/>
      </c>
      <c r="O103" s="187" t="str">
        <f>IF(OpCost!AE92="", "", OpCost!AE92)</f>
        <v/>
      </c>
      <c r="P103" s="251" t="str">
        <f>IF(F103="","",((IN_DATA!C87+IN_DATA!D87/10)/IN_DATA!P87))</f>
        <v/>
      </c>
      <c r="Q103" s="248" t="str">
        <f>IF(F103="","",SUM($P$21:P103)*365)</f>
        <v/>
      </c>
      <c r="R103" s="249" t="str">
        <f>IF(F103="", "", HLOOKUP(C103,'Reference-Crown Royalties'!$D$2:$AB$49,MATCH(P103,'Reference-Crown Royalties'!$A$2:$A$49,1),TRUE))</f>
        <v/>
      </c>
      <c r="S103" s="276" t="str">
        <f>IF(F103="", "", IF(IN_DATA!R87=3, CO2_Royalty_Factor, IF('Economics Summary'!A103&lt;2, IF('Economics Summary'!Q103&lt;60000, 0.05, ((60000*0.05+('Economics Summary'!Q103-60000)*R103)/'Economics Summary'!Q103)),R103)))</f>
        <v/>
      </c>
      <c r="T103" s="250" t="str">
        <f t="shared" si="26"/>
        <v/>
      </c>
      <c r="U103" s="250" t="str">
        <f t="shared" si="27"/>
        <v/>
      </c>
      <c r="V103" s="344" t="str">
        <f t="shared" si="19"/>
        <v/>
      </c>
      <c r="W103" s="257" t="str">
        <f>IF(F103="","",SUM($V$21:V103))</f>
        <v/>
      </c>
      <c r="X103" s="260" t="str">
        <f xml:space="preserve"> IF(OR(F103="",SUM(IN_DATA!$H$5:'IN_DATA'!H87)=0), "", 1-SUM(IN_DATA!$F$5:'IN_DATA'!F87)/SUM(IN_DATA!$H$5:'IN_DATA'!H87))</f>
        <v/>
      </c>
      <c r="Y103" s="307" t="str">
        <f>IF(OR(F103="",SUM(IN_DATA!$H$5:'IN_DATA'!H87)=0),"",365*(SUM(IN_DATA!$H$5:'IN_DATA'!H87)-SUM(IN_DATA!$F$5:'IN_DATA'!F87))/1000)</f>
        <v/>
      </c>
      <c r="Z103" s="346" t="str">
        <f t="shared" si="28"/>
        <v/>
      </c>
      <c r="AA103" s="370" t="str">
        <f t="shared" si="20"/>
        <v/>
      </c>
      <c r="AB103" s="373" t="str">
        <f>IF(F103="", "", IF(IN_DATA!R87=3, MAX(CO2_Royalty_Factor-Z103/10000,0), IF('Economics Summary'!A103&lt;2, IF('Economics Summary'!Q103&lt;60000, 0.05, ((60000*0.05+('Economics Summary'!Q103-60000)*R103)/'Economics Summary'!Q103)),R103)))</f>
        <v/>
      </c>
      <c r="AC103" s="377" t="str">
        <f t="shared" si="29"/>
        <v/>
      </c>
      <c r="AD103" s="378" t="str">
        <f t="shared" si="21"/>
        <v/>
      </c>
    </row>
    <row r="104" spans="1:30" x14ac:dyDescent="0.2">
      <c r="A104" s="178">
        <v>83</v>
      </c>
      <c r="B104" s="178">
        <f t="shared" si="31"/>
        <v>2095</v>
      </c>
      <c r="C104" s="292" t="str">
        <f>IF(IN_DATA!C88="","",MAX(min_oil_price,MIN(C103+C103*$L$6,max_oil_price)))</f>
        <v/>
      </c>
      <c r="D104" s="293" t="str">
        <f>IF(IN_DATA!C88="","",MAX(min_gas_price,MIN(D103+D103*$L$7,max_gas_price)))</f>
        <v/>
      </c>
      <c r="E104" s="294" t="str">
        <f>IF(IN_DATA!C88="","",MIN(E103+E103*$L$8,16))</f>
        <v/>
      </c>
      <c r="F104" s="110" t="str">
        <f>IF(O104="", "", IN_DATA!C88*365*OCF*FPF)</f>
        <v/>
      </c>
      <c r="G104" s="184" t="str">
        <f>IF(O104="","",IN_DATA!D88*365*FPF*OCF)</f>
        <v/>
      </c>
      <c r="H104" s="235" t="str">
        <f t="shared" si="22"/>
        <v/>
      </c>
      <c r="I104" s="238" t="str">
        <f t="shared" si="23"/>
        <v/>
      </c>
      <c r="J104" s="236" t="str">
        <f t="shared" si="24"/>
        <v/>
      </c>
      <c r="K104" s="239" t="str">
        <f t="shared" si="25"/>
        <v/>
      </c>
      <c r="L104" s="247" t="str">
        <f t="shared" si="30"/>
        <v/>
      </c>
      <c r="M104" s="244" t="str">
        <f>IF(I104=""," ",IF(IN_DATA!R88=1,"Primary Rec.",IF(IN_DATA!R88=2,"Water Flood",IF(IN_DATA!R88=3,"CO2 Flood",""))))</f>
        <v xml:space="preserve"> </v>
      </c>
      <c r="N104" s="109" t="str">
        <f>IF(I104="","",IF(O104=0, 0, OpCost!AD93))</f>
        <v/>
      </c>
      <c r="O104" s="187" t="str">
        <f>IF(OpCost!AE93="", "", OpCost!AE93)</f>
        <v/>
      </c>
      <c r="P104" s="251" t="str">
        <f>IF(F104="","",((IN_DATA!C88+IN_DATA!D88/10)/IN_DATA!P88))</f>
        <v/>
      </c>
      <c r="Q104" s="248" t="str">
        <f>IF(F104="","",SUM($P$21:P104)*365)</f>
        <v/>
      </c>
      <c r="R104" s="249" t="str">
        <f>IF(F104="", "", HLOOKUP(C104,'Reference-Crown Royalties'!$D$2:$AB$49,MATCH(P104,'Reference-Crown Royalties'!$A$2:$A$49,1),TRUE))</f>
        <v/>
      </c>
      <c r="S104" s="276" t="str">
        <f>IF(F104="", "", IF(IN_DATA!R88=3, CO2_Royalty_Factor, IF('Economics Summary'!A104&lt;2, IF('Economics Summary'!Q104&lt;60000, 0.05, ((60000*0.05+('Economics Summary'!Q104-60000)*R104)/'Economics Summary'!Q104)),R104)))</f>
        <v/>
      </c>
      <c r="T104" s="250" t="str">
        <f t="shared" si="26"/>
        <v/>
      </c>
      <c r="U104" s="250" t="str">
        <f t="shared" si="27"/>
        <v/>
      </c>
      <c r="V104" s="344" t="str">
        <f t="shared" si="19"/>
        <v/>
      </c>
      <c r="W104" s="257" t="str">
        <f>IF(F104="","",SUM($V$21:V104))</f>
        <v/>
      </c>
      <c r="X104" s="260" t="str">
        <f xml:space="preserve"> IF(OR(F104="",SUM(IN_DATA!$H$5:'IN_DATA'!H88)=0), "", 1-SUM(IN_DATA!$F$5:'IN_DATA'!F88)/SUM(IN_DATA!$H$5:'IN_DATA'!H88))</f>
        <v/>
      </c>
      <c r="Y104" s="307" t="str">
        <f>IF(OR(F104="",SUM(IN_DATA!$H$5:'IN_DATA'!H88)=0),"",365*(SUM(IN_DATA!$H$5:'IN_DATA'!H88)-SUM(IN_DATA!$F$5:'IN_DATA'!F88))/1000)</f>
        <v/>
      </c>
      <c r="Z104" s="346" t="str">
        <f t="shared" si="28"/>
        <v/>
      </c>
      <c r="AA104" s="370" t="str">
        <f t="shared" si="20"/>
        <v/>
      </c>
      <c r="AB104" s="373" t="str">
        <f>IF(F104="", "", IF(IN_DATA!R88=3, MAX(CO2_Royalty_Factor-Z104/10000,0), IF('Economics Summary'!A104&lt;2, IF('Economics Summary'!Q104&lt;60000, 0.05, ((60000*0.05+('Economics Summary'!Q104-60000)*R104)/'Economics Summary'!Q104)),R104)))</f>
        <v/>
      </c>
      <c r="AC104" s="377" t="str">
        <f t="shared" si="29"/>
        <v/>
      </c>
      <c r="AD104" s="378" t="str">
        <f t="shared" si="21"/>
        <v/>
      </c>
    </row>
    <row r="105" spans="1:30" x14ac:dyDescent="0.2">
      <c r="A105" s="178">
        <v>84</v>
      </c>
      <c r="B105" s="178">
        <f t="shared" si="31"/>
        <v>2096</v>
      </c>
      <c r="C105" s="292" t="str">
        <f>IF(IN_DATA!C89="","",MAX(min_oil_price,MIN(C104+C104*$L$6,max_oil_price)))</f>
        <v/>
      </c>
      <c r="D105" s="293" t="str">
        <f>IF(IN_DATA!C89="","",MAX(min_gas_price,MIN(D104+D104*$L$7,max_gas_price)))</f>
        <v/>
      </c>
      <c r="E105" s="294" t="str">
        <f>IF(IN_DATA!C89="","",MIN(E104+E104*$L$8,16))</f>
        <v/>
      </c>
      <c r="F105" s="110" t="str">
        <f>IF(O105="", "", IN_DATA!C89*365*OCF*FPF)</f>
        <v/>
      </c>
      <c r="G105" s="184" t="str">
        <f>IF(O105="","",IN_DATA!D89*365*FPF*OCF)</f>
        <v/>
      </c>
      <c r="H105" s="235" t="str">
        <f t="shared" si="22"/>
        <v/>
      </c>
      <c r="I105" s="238" t="str">
        <f t="shared" si="23"/>
        <v/>
      </c>
      <c r="J105" s="236" t="str">
        <f t="shared" si="24"/>
        <v/>
      </c>
      <c r="K105" s="239" t="str">
        <f t="shared" si="25"/>
        <v/>
      </c>
      <c r="L105" s="247" t="str">
        <f t="shared" si="30"/>
        <v/>
      </c>
      <c r="M105" s="244" t="str">
        <f>IF(I105=""," ",IF(IN_DATA!R89=1,"Primary Rec.",IF(IN_DATA!R89=2,"Water Flood",IF(IN_DATA!R89=3,"CO2 Flood",""))))</f>
        <v xml:space="preserve"> </v>
      </c>
      <c r="N105" s="109" t="str">
        <f>IF(I105="","",IF(O105=0, 0, OpCost!AD94))</f>
        <v/>
      </c>
      <c r="O105" s="187" t="str">
        <f>IF(OpCost!AE94="", "", OpCost!AE94)</f>
        <v/>
      </c>
      <c r="P105" s="251" t="str">
        <f>IF(F105="","",((IN_DATA!C89+IN_DATA!D89/10)/IN_DATA!P89))</f>
        <v/>
      </c>
      <c r="Q105" s="248" t="str">
        <f>IF(F105="","",SUM($P$21:P105)*365)</f>
        <v/>
      </c>
      <c r="R105" s="249" t="str">
        <f>IF(F105="", "", HLOOKUP(C105,'Reference-Crown Royalties'!$D$2:$AB$49,MATCH(P105,'Reference-Crown Royalties'!$A$2:$A$49,1),TRUE))</f>
        <v/>
      </c>
      <c r="S105" s="276" t="str">
        <f>IF(F105="", "", IF(IN_DATA!R89=3, CO2_Royalty_Factor, IF('Economics Summary'!A105&lt;2, IF('Economics Summary'!Q105&lt;60000, 0.05, ((60000*0.05+('Economics Summary'!Q105-60000)*R105)/'Economics Summary'!Q105)),R105)))</f>
        <v/>
      </c>
      <c r="T105" s="250" t="str">
        <f t="shared" si="26"/>
        <v/>
      </c>
      <c r="U105" s="250" t="str">
        <f t="shared" si="27"/>
        <v/>
      </c>
      <c r="V105" s="344" t="str">
        <f t="shared" si="19"/>
        <v/>
      </c>
      <c r="W105" s="257" t="str">
        <f>IF(F105="","",SUM($V$21:V105))</f>
        <v/>
      </c>
      <c r="X105" s="260" t="str">
        <f xml:space="preserve"> IF(OR(F105="",SUM(IN_DATA!$H$5:'IN_DATA'!H89)=0), "", 1-SUM(IN_DATA!$F$5:'IN_DATA'!F89)/SUM(IN_DATA!$H$5:'IN_DATA'!H89))</f>
        <v/>
      </c>
      <c r="Y105" s="307" t="str">
        <f>IF(OR(F105="",SUM(IN_DATA!$H$5:'IN_DATA'!H89)=0),"",365*(SUM(IN_DATA!$H$5:'IN_DATA'!H89)-SUM(IN_DATA!$F$5:'IN_DATA'!F89))/1000)</f>
        <v/>
      </c>
      <c r="Z105" s="346" t="str">
        <f t="shared" si="28"/>
        <v/>
      </c>
      <c r="AA105" s="370" t="str">
        <f t="shared" si="20"/>
        <v/>
      </c>
      <c r="AB105" s="373" t="str">
        <f>IF(F105="", "", IF(IN_DATA!R89=3, MAX(CO2_Royalty_Factor-Z105/10000,0), IF('Economics Summary'!A105&lt;2, IF('Economics Summary'!Q105&lt;60000, 0.05, ((60000*0.05+('Economics Summary'!Q105-60000)*R105)/'Economics Summary'!Q105)),R105)))</f>
        <v/>
      </c>
      <c r="AC105" s="377" t="str">
        <f t="shared" si="29"/>
        <v/>
      </c>
      <c r="AD105" s="378" t="str">
        <f t="shared" si="21"/>
        <v/>
      </c>
    </row>
    <row r="106" spans="1:30" x14ac:dyDescent="0.2">
      <c r="A106" s="178">
        <v>85</v>
      </c>
      <c r="B106" s="178">
        <f t="shared" si="31"/>
        <v>2097</v>
      </c>
      <c r="C106" s="292" t="str">
        <f>IF(IN_DATA!C90="","",MAX(min_oil_price,MIN(C105+C105*$L$6,max_oil_price)))</f>
        <v/>
      </c>
      <c r="D106" s="293" t="str">
        <f>IF(IN_DATA!C90="","",MAX(min_gas_price,MIN(D105+D105*$L$7,max_gas_price)))</f>
        <v/>
      </c>
      <c r="E106" s="294" t="str">
        <f>IF(IN_DATA!C90="","",MIN(E105+E105*$L$8,16))</f>
        <v/>
      </c>
      <c r="F106" s="110" t="str">
        <f>IF(O106="", "", IN_DATA!C90*365*OCF*FPF)</f>
        <v/>
      </c>
      <c r="G106" s="184" t="str">
        <f>IF(O106="","",IN_DATA!D90*365*FPF*OCF)</f>
        <v/>
      </c>
      <c r="H106" s="235" t="str">
        <f t="shared" si="22"/>
        <v/>
      </c>
      <c r="I106" s="238" t="str">
        <f t="shared" si="23"/>
        <v/>
      </c>
      <c r="J106" s="236" t="str">
        <f t="shared" si="24"/>
        <v/>
      </c>
      <c r="K106" s="239" t="str">
        <f t="shared" si="25"/>
        <v/>
      </c>
      <c r="L106" s="247" t="str">
        <f t="shared" si="30"/>
        <v/>
      </c>
      <c r="M106" s="244" t="str">
        <f>IF(I106=""," ",IF(IN_DATA!R90=1,"Primary Rec.",IF(IN_DATA!R90=2,"Water Flood",IF(IN_DATA!R90=3,"CO2 Flood",""))))</f>
        <v xml:space="preserve"> </v>
      </c>
      <c r="N106" s="109" t="str">
        <f>IF(I106="","",IF(O106=0, 0, OpCost!AD95))</f>
        <v/>
      </c>
      <c r="O106" s="187" t="str">
        <f>IF(OpCost!AE95="", "", OpCost!AE95)</f>
        <v/>
      </c>
      <c r="P106" s="251" t="str">
        <f>IF(F106="","",((IN_DATA!C90+IN_DATA!D90/10)/IN_DATA!P90))</f>
        <v/>
      </c>
      <c r="Q106" s="248" t="str">
        <f>IF(F106="","",SUM($P$21:P106)*365)</f>
        <v/>
      </c>
      <c r="R106" s="249" t="str">
        <f>IF(F106="", "", HLOOKUP(C106,'Reference-Crown Royalties'!$D$2:$AB$49,MATCH(P106,'Reference-Crown Royalties'!$A$2:$A$49,1),TRUE))</f>
        <v/>
      </c>
      <c r="S106" s="276" t="str">
        <f>IF(F106="", "", IF(IN_DATA!R90=3, CO2_Royalty_Factor, IF('Economics Summary'!A106&lt;2, IF('Economics Summary'!Q106&lt;60000, 0.05, ((60000*0.05+('Economics Summary'!Q106-60000)*R106)/'Economics Summary'!Q106)),R106)))</f>
        <v/>
      </c>
      <c r="T106" s="250" t="str">
        <f t="shared" si="26"/>
        <v/>
      </c>
      <c r="U106" s="250" t="str">
        <f t="shared" si="27"/>
        <v/>
      </c>
      <c r="V106" s="344" t="str">
        <f t="shared" si="19"/>
        <v/>
      </c>
      <c r="W106" s="257" t="str">
        <f>IF(F106="","",SUM($V$21:V106))</f>
        <v/>
      </c>
      <c r="X106" s="260" t="str">
        <f xml:space="preserve"> IF(OR(F106="",SUM(IN_DATA!$H$5:'IN_DATA'!H90)=0), "", 1-SUM(IN_DATA!$F$5:'IN_DATA'!F90)/SUM(IN_DATA!$H$5:'IN_DATA'!H90))</f>
        <v/>
      </c>
      <c r="Y106" s="307" t="str">
        <f>IF(OR(F106="",SUM(IN_DATA!$H$5:'IN_DATA'!H90)=0),"",365*(SUM(IN_DATA!$H$5:'IN_DATA'!H90)-SUM(IN_DATA!$F$5:'IN_DATA'!F90))/1000)</f>
        <v/>
      </c>
      <c r="Z106" s="346" t="str">
        <f t="shared" si="28"/>
        <v/>
      </c>
      <c r="AA106" s="370" t="str">
        <f t="shared" si="20"/>
        <v/>
      </c>
      <c r="AB106" s="373" t="str">
        <f>IF(F106="", "", IF(IN_DATA!R90=3, MAX(CO2_Royalty_Factor-Z106/10000,0), IF('Economics Summary'!A106&lt;2, IF('Economics Summary'!Q106&lt;60000, 0.05, ((60000*0.05+('Economics Summary'!Q106-60000)*R106)/'Economics Summary'!Q106)),R106)))</f>
        <v/>
      </c>
      <c r="AC106" s="377" t="str">
        <f t="shared" si="29"/>
        <v/>
      </c>
      <c r="AD106" s="378" t="str">
        <f t="shared" si="21"/>
        <v/>
      </c>
    </row>
    <row r="107" spans="1:30" x14ac:dyDescent="0.2">
      <c r="A107" s="178">
        <v>86</v>
      </c>
      <c r="B107" s="178">
        <f t="shared" si="31"/>
        <v>2098</v>
      </c>
      <c r="C107" s="292" t="str">
        <f>IF(IN_DATA!C91="","",MAX(min_oil_price,MIN(C106+C106*$L$6,max_oil_price)))</f>
        <v/>
      </c>
      <c r="D107" s="293" t="str">
        <f>IF(IN_DATA!C91="","",MAX(min_gas_price,MIN(D106+D106*$L$7,max_gas_price)))</f>
        <v/>
      </c>
      <c r="E107" s="294" t="str">
        <f>IF(IN_DATA!C91="","",MIN(E106+E106*$L$8,16))</f>
        <v/>
      </c>
      <c r="F107" s="110" t="str">
        <f>IF(O107="", "", IN_DATA!C91*365*OCF*FPF)</f>
        <v/>
      </c>
      <c r="G107" s="184" t="str">
        <f>IF(O107="","",IN_DATA!D91*365*FPF*OCF)</f>
        <v/>
      </c>
      <c r="H107" s="235" t="str">
        <f t="shared" si="22"/>
        <v/>
      </c>
      <c r="I107" s="238" t="str">
        <f t="shared" si="23"/>
        <v/>
      </c>
      <c r="J107" s="236" t="str">
        <f t="shared" si="24"/>
        <v/>
      </c>
      <c r="K107" s="239" t="str">
        <f t="shared" si="25"/>
        <v/>
      </c>
      <c r="L107" s="247" t="str">
        <f t="shared" si="30"/>
        <v/>
      </c>
      <c r="M107" s="244" t="str">
        <f>IF(I107=""," ",IF(IN_DATA!R91=1,"Primary Rec.",IF(IN_DATA!R91=2,"Water Flood",IF(IN_DATA!R91=3,"CO2 Flood",""))))</f>
        <v xml:space="preserve"> </v>
      </c>
      <c r="N107" s="109" t="str">
        <f>IF(I107="","",IF(O107=0, 0, OpCost!AD96))</f>
        <v/>
      </c>
      <c r="O107" s="187" t="str">
        <f>IF(OpCost!AE96="", "", OpCost!AE96)</f>
        <v/>
      </c>
      <c r="P107" s="251" t="str">
        <f>IF(F107="","",((IN_DATA!C91+IN_DATA!D91/10)/IN_DATA!P91))</f>
        <v/>
      </c>
      <c r="Q107" s="248" t="str">
        <f>IF(F107="","",SUM($P$21:P107)*365)</f>
        <v/>
      </c>
      <c r="R107" s="249" t="str">
        <f>IF(F107="", "", HLOOKUP(C107,'Reference-Crown Royalties'!$D$2:$AB$49,MATCH(P107,'Reference-Crown Royalties'!$A$2:$A$49,1),TRUE))</f>
        <v/>
      </c>
      <c r="S107" s="276" t="str">
        <f>IF(F107="", "", IF(IN_DATA!R91=3, CO2_Royalty_Factor, IF('Economics Summary'!A107&lt;2, IF('Economics Summary'!Q107&lt;60000, 0.05, ((60000*0.05+('Economics Summary'!Q107-60000)*R107)/'Economics Summary'!Q107)),R107)))</f>
        <v/>
      </c>
      <c r="T107" s="250" t="str">
        <f t="shared" si="26"/>
        <v/>
      </c>
      <c r="U107" s="250" t="str">
        <f t="shared" si="27"/>
        <v/>
      </c>
      <c r="V107" s="344" t="str">
        <f t="shared" si="19"/>
        <v/>
      </c>
      <c r="W107" s="257" t="str">
        <f>IF(F107="","",SUM($V$21:V107))</f>
        <v/>
      </c>
      <c r="X107" s="260" t="str">
        <f xml:space="preserve"> IF(OR(F107="",SUM(IN_DATA!$H$5:'IN_DATA'!H91)=0), "", 1-SUM(IN_DATA!$F$5:'IN_DATA'!F91)/SUM(IN_DATA!$H$5:'IN_DATA'!H91))</f>
        <v/>
      </c>
      <c r="Y107" s="307" t="str">
        <f>IF(OR(F107="",SUM(IN_DATA!$H$5:'IN_DATA'!H91)=0),"",365*(SUM(IN_DATA!$H$5:'IN_DATA'!H91)-SUM(IN_DATA!$F$5:'IN_DATA'!F91))/1000)</f>
        <v/>
      </c>
      <c r="Z107" s="346" t="str">
        <f t="shared" si="28"/>
        <v/>
      </c>
      <c r="AA107" s="370" t="str">
        <f t="shared" si="20"/>
        <v/>
      </c>
      <c r="AB107" s="373" t="str">
        <f>IF(F107="", "", IF(IN_DATA!R91=3, MAX(CO2_Royalty_Factor-Z107/10000,0), IF('Economics Summary'!A107&lt;2, IF('Economics Summary'!Q107&lt;60000, 0.05, ((60000*0.05+('Economics Summary'!Q107-60000)*R107)/'Economics Summary'!Q107)),R107)))</f>
        <v/>
      </c>
      <c r="AC107" s="377" t="str">
        <f t="shared" si="29"/>
        <v/>
      </c>
      <c r="AD107" s="378" t="str">
        <f t="shared" si="21"/>
        <v/>
      </c>
    </row>
    <row r="108" spans="1:30" x14ac:dyDescent="0.2">
      <c r="A108" s="178">
        <v>87</v>
      </c>
      <c r="B108" s="178">
        <f t="shared" si="31"/>
        <v>2099</v>
      </c>
      <c r="C108" s="292" t="str">
        <f>IF(IN_DATA!C92="","",MAX(min_oil_price,MIN(C107+C107*$L$6,max_oil_price)))</f>
        <v/>
      </c>
      <c r="D108" s="293" t="str">
        <f>IF(IN_DATA!C92="","",MAX(min_gas_price,MIN(D107+D107*$L$7,max_gas_price)))</f>
        <v/>
      </c>
      <c r="E108" s="294" t="str">
        <f>IF(IN_DATA!C92="","",MIN(E107+E107*$L$8,16))</f>
        <v/>
      </c>
      <c r="F108" s="110" t="str">
        <f>IF(O108="", "", IN_DATA!C92*365*OCF*FPF)</f>
        <v/>
      </c>
      <c r="G108" s="184" t="str">
        <f>IF(O108="","",IN_DATA!D92*365*FPF*OCF)</f>
        <v/>
      </c>
      <c r="H108" s="235" t="str">
        <f t="shared" si="22"/>
        <v/>
      </c>
      <c r="I108" s="238" t="str">
        <f t="shared" si="23"/>
        <v/>
      </c>
      <c r="J108" s="236" t="str">
        <f t="shared" si="24"/>
        <v/>
      </c>
      <c r="K108" s="239" t="str">
        <f t="shared" si="25"/>
        <v/>
      </c>
      <c r="L108" s="247" t="str">
        <f t="shared" si="30"/>
        <v/>
      </c>
      <c r="M108" s="244" t="str">
        <f>IF(I108=""," ",IF(IN_DATA!R92=1,"Primary Rec.",IF(IN_DATA!R92=2,"Water Flood",IF(IN_DATA!R92=3,"CO2 Flood",""))))</f>
        <v xml:space="preserve"> </v>
      </c>
      <c r="N108" s="109" t="str">
        <f>IF(I108="","",IF(O108=0, 0, OpCost!AD97))</f>
        <v/>
      </c>
      <c r="O108" s="187" t="str">
        <f>IF(OpCost!AE97="", "", OpCost!AE97)</f>
        <v/>
      </c>
      <c r="P108" s="251" t="str">
        <f>IF(F108="","",((IN_DATA!C92+IN_DATA!D92/10)/IN_DATA!P92))</f>
        <v/>
      </c>
      <c r="Q108" s="248" t="str">
        <f>IF(F108="","",SUM($P$21:P108)*365)</f>
        <v/>
      </c>
      <c r="R108" s="249" t="str">
        <f>IF(F108="", "", HLOOKUP(C108,'Reference-Crown Royalties'!$D$2:$AB$49,MATCH(P108,'Reference-Crown Royalties'!$A$2:$A$49,1),TRUE))</f>
        <v/>
      </c>
      <c r="S108" s="276" t="str">
        <f>IF(F108="", "", IF(IN_DATA!R92=3, CO2_Royalty_Factor, IF('Economics Summary'!A108&lt;2, IF('Economics Summary'!Q108&lt;60000, 0.05, ((60000*0.05+('Economics Summary'!Q108-60000)*R108)/'Economics Summary'!Q108)),R108)))</f>
        <v/>
      </c>
      <c r="T108" s="250" t="str">
        <f t="shared" si="26"/>
        <v/>
      </c>
      <c r="U108" s="250" t="str">
        <f t="shared" si="27"/>
        <v/>
      </c>
      <c r="V108" s="344" t="str">
        <f t="shared" si="19"/>
        <v/>
      </c>
      <c r="W108" s="257" t="str">
        <f>IF(F108="","",SUM($V$21:V108))</f>
        <v/>
      </c>
      <c r="X108" s="260" t="str">
        <f xml:space="preserve"> IF(OR(F108="",SUM(IN_DATA!$H$5:'IN_DATA'!H92)=0), "", 1-SUM(IN_DATA!$F$5:'IN_DATA'!F92)/SUM(IN_DATA!$H$5:'IN_DATA'!H92))</f>
        <v/>
      </c>
      <c r="Y108" s="307" t="str">
        <f>IF(OR(F108="",SUM(IN_DATA!$H$5:'IN_DATA'!H92)=0),"",365*(SUM(IN_DATA!$H$5:'IN_DATA'!H92)-SUM(IN_DATA!$F$5:'IN_DATA'!F92))/1000)</f>
        <v/>
      </c>
      <c r="Z108" s="346" t="str">
        <f t="shared" si="28"/>
        <v/>
      </c>
      <c r="AA108" s="370" t="str">
        <f t="shared" si="20"/>
        <v/>
      </c>
      <c r="AB108" s="373" t="str">
        <f>IF(F108="", "", IF(IN_DATA!R92=3, MAX(CO2_Royalty_Factor-Z108/10000,0), IF('Economics Summary'!A108&lt;2, IF('Economics Summary'!Q108&lt;60000, 0.05, ((60000*0.05+('Economics Summary'!Q108-60000)*R108)/'Economics Summary'!Q108)),R108)))</f>
        <v/>
      </c>
      <c r="AC108" s="377" t="str">
        <f t="shared" si="29"/>
        <v/>
      </c>
      <c r="AD108" s="378" t="str">
        <f t="shared" si="21"/>
        <v/>
      </c>
    </row>
    <row r="109" spans="1:30" x14ac:dyDescent="0.2">
      <c r="A109" s="178">
        <v>88</v>
      </c>
      <c r="B109" s="178">
        <f t="shared" si="31"/>
        <v>2100</v>
      </c>
      <c r="C109" s="292" t="str">
        <f>IF(IN_DATA!C93="","",MAX(min_oil_price,MIN(C108+C108*$L$6,max_oil_price)))</f>
        <v/>
      </c>
      <c r="D109" s="293" t="str">
        <f>IF(IN_DATA!C93="","",MAX(min_gas_price,MIN(D108+D108*$L$7,max_gas_price)))</f>
        <v/>
      </c>
      <c r="E109" s="294" t="str">
        <f>IF(IN_DATA!C93="","",MIN(E108+E108*$L$8,16))</f>
        <v/>
      </c>
      <c r="F109" s="110" t="str">
        <f>IF(O109="", "", IN_DATA!C93*365*OCF*FPF)</f>
        <v/>
      </c>
      <c r="G109" s="184" t="str">
        <f>IF(O109="","",IN_DATA!D93*365*FPF*OCF)</f>
        <v/>
      </c>
      <c r="H109" s="235" t="str">
        <f t="shared" si="22"/>
        <v/>
      </c>
      <c r="I109" s="238" t="str">
        <f t="shared" si="23"/>
        <v/>
      </c>
      <c r="J109" s="236" t="str">
        <f t="shared" si="24"/>
        <v/>
      </c>
      <c r="K109" s="239" t="str">
        <f t="shared" si="25"/>
        <v/>
      </c>
      <c r="L109" s="247" t="str">
        <f t="shared" si="30"/>
        <v/>
      </c>
      <c r="M109" s="244" t="str">
        <f>IF(I109=""," ",IF(IN_DATA!R93=1,"Primary Rec.",IF(IN_DATA!R93=2,"Water Flood",IF(IN_DATA!R93=3,"CO2 Flood",""))))</f>
        <v xml:space="preserve"> </v>
      </c>
      <c r="N109" s="109" t="str">
        <f>IF(I109="","",IF(O109=0, 0, OpCost!AD98))</f>
        <v/>
      </c>
      <c r="O109" s="187" t="str">
        <f>IF(OpCost!AE98="", "", OpCost!AE98)</f>
        <v/>
      </c>
      <c r="P109" s="251" t="str">
        <f>IF(F109="","",((IN_DATA!C93+IN_DATA!D93/10)/IN_DATA!P93))</f>
        <v/>
      </c>
      <c r="Q109" s="248" t="str">
        <f>IF(F109="","",SUM($P$21:P109)*365)</f>
        <v/>
      </c>
      <c r="R109" s="249" t="str">
        <f>IF(F109="", "", HLOOKUP(C109,'Reference-Crown Royalties'!$D$2:$AB$49,MATCH(P109,'Reference-Crown Royalties'!$A$2:$A$49,1),TRUE))</f>
        <v/>
      </c>
      <c r="S109" s="276" t="str">
        <f>IF(F109="", "", IF(IN_DATA!R93=3, CO2_Royalty_Factor, IF('Economics Summary'!A109&lt;2, IF('Economics Summary'!Q109&lt;60000, 0.05, ((60000*0.05+('Economics Summary'!Q109-60000)*R109)/'Economics Summary'!Q109)),R109)))</f>
        <v/>
      </c>
      <c r="T109" s="250" t="str">
        <f t="shared" si="26"/>
        <v/>
      </c>
      <c r="U109" s="250" t="str">
        <f t="shared" si="27"/>
        <v/>
      </c>
      <c r="V109" s="344" t="str">
        <f t="shared" si="19"/>
        <v/>
      </c>
      <c r="W109" s="257" t="str">
        <f>IF(F109="","",SUM($V$21:V109))</f>
        <v/>
      </c>
      <c r="X109" s="260" t="str">
        <f xml:space="preserve"> IF(OR(F109="",SUM(IN_DATA!$H$5:'IN_DATA'!H93)=0), "", 1-SUM(IN_DATA!$F$5:'IN_DATA'!F93)/SUM(IN_DATA!$H$5:'IN_DATA'!H93))</f>
        <v/>
      </c>
      <c r="Y109" s="307" t="str">
        <f>IF(OR(F109="",SUM(IN_DATA!$H$5:'IN_DATA'!H93)=0),"",365*(SUM(IN_DATA!$H$5:'IN_DATA'!H93)-SUM(IN_DATA!$F$5:'IN_DATA'!F93))/1000)</f>
        <v/>
      </c>
      <c r="Z109" s="346" t="str">
        <f t="shared" si="28"/>
        <v/>
      </c>
      <c r="AA109" s="370" t="str">
        <f t="shared" si="20"/>
        <v/>
      </c>
      <c r="AB109" s="373" t="str">
        <f>IF(F109="", "", IF(IN_DATA!R93=3, MAX(CO2_Royalty_Factor-Z109/10000,0), IF('Economics Summary'!A109&lt;2, IF('Economics Summary'!Q109&lt;60000, 0.05, ((60000*0.05+('Economics Summary'!Q109-60000)*R109)/'Economics Summary'!Q109)),R109)))</f>
        <v/>
      </c>
      <c r="AC109" s="377" t="str">
        <f t="shared" si="29"/>
        <v/>
      </c>
      <c r="AD109" s="378" t="str">
        <f t="shared" si="21"/>
        <v/>
      </c>
    </row>
    <row r="110" spans="1:30" x14ac:dyDescent="0.2">
      <c r="A110" s="178">
        <v>89</v>
      </c>
      <c r="B110" s="178">
        <f t="shared" si="31"/>
        <v>2101</v>
      </c>
      <c r="C110" s="292" t="str">
        <f>IF(IN_DATA!C94="","",MAX(min_oil_price,MIN(C109+C109*$L$6,max_oil_price)))</f>
        <v/>
      </c>
      <c r="D110" s="293" t="str">
        <f>IF(IN_DATA!C94="","",MAX(min_gas_price,MIN(D109+D109*$L$7,max_gas_price)))</f>
        <v/>
      </c>
      <c r="E110" s="294" t="str">
        <f>IF(IN_DATA!C94="","",MIN(E109+E109*$L$8,16))</f>
        <v/>
      </c>
      <c r="F110" s="110" t="str">
        <f>IF(O110="", "", IN_DATA!C94*365*OCF*FPF)</f>
        <v/>
      </c>
      <c r="G110" s="184" t="str">
        <f>IF(O110="","",IN_DATA!D94*365*FPF*OCF)</f>
        <v/>
      </c>
      <c r="H110" s="235" t="str">
        <f t="shared" si="22"/>
        <v/>
      </c>
      <c r="I110" s="238" t="str">
        <f t="shared" si="23"/>
        <v/>
      </c>
      <c r="J110" s="236" t="str">
        <f t="shared" si="24"/>
        <v/>
      </c>
      <c r="K110" s="239" t="str">
        <f t="shared" si="25"/>
        <v/>
      </c>
      <c r="L110" s="247" t="str">
        <f t="shared" si="30"/>
        <v/>
      </c>
      <c r="M110" s="244" t="str">
        <f>IF(I110=""," ",IF(IN_DATA!R94=1,"Primary Rec.",IF(IN_DATA!R94=2,"Water Flood",IF(IN_DATA!R94=3,"CO2 Flood",""))))</f>
        <v xml:space="preserve"> </v>
      </c>
      <c r="N110" s="109" t="str">
        <f>IF(I110="","",IF(O110=0, 0, OpCost!AD99))</f>
        <v/>
      </c>
      <c r="O110" s="187" t="str">
        <f>IF(OpCost!AE99="", "", OpCost!AE99)</f>
        <v/>
      </c>
      <c r="P110" s="251" t="str">
        <f>IF(F110="","",((IN_DATA!C94+IN_DATA!D94/10)/IN_DATA!P94))</f>
        <v/>
      </c>
      <c r="Q110" s="248" t="str">
        <f>IF(F110="","",SUM($P$21:P110)*365)</f>
        <v/>
      </c>
      <c r="R110" s="249" t="str">
        <f>IF(F110="", "", HLOOKUP(C110,'Reference-Crown Royalties'!$D$2:$AB$49,MATCH(P110,'Reference-Crown Royalties'!$A$2:$A$49,1),TRUE))</f>
        <v/>
      </c>
      <c r="S110" s="276" t="str">
        <f>IF(F110="", "", IF(IN_DATA!R94=3, CO2_Royalty_Factor, IF('Economics Summary'!A110&lt;2, IF('Economics Summary'!Q110&lt;60000, 0.05, ((60000*0.05+('Economics Summary'!Q110-60000)*R110)/'Economics Summary'!Q110)),R110)))</f>
        <v/>
      </c>
      <c r="T110" s="250" t="str">
        <f t="shared" si="26"/>
        <v/>
      </c>
      <c r="U110" s="250" t="str">
        <f t="shared" si="27"/>
        <v/>
      </c>
      <c r="V110" s="344" t="str">
        <f t="shared" si="19"/>
        <v/>
      </c>
      <c r="W110" s="257" t="str">
        <f>IF(F110="","",SUM($V$21:V110))</f>
        <v/>
      </c>
      <c r="X110" s="260" t="str">
        <f xml:space="preserve"> IF(OR(F110="",SUM(IN_DATA!$H$5:'IN_DATA'!H94)=0), "", 1-SUM(IN_DATA!$F$5:'IN_DATA'!F94)/SUM(IN_DATA!$H$5:'IN_DATA'!H94))</f>
        <v/>
      </c>
      <c r="Y110" s="307" t="str">
        <f>IF(OR(F110="",SUM(IN_DATA!$H$5:'IN_DATA'!H94)=0),"",365*(SUM(IN_DATA!$H$5:'IN_DATA'!H94)-SUM(IN_DATA!$F$5:'IN_DATA'!F94))/1000)</f>
        <v/>
      </c>
      <c r="Z110" s="346" t="str">
        <f t="shared" si="28"/>
        <v/>
      </c>
      <c r="AA110" s="370" t="str">
        <f t="shared" si="20"/>
        <v/>
      </c>
      <c r="AB110" s="373" t="str">
        <f>IF(F110="", "", IF(IN_DATA!R94=3, MAX(CO2_Royalty_Factor-Z110/10000,0), IF('Economics Summary'!A110&lt;2, IF('Economics Summary'!Q110&lt;60000, 0.05, ((60000*0.05+('Economics Summary'!Q110-60000)*R110)/'Economics Summary'!Q110)),R110)))</f>
        <v/>
      </c>
      <c r="AC110" s="377" t="str">
        <f t="shared" si="29"/>
        <v/>
      </c>
      <c r="AD110" s="378" t="str">
        <f t="shared" si="21"/>
        <v/>
      </c>
    </row>
    <row r="111" spans="1:30" x14ac:dyDescent="0.2">
      <c r="A111" s="178">
        <v>90</v>
      </c>
      <c r="B111" s="178">
        <f t="shared" si="31"/>
        <v>2102</v>
      </c>
      <c r="C111" s="292" t="str">
        <f>IF(IN_DATA!C95="","",MAX(min_oil_price,MIN(C110+C110*$L$6,max_oil_price)))</f>
        <v/>
      </c>
      <c r="D111" s="293" t="str">
        <f>IF(IN_DATA!C95="","",MAX(min_gas_price,MIN(D110+D110*$L$7,max_gas_price)))</f>
        <v/>
      </c>
      <c r="E111" s="294" t="str">
        <f>IF(IN_DATA!C95="","",MIN(E110+E110*$L$8,16))</f>
        <v/>
      </c>
      <c r="F111" s="110" t="str">
        <f>IF(O111="", "", IN_DATA!C95*365*OCF*FPF)</f>
        <v/>
      </c>
      <c r="G111" s="184" t="str">
        <f>IF(O111="","",IN_DATA!D95*365*FPF*OCF)</f>
        <v/>
      </c>
      <c r="H111" s="235" t="str">
        <f t="shared" si="22"/>
        <v/>
      </c>
      <c r="I111" s="238" t="str">
        <f t="shared" si="23"/>
        <v/>
      </c>
      <c r="J111" s="236" t="str">
        <f t="shared" si="24"/>
        <v/>
      </c>
      <c r="K111" s="239" t="str">
        <f t="shared" si="25"/>
        <v/>
      </c>
      <c r="L111" s="247" t="str">
        <f t="shared" si="30"/>
        <v/>
      </c>
      <c r="M111" s="244" t="str">
        <f>IF(I111=""," ",IF(IN_DATA!R95=1,"Primary Rec.",IF(IN_DATA!R95=2,"Water Flood",IF(IN_DATA!R95=3,"CO2 Flood",""))))</f>
        <v xml:space="preserve"> </v>
      </c>
      <c r="N111" s="109" t="str">
        <f>IF(I111="","",IF(O111=0, 0, OpCost!AD100))</f>
        <v/>
      </c>
      <c r="O111" s="187" t="str">
        <f>IF(OpCost!AE100="", "", OpCost!AE100)</f>
        <v/>
      </c>
      <c r="P111" s="251" t="str">
        <f>IF(F111="","",((IN_DATA!C95+IN_DATA!D95/10)/IN_DATA!P95))</f>
        <v/>
      </c>
      <c r="Q111" s="248" t="str">
        <f>IF(F111="","",SUM($P$21:P111)*365)</f>
        <v/>
      </c>
      <c r="R111" s="249" t="str">
        <f>IF(F111="", "", HLOOKUP(C111,'Reference-Crown Royalties'!$D$2:$AB$49,MATCH(P111,'Reference-Crown Royalties'!$A$2:$A$49,1),TRUE))</f>
        <v/>
      </c>
      <c r="S111" s="276" t="str">
        <f>IF(F111="", "", IF(IN_DATA!R95=3, CO2_Royalty_Factor, IF('Economics Summary'!A111&lt;2, IF('Economics Summary'!Q111&lt;60000, 0.05, ((60000*0.05+('Economics Summary'!Q111-60000)*R111)/'Economics Summary'!Q111)),R111)))</f>
        <v/>
      </c>
      <c r="T111" s="250" t="str">
        <f t="shared" si="26"/>
        <v/>
      </c>
      <c r="U111" s="250" t="str">
        <f t="shared" si="27"/>
        <v/>
      </c>
      <c r="V111" s="344" t="str">
        <f t="shared" si="19"/>
        <v/>
      </c>
      <c r="W111" s="257" t="str">
        <f>IF(F111="","",SUM($V$21:V111))</f>
        <v/>
      </c>
      <c r="X111" s="260" t="str">
        <f xml:space="preserve"> IF(OR(F111="",SUM(IN_DATA!$H$5:'IN_DATA'!H95)=0), "", 1-SUM(IN_DATA!$F$5:'IN_DATA'!F95)/SUM(IN_DATA!$H$5:'IN_DATA'!H95))</f>
        <v/>
      </c>
      <c r="Y111" s="307" t="str">
        <f>IF(OR(F111="",SUM(IN_DATA!$H$5:'IN_DATA'!H95)=0),"",365*(SUM(IN_DATA!$H$5:'IN_DATA'!H95)-SUM(IN_DATA!$F$5:'IN_DATA'!F95))/1000)</f>
        <v/>
      </c>
      <c r="Z111" s="346" t="str">
        <f t="shared" si="28"/>
        <v/>
      </c>
      <c r="AA111" s="370" t="str">
        <f t="shared" si="20"/>
        <v/>
      </c>
      <c r="AB111" s="373" t="str">
        <f>IF(F111="", "", IF(IN_DATA!R95=3, MAX(CO2_Royalty_Factor-Z111/10000,0), IF('Economics Summary'!A111&lt;2, IF('Economics Summary'!Q111&lt;60000, 0.05, ((60000*0.05+('Economics Summary'!Q111-60000)*R111)/'Economics Summary'!Q111)),R111)))</f>
        <v/>
      </c>
      <c r="AC111" s="377" t="str">
        <f t="shared" si="29"/>
        <v/>
      </c>
      <c r="AD111" s="378" t="str">
        <f t="shared" si="21"/>
        <v/>
      </c>
    </row>
    <row r="112" spans="1:30" x14ac:dyDescent="0.2">
      <c r="A112" s="178">
        <v>91</v>
      </c>
      <c r="B112" s="178">
        <f t="shared" si="31"/>
        <v>2103</v>
      </c>
      <c r="C112" s="292" t="str">
        <f>IF(IN_DATA!C96="","",MAX(min_oil_price,MIN(C111+C111*$L$6,max_oil_price)))</f>
        <v/>
      </c>
      <c r="D112" s="293" t="str">
        <f>IF(IN_DATA!C96="","",MAX(min_gas_price,MIN(D111+D111*$L$7,max_gas_price)))</f>
        <v/>
      </c>
      <c r="E112" s="294" t="str">
        <f>IF(IN_DATA!C96="","",MIN(E111+E111*$L$8,16))</f>
        <v/>
      </c>
      <c r="F112" s="110" t="str">
        <f>IF(O112="", "", IN_DATA!C96*365*OCF*FPF)</f>
        <v/>
      </c>
      <c r="G112" s="184" t="str">
        <f>IF(O112="","",IN_DATA!D96*365*FPF*OCF)</f>
        <v/>
      </c>
      <c r="H112" s="235" t="str">
        <f t="shared" si="22"/>
        <v/>
      </c>
      <c r="I112" s="238" t="str">
        <f t="shared" si="23"/>
        <v/>
      </c>
      <c r="J112" s="236" t="str">
        <f t="shared" si="24"/>
        <v/>
      </c>
      <c r="K112" s="239" t="str">
        <f t="shared" si="25"/>
        <v/>
      </c>
      <c r="L112" s="247" t="str">
        <f t="shared" si="30"/>
        <v/>
      </c>
      <c r="M112" s="244" t="str">
        <f>IF(I112=""," ",IF(IN_DATA!R96=1,"Primary Rec.",IF(IN_DATA!R96=2,"Water Flood",IF(IN_DATA!R96=3,"CO2 Flood",""))))</f>
        <v xml:space="preserve"> </v>
      </c>
      <c r="N112" s="109" t="str">
        <f>IF(I112="","",IF(O112=0, 0, OpCost!AD101))</f>
        <v/>
      </c>
      <c r="O112" s="187" t="str">
        <f>IF(OpCost!AE101="", "", OpCost!AE101)</f>
        <v/>
      </c>
      <c r="P112" s="251" t="str">
        <f>IF(F112="","",((IN_DATA!C96+IN_DATA!D96/10)/IN_DATA!P96))</f>
        <v/>
      </c>
      <c r="Q112" s="248" t="str">
        <f>IF(F112="","",SUM($P$21:P112)*365)</f>
        <v/>
      </c>
      <c r="R112" s="249" t="str">
        <f>IF(F112="", "", HLOOKUP(C112,'Reference-Crown Royalties'!$D$2:$AB$49,MATCH(P112,'Reference-Crown Royalties'!$A$2:$A$49,1),TRUE))</f>
        <v/>
      </c>
      <c r="S112" s="276" t="str">
        <f>IF(F112="", "", IF(IN_DATA!R96=3, CO2_Royalty_Factor, IF('Economics Summary'!A112&lt;2, IF('Economics Summary'!Q112&lt;60000, 0.05, ((60000*0.05+('Economics Summary'!Q112-60000)*R112)/'Economics Summary'!Q112)),R112)))</f>
        <v/>
      </c>
      <c r="T112" s="250" t="str">
        <f t="shared" si="26"/>
        <v/>
      </c>
      <c r="U112" s="250" t="str">
        <f t="shared" si="27"/>
        <v/>
      </c>
      <c r="V112" s="344" t="str">
        <f t="shared" si="19"/>
        <v/>
      </c>
      <c r="W112" s="257" t="str">
        <f>IF(F112="","",SUM($V$21:V112))</f>
        <v/>
      </c>
      <c r="X112" s="260" t="str">
        <f xml:space="preserve"> IF(OR(F112="",SUM(IN_DATA!$H$5:'IN_DATA'!H96)=0), "", 1-SUM(IN_DATA!$F$5:'IN_DATA'!F96)/SUM(IN_DATA!$H$5:'IN_DATA'!H96))</f>
        <v/>
      </c>
      <c r="Y112" s="307" t="str">
        <f>IF(OR(F112="",SUM(IN_DATA!$H$5:'IN_DATA'!H96)=0),"",365*(SUM(IN_DATA!$H$5:'IN_DATA'!H96)-SUM(IN_DATA!$F$5:'IN_DATA'!F96))/1000)</f>
        <v/>
      </c>
      <c r="Z112" s="346" t="str">
        <f t="shared" si="28"/>
        <v/>
      </c>
      <c r="AA112" s="370" t="str">
        <f t="shared" si="20"/>
        <v/>
      </c>
      <c r="AB112" s="373" t="str">
        <f>IF(F112="", "", IF(IN_DATA!R96=3, MAX(CO2_Royalty_Factor-Z112/10000,0), IF('Economics Summary'!A112&lt;2, IF('Economics Summary'!Q112&lt;60000, 0.05, ((60000*0.05+('Economics Summary'!Q112-60000)*R112)/'Economics Summary'!Q112)),R112)))</f>
        <v/>
      </c>
      <c r="AC112" s="377" t="str">
        <f t="shared" si="29"/>
        <v/>
      </c>
      <c r="AD112" s="378" t="str">
        <f t="shared" si="21"/>
        <v/>
      </c>
    </row>
    <row r="113" spans="1:30" x14ac:dyDescent="0.2">
      <c r="A113" s="178">
        <v>92</v>
      </c>
      <c r="B113" s="178">
        <f t="shared" si="31"/>
        <v>2104</v>
      </c>
      <c r="C113" s="292" t="str">
        <f>IF(IN_DATA!C97="","",MAX(min_oil_price,MIN(C112+C112*$L$6,max_oil_price)))</f>
        <v/>
      </c>
      <c r="D113" s="293" t="str">
        <f>IF(IN_DATA!C97="","",MAX(min_gas_price,MIN(D112+D112*$L$7,max_gas_price)))</f>
        <v/>
      </c>
      <c r="E113" s="294" t="str">
        <f>IF(IN_DATA!C97="","",MIN(E112+E112*$L$8,16))</f>
        <v/>
      </c>
      <c r="F113" s="110" t="str">
        <f>IF(O113="", "", IN_DATA!C97*365*OCF*FPF)</f>
        <v/>
      </c>
      <c r="G113" s="184" t="str">
        <f>IF(O113="","",IN_DATA!D97*365*FPF*OCF)</f>
        <v/>
      </c>
      <c r="H113" s="235" t="str">
        <f t="shared" si="22"/>
        <v/>
      </c>
      <c r="I113" s="238" t="str">
        <f t="shared" si="23"/>
        <v/>
      </c>
      <c r="J113" s="236" t="str">
        <f t="shared" si="24"/>
        <v/>
      </c>
      <c r="K113" s="239" t="str">
        <f t="shared" si="25"/>
        <v/>
      </c>
      <c r="L113" s="247" t="str">
        <f t="shared" si="30"/>
        <v/>
      </c>
      <c r="M113" s="244" t="str">
        <f>IF(I113=""," ",IF(IN_DATA!R97=1,"Primary Rec.",IF(IN_DATA!R97=2,"Water Flood",IF(IN_DATA!R97=3,"CO2 Flood",""))))</f>
        <v xml:space="preserve"> </v>
      </c>
      <c r="N113" s="109" t="str">
        <f>IF(I113="","",IF(O113=0, 0, OpCost!AD102))</f>
        <v/>
      </c>
      <c r="O113" s="187" t="str">
        <f>IF(OpCost!AE102="", "", OpCost!AE102)</f>
        <v/>
      </c>
      <c r="P113" s="251" t="str">
        <f>IF(F113="","",((IN_DATA!C97+IN_DATA!D97/10)/IN_DATA!P97))</f>
        <v/>
      </c>
      <c r="Q113" s="248" t="str">
        <f>IF(F113="","",SUM($P$21:P113)*365)</f>
        <v/>
      </c>
      <c r="R113" s="249" t="str">
        <f>IF(F113="", "", HLOOKUP(C113,'Reference-Crown Royalties'!$D$2:$AB$49,MATCH(P113,'Reference-Crown Royalties'!$A$2:$A$49,1),TRUE))</f>
        <v/>
      </c>
      <c r="S113" s="276" t="str">
        <f>IF(F113="", "", IF(IN_DATA!R97=3, CO2_Royalty_Factor, IF('Economics Summary'!A113&lt;2, IF('Economics Summary'!Q113&lt;60000, 0.05, ((60000*0.05+('Economics Summary'!Q113-60000)*R113)/'Economics Summary'!Q113)),R113)))</f>
        <v/>
      </c>
      <c r="T113" s="250" t="str">
        <f t="shared" si="26"/>
        <v/>
      </c>
      <c r="U113" s="250" t="str">
        <f t="shared" si="27"/>
        <v/>
      </c>
      <c r="V113" s="344" t="str">
        <f t="shared" si="19"/>
        <v/>
      </c>
      <c r="W113" s="257" t="str">
        <f>IF(F113="","",SUM($V$21:V113))</f>
        <v/>
      </c>
      <c r="X113" s="260" t="str">
        <f xml:space="preserve"> IF(OR(F113="",SUM(IN_DATA!$H$5:'IN_DATA'!H97)=0), "", 1-SUM(IN_DATA!$F$5:'IN_DATA'!F97)/SUM(IN_DATA!$H$5:'IN_DATA'!H97))</f>
        <v/>
      </c>
      <c r="Y113" s="307" t="str">
        <f>IF(OR(F113="",SUM(IN_DATA!$H$5:'IN_DATA'!H97)=0),"",365*(SUM(IN_DATA!$H$5:'IN_DATA'!H97)-SUM(IN_DATA!$F$5:'IN_DATA'!F97))/1000)</f>
        <v/>
      </c>
      <c r="Z113" s="346" t="str">
        <f t="shared" si="28"/>
        <v/>
      </c>
      <c r="AA113" s="370" t="str">
        <f t="shared" si="20"/>
        <v/>
      </c>
      <c r="AB113" s="373" t="str">
        <f>IF(F113="", "", IF(IN_DATA!R97=3, MAX(CO2_Royalty_Factor-Z113/10000,0), IF('Economics Summary'!A113&lt;2, IF('Economics Summary'!Q113&lt;60000, 0.05, ((60000*0.05+('Economics Summary'!Q113-60000)*R113)/'Economics Summary'!Q113)),R113)))</f>
        <v/>
      </c>
      <c r="AC113" s="377" t="str">
        <f t="shared" si="29"/>
        <v/>
      </c>
      <c r="AD113" s="378" t="str">
        <f t="shared" si="21"/>
        <v/>
      </c>
    </row>
    <row r="114" spans="1:30" x14ac:dyDescent="0.2">
      <c r="A114" s="178">
        <v>93</v>
      </c>
      <c r="B114" s="178">
        <f t="shared" si="31"/>
        <v>2105</v>
      </c>
      <c r="C114" s="292" t="str">
        <f>IF(IN_DATA!C98="","",MAX(min_oil_price,MIN(C113+C113*$L$6,max_oil_price)))</f>
        <v/>
      </c>
      <c r="D114" s="293" t="str">
        <f>IF(IN_DATA!C98="","",MAX(min_gas_price,MIN(D113+D113*$L$7,max_gas_price)))</f>
        <v/>
      </c>
      <c r="E114" s="294" t="str">
        <f>IF(IN_DATA!C98="","",MIN(E113+E113*$L$8,16))</f>
        <v/>
      </c>
      <c r="F114" s="110" t="str">
        <f>IF(O114="", "", IN_DATA!C98*365*OCF*FPF)</f>
        <v/>
      </c>
      <c r="G114" s="184" t="str">
        <f>IF(O114="","",IN_DATA!D98*365*FPF*OCF)</f>
        <v/>
      </c>
      <c r="H114" s="235" t="str">
        <f t="shared" si="22"/>
        <v/>
      </c>
      <c r="I114" s="238" t="str">
        <f t="shared" si="23"/>
        <v/>
      </c>
      <c r="J114" s="236" t="str">
        <f t="shared" si="24"/>
        <v/>
      </c>
      <c r="K114" s="239" t="str">
        <f t="shared" si="25"/>
        <v/>
      </c>
      <c r="L114" s="247" t="str">
        <f t="shared" si="30"/>
        <v/>
      </c>
      <c r="M114" s="244" t="str">
        <f>IF(I114=""," ",IF(IN_DATA!R98=1,"Primary Rec.",IF(IN_DATA!R98=2,"Water Flood",IF(IN_DATA!R98=3,"CO2 Flood",""))))</f>
        <v xml:space="preserve"> </v>
      </c>
      <c r="N114" s="109" t="str">
        <f>IF(I114="","",IF(O114=0, 0, OpCost!AD103))</f>
        <v/>
      </c>
      <c r="O114" s="187" t="str">
        <f>IF(OpCost!AE103="", "", OpCost!AE103)</f>
        <v/>
      </c>
      <c r="P114" s="251" t="str">
        <f>IF(F114="","",((IN_DATA!C98+IN_DATA!D98/10)/IN_DATA!P98))</f>
        <v/>
      </c>
      <c r="Q114" s="248" t="str">
        <f>IF(F114="","",SUM($P$21:P114)*365)</f>
        <v/>
      </c>
      <c r="R114" s="249" t="str">
        <f>IF(F114="", "", HLOOKUP(C114,'Reference-Crown Royalties'!$D$2:$AB$49,MATCH(P114,'Reference-Crown Royalties'!$A$2:$A$49,1),TRUE))</f>
        <v/>
      </c>
      <c r="S114" s="276" t="str">
        <f>IF(F114="", "", IF(IN_DATA!R98=3, CO2_Royalty_Factor, IF('Economics Summary'!A114&lt;2, IF('Economics Summary'!Q114&lt;60000, 0.05, ((60000*0.05+('Economics Summary'!Q114-60000)*R114)/'Economics Summary'!Q114)),R114)))</f>
        <v/>
      </c>
      <c r="T114" s="250" t="str">
        <f t="shared" si="26"/>
        <v/>
      </c>
      <c r="U114" s="250" t="str">
        <f t="shared" si="27"/>
        <v/>
      </c>
      <c r="V114" s="344" t="str">
        <f t="shared" si="19"/>
        <v/>
      </c>
      <c r="W114" s="257" t="str">
        <f>IF(F114="","",SUM($V$21:V114))</f>
        <v/>
      </c>
      <c r="X114" s="260" t="str">
        <f xml:space="preserve"> IF(OR(F114="",SUM(IN_DATA!$H$5:'IN_DATA'!H98)=0), "", 1-SUM(IN_DATA!$F$5:'IN_DATA'!F98)/SUM(IN_DATA!$H$5:'IN_DATA'!H98))</f>
        <v/>
      </c>
      <c r="Y114" s="307" t="str">
        <f>IF(OR(F114="",SUM(IN_DATA!$H$5:'IN_DATA'!H98)=0),"",365*(SUM(IN_DATA!$H$5:'IN_DATA'!H98)-SUM(IN_DATA!$F$5:'IN_DATA'!F98))/1000)</f>
        <v/>
      </c>
      <c r="Z114" s="346" t="str">
        <f t="shared" si="28"/>
        <v/>
      </c>
      <c r="AA114" s="370" t="str">
        <f t="shared" si="20"/>
        <v/>
      </c>
      <c r="AB114" s="373" t="str">
        <f>IF(F114="", "", IF(IN_DATA!R98=3, MAX(CO2_Royalty_Factor-Z114/10000,0), IF('Economics Summary'!A114&lt;2, IF('Economics Summary'!Q114&lt;60000, 0.05, ((60000*0.05+('Economics Summary'!Q114-60000)*R114)/'Economics Summary'!Q114)),R114)))</f>
        <v/>
      </c>
      <c r="AC114" s="377" t="str">
        <f t="shared" si="29"/>
        <v/>
      </c>
      <c r="AD114" s="378" t="str">
        <f t="shared" si="21"/>
        <v/>
      </c>
    </row>
    <row r="115" spans="1:30" x14ac:dyDescent="0.2">
      <c r="A115" s="178">
        <v>94</v>
      </c>
      <c r="B115" s="178">
        <f t="shared" si="31"/>
        <v>2106</v>
      </c>
      <c r="C115" s="292" t="str">
        <f>IF(IN_DATA!C99="","",MAX(min_oil_price,MIN(C114+C114*$L$6,max_oil_price)))</f>
        <v/>
      </c>
      <c r="D115" s="293" t="str">
        <f>IF(IN_DATA!C99="","",MAX(min_gas_price,MIN(D114+D114*$L$7,max_gas_price)))</f>
        <v/>
      </c>
      <c r="E115" s="294" t="str">
        <f>IF(IN_DATA!C99="","",MIN(E114+E114*$L$8,16))</f>
        <v/>
      </c>
      <c r="F115" s="110" t="str">
        <f>IF(O115="", "", IN_DATA!C99*365*OCF*FPF)</f>
        <v/>
      </c>
      <c r="G115" s="184" t="str">
        <f>IF(O115="","",IN_DATA!D99*365*FPF*OCF)</f>
        <v/>
      </c>
      <c r="H115" s="235" t="str">
        <f t="shared" si="22"/>
        <v/>
      </c>
      <c r="I115" s="238" t="str">
        <f t="shared" si="23"/>
        <v/>
      </c>
      <c r="J115" s="236" t="str">
        <f t="shared" si="24"/>
        <v/>
      </c>
      <c r="K115" s="239" t="str">
        <f t="shared" si="25"/>
        <v/>
      </c>
      <c r="L115" s="247" t="str">
        <f t="shared" si="30"/>
        <v/>
      </c>
      <c r="M115" s="244" t="str">
        <f>IF(I115=""," ",IF(IN_DATA!R99=1,"Primary Rec.",IF(IN_DATA!R99=2,"Water Flood",IF(IN_DATA!R99=3,"CO2 Flood",""))))</f>
        <v xml:space="preserve"> </v>
      </c>
      <c r="N115" s="109" t="str">
        <f>IF(I115="","",IF(O115=0, 0, OpCost!AD104))</f>
        <v/>
      </c>
      <c r="O115" s="187" t="str">
        <f>IF(OpCost!AE104="", "", OpCost!AE104)</f>
        <v/>
      </c>
      <c r="P115" s="251" t="str">
        <f>IF(F115="","",((IN_DATA!C99+IN_DATA!D99/10)/IN_DATA!P99))</f>
        <v/>
      </c>
      <c r="Q115" s="248" t="str">
        <f>IF(F115="","",SUM($P$21:P115)*365)</f>
        <v/>
      </c>
      <c r="R115" s="249" t="str">
        <f>IF(F115="", "", HLOOKUP(C115,'Reference-Crown Royalties'!$D$2:$AB$49,MATCH(P115,'Reference-Crown Royalties'!$A$2:$A$49,1),TRUE))</f>
        <v/>
      </c>
      <c r="S115" s="276" t="str">
        <f>IF(F115="", "", IF(IN_DATA!R99=3, CO2_Royalty_Factor, IF('Economics Summary'!A115&lt;2, IF('Economics Summary'!Q115&lt;60000, 0.05, ((60000*0.05+('Economics Summary'!Q115-60000)*R115)/'Economics Summary'!Q115)),R115)))</f>
        <v/>
      </c>
      <c r="T115" s="250" t="str">
        <f t="shared" si="26"/>
        <v/>
      </c>
      <c r="U115" s="250" t="str">
        <f t="shared" si="27"/>
        <v/>
      </c>
      <c r="V115" s="344" t="str">
        <f t="shared" si="19"/>
        <v/>
      </c>
      <c r="W115" s="257" t="str">
        <f>IF(F115="","",SUM($V$21:V115))</f>
        <v/>
      </c>
      <c r="X115" s="260" t="str">
        <f xml:space="preserve"> IF(OR(F115="",SUM(IN_DATA!$H$5:'IN_DATA'!H99)=0), "", 1-SUM(IN_DATA!$F$5:'IN_DATA'!F99)/SUM(IN_DATA!$H$5:'IN_DATA'!H99))</f>
        <v/>
      </c>
      <c r="Y115" s="307" t="str">
        <f>IF(OR(F115="",SUM(IN_DATA!$H$5:'IN_DATA'!H99)=0),"",365*(SUM(IN_DATA!$H$5:'IN_DATA'!H99)-SUM(IN_DATA!$F$5:'IN_DATA'!F99))/1000)</f>
        <v/>
      </c>
      <c r="Z115" s="346" t="str">
        <f t="shared" si="28"/>
        <v/>
      </c>
      <c r="AA115" s="370" t="str">
        <f t="shared" si="20"/>
        <v/>
      </c>
      <c r="AB115" s="373" t="str">
        <f>IF(F115="", "", IF(IN_DATA!R99=3, MAX(CO2_Royalty_Factor-Z115/10000,0), IF('Economics Summary'!A115&lt;2, IF('Economics Summary'!Q115&lt;60000, 0.05, ((60000*0.05+('Economics Summary'!Q115-60000)*R115)/'Economics Summary'!Q115)),R115)))</f>
        <v/>
      </c>
      <c r="AC115" s="377" t="str">
        <f t="shared" si="29"/>
        <v/>
      </c>
      <c r="AD115" s="378" t="str">
        <f t="shared" si="21"/>
        <v/>
      </c>
    </row>
    <row r="116" spans="1:30" x14ac:dyDescent="0.2">
      <c r="A116" s="178">
        <v>95</v>
      </c>
      <c r="B116" s="178">
        <f t="shared" si="31"/>
        <v>2107</v>
      </c>
      <c r="C116" s="292" t="str">
        <f>IF(IN_DATA!C100="","",MAX(min_oil_price,MIN(C115+C115*$L$6,max_oil_price)))</f>
        <v/>
      </c>
      <c r="D116" s="293" t="str">
        <f>IF(IN_DATA!C100="","",MAX(min_gas_price,MIN(D115+D115*$L$7,max_gas_price)))</f>
        <v/>
      </c>
      <c r="E116" s="294" t="str">
        <f>IF(IN_DATA!C100="","",MIN(E115+E115*$L$8,16))</f>
        <v/>
      </c>
      <c r="F116" s="110" t="str">
        <f>IF(O116="", "", IN_DATA!C100*365*OCF*FPF)</f>
        <v/>
      </c>
      <c r="G116" s="184" t="str">
        <f>IF(O116="","",IN_DATA!D100*365*FPF*OCF)</f>
        <v/>
      </c>
      <c r="H116" s="235" t="str">
        <f t="shared" si="22"/>
        <v/>
      </c>
      <c r="I116" s="238" t="str">
        <f t="shared" si="23"/>
        <v/>
      </c>
      <c r="J116" s="236" t="str">
        <f t="shared" si="24"/>
        <v/>
      </c>
      <c r="K116" s="239" t="str">
        <f t="shared" si="25"/>
        <v/>
      </c>
      <c r="L116" s="247" t="str">
        <f t="shared" si="30"/>
        <v/>
      </c>
      <c r="M116" s="244" t="str">
        <f>IF(I116=""," ",IF(IN_DATA!R100=1,"Primary Rec.",IF(IN_DATA!R100=2,"Water Flood",IF(IN_DATA!R100=3,"CO2 Flood",""))))</f>
        <v xml:space="preserve"> </v>
      </c>
      <c r="N116" s="109" t="str">
        <f>IF(I116="","",IF(O116=0, 0, OpCost!AD105))</f>
        <v/>
      </c>
      <c r="O116" s="187" t="str">
        <f>IF(OpCost!AE105="", "", OpCost!AE105)</f>
        <v/>
      </c>
      <c r="P116" s="251" t="str">
        <f>IF(F116="","",((IN_DATA!C100+IN_DATA!D100/10)/IN_DATA!P100))</f>
        <v/>
      </c>
      <c r="Q116" s="248" t="str">
        <f>IF(F116="","",SUM($P$21:P116)*365)</f>
        <v/>
      </c>
      <c r="R116" s="249" t="str">
        <f>IF(F116="", "", HLOOKUP(C116,'Reference-Crown Royalties'!$D$2:$AB$49,MATCH(P116,'Reference-Crown Royalties'!$A$2:$A$49,1),TRUE))</f>
        <v/>
      </c>
      <c r="S116" s="276" t="str">
        <f>IF(F116="", "", IF(IN_DATA!R100=3, CO2_Royalty_Factor, IF('Economics Summary'!A116&lt;2, IF('Economics Summary'!Q116&lt;60000, 0.05, ((60000*0.05+('Economics Summary'!Q116-60000)*R116)/'Economics Summary'!Q116)),R116)))</f>
        <v/>
      </c>
      <c r="T116" s="250" t="str">
        <f t="shared" si="26"/>
        <v/>
      </c>
      <c r="U116" s="250" t="str">
        <f t="shared" si="27"/>
        <v/>
      </c>
      <c r="V116" s="344" t="str">
        <f t="shared" si="19"/>
        <v/>
      </c>
      <c r="W116" s="257" t="str">
        <f>IF(F116="","",SUM($V$21:V116))</f>
        <v/>
      </c>
      <c r="X116" s="260" t="str">
        <f xml:space="preserve"> IF(OR(F116="",SUM(IN_DATA!$H$5:'IN_DATA'!H100)=0), "", 1-SUM(IN_DATA!$F$5:'IN_DATA'!F100)/SUM(IN_DATA!$H$5:'IN_DATA'!H100))</f>
        <v/>
      </c>
      <c r="Y116" s="307" t="str">
        <f>IF(OR(F116="",SUM(IN_DATA!$H$5:'IN_DATA'!H100)=0),"",365*(SUM(IN_DATA!$H$5:'IN_DATA'!H100)-SUM(IN_DATA!$F$5:'IN_DATA'!F100))/1000)</f>
        <v/>
      </c>
      <c r="Z116" s="346" t="str">
        <f t="shared" si="28"/>
        <v/>
      </c>
      <c r="AA116" s="370" t="str">
        <f t="shared" si="20"/>
        <v/>
      </c>
      <c r="AB116" s="373" t="str">
        <f>IF(F116="", "", IF(IN_DATA!R100=3, MAX(CO2_Royalty_Factor-Z116/10000,0), IF('Economics Summary'!A116&lt;2, IF('Economics Summary'!Q116&lt;60000, 0.05, ((60000*0.05+('Economics Summary'!Q116-60000)*R116)/'Economics Summary'!Q116)),R116)))</f>
        <v/>
      </c>
      <c r="AC116" s="377" t="str">
        <f t="shared" si="29"/>
        <v/>
      </c>
      <c r="AD116" s="378" t="str">
        <f t="shared" si="21"/>
        <v/>
      </c>
    </row>
    <row r="117" spans="1:30" x14ac:dyDescent="0.2">
      <c r="A117" s="178">
        <v>96</v>
      </c>
      <c r="B117" s="178">
        <f t="shared" si="31"/>
        <v>2108</v>
      </c>
      <c r="C117" s="292" t="str">
        <f>IF(IN_DATA!C101="","",MAX(min_oil_price,MIN(C116+C116*$L$6,max_oil_price)))</f>
        <v/>
      </c>
      <c r="D117" s="293" t="str">
        <f>IF(IN_DATA!C101="","",MAX(min_gas_price,MIN(D116+D116*$L$7,max_gas_price)))</f>
        <v/>
      </c>
      <c r="E117" s="294" t="str">
        <f>IF(IN_DATA!C101="","",MIN(E116+E116*$L$8,16))</f>
        <v/>
      </c>
      <c r="F117" s="110" t="str">
        <f>IF(O117="", "", IN_DATA!C101*365*OCF*FPF)</f>
        <v/>
      </c>
      <c r="G117" s="184" t="str">
        <f>IF(O117="","",IN_DATA!D101*365*FPF*OCF)</f>
        <v/>
      </c>
      <c r="H117" s="235" t="str">
        <f t="shared" si="22"/>
        <v/>
      </c>
      <c r="I117" s="238" t="str">
        <f t="shared" si="23"/>
        <v/>
      </c>
      <c r="J117" s="236" t="str">
        <f t="shared" si="24"/>
        <v/>
      </c>
      <c r="K117" s="239" t="str">
        <f t="shared" si="25"/>
        <v/>
      </c>
      <c r="L117" s="247" t="str">
        <f t="shared" si="30"/>
        <v/>
      </c>
      <c r="M117" s="244" t="str">
        <f>IF(I117=""," ",IF(IN_DATA!R101=1,"Primary Rec.",IF(IN_DATA!R101=2,"Water Flood",IF(IN_DATA!R101=3,"CO2 Flood",""))))</f>
        <v xml:space="preserve"> </v>
      </c>
      <c r="N117" s="109" t="str">
        <f>IF(I117="","",IF(O117=0, 0, OpCost!AD106))</f>
        <v/>
      </c>
      <c r="O117" s="187" t="str">
        <f>IF(OpCost!AE106="", "", OpCost!AE106)</f>
        <v/>
      </c>
      <c r="P117" s="251" t="str">
        <f>IF(F117="","",((IN_DATA!C101+IN_DATA!D101/10)/IN_DATA!P101))</f>
        <v/>
      </c>
      <c r="Q117" s="248" t="str">
        <f>IF(F117="","",SUM($P$21:P117)*365)</f>
        <v/>
      </c>
      <c r="R117" s="249" t="str">
        <f>IF(F117="", "", HLOOKUP(C117,'Reference-Crown Royalties'!$D$2:$AB$49,MATCH(P117,'Reference-Crown Royalties'!$A$2:$A$49,1),TRUE))</f>
        <v/>
      </c>
      <c r="S117" s="276" t="str">
        <f>IF(F117="", "", IF(IN_DATA!R101=3, CO2_Royalty_Factor, IF('Economics Summary'!A117&lt;2, IF('Economics Summary'!Q117&lt;60000, 0.05, ((60000*0.05+('Economics Summary'!Q117-60000)*R117)/'Economics Summary'!Q117)),R117)))</f>
        <v/>
      </c>
      <c r="T117" s="250" t="str">
        <f t="shared" si="26"/>
        <v/>
      </c>
      <c r="U117" s="250" t="str">
        <f t="shared" si="27"/>
        <v/>
      </c>
      <c r="V117" s="344" t="str">
        <f t="shared" ref="V117:V148" si="32">IF(F117="","",IF(T117-L117&lt;0,T117-L117,(T117-L117)*(1-Tax_Rate)))</f>
        <v/>
      </c>
      <c r="W117" s="257" t="str">
        <f>IF(F117="","",SUM($V$21:V117))</f>
        <v/>
      </c>
      <c r="X117" s="260" t="str">
        <f xml:space="preserve"> IF(OR(F117="",SUM(IN_DATA!$H$5:'IN_DATA'!H101)=0), "", 1-SUM(IN_DATA!$F$5:'IN_DATA'!F101)/SUM(IN_DATA!$H$5:'IN_DATA'!H101))</f>
        <v/>
      </c>
      <c r="Y117" s="307" t="str">
        <f>IF(OR(F117="",SUM(IN_DATA!$H$5:'IN_DATA'!H101)=0),"",365*(SUM(IN_DATA!$H$5:'IN_DATA'!H101)-SUM(IN_DATA!$F$5:'IN_DATA'!F101))/1000)</f>
        <v/>
      </c>
      <c r="Z117" s="346" t="str">
        <f t="shared" si="28"/>
        <v/>
      </c>
      <c r="AA117" s="370" t="str">
        <f t="shared" ref="AA117:AA148" si="33">IF(F117="","",IF(T117-L117+(Z117*CO2_Incentive)&lt;0,T117-L117+(Z117*CO2_Incentive),(T117-L117+(Z117*CO2_Incentive))*(1-Tax_Rate)))</f>
        <v/>
      </c>
      <c r="AB117" s="373" t="str">
        <f>IF(F117="", "", IF(IN_DATA!R101=3, MAX(CO2_Royalty_Factor-Z117/10000,0), IF('Economics Summary'!A117&lt;2, IF('Economics Summary'!Q117&lt;60000, 0.05, ((60000*0.05+('Economics Summary'!Q117-60000)*R117)/'Economics Summary'!Q117)),R117)))</f>
        <v/>
      </c>
      <c r="AC117" s="377" t="str">
        <f t="shared" si="29"/>
        <v/>
      </c>
      <c r="AD117" s="378" t="str">
        <f t="shared" ref="AD117:AD148" si="34">IF(F117="","",IF(AC117-L117&lt;0,AC117-L117,(AC117-L117)*(1-Tax_Rate)))</f>
        <v/>
      </c>
    </row>
    <row r="118" spans="1:30" x14ac:dyDescent="0.2">
      <c r="A118" s="178">
        <v>97</v>
      </c>
      <c r="B118" s="178">
        <f t="shared" si="31"/>
        <v>2109</v>
      </c>
      <c r="C118" s="292" t="str">
        <f>IF(IN_DATA!C102="","",MAX(min_oil_price,MIN(C117+C117*$L$6,max_oil_price)))</f>
        <v/>
      </c>
      <c r="D118" s="293" t="str">
        <f>IF(IN_DATA!C102="","",MAX(min_gas_price,MIN(D117+D117*$L$7,max_gas_price)))</f>
        <v/>
      </c>
      <c r="E118" s="294" t="str">
        <f>IF(IN_DATA!C102="","",MIN(E117+E117*$L$8,16))</f>
        <v/>
      </c>
      <c r="F118" s="110" t="str">
        <f>IF(O118="", "", IN_DATA!C102*365*OCF*FPF)</f>
        <v/>
      </c>
      <c r="G118" s="184" t="str">
        <f>IF(O118="","",IN_DATA!D102*365*FPF*OCF)</f>
        <v/>
      </c>
      <c r="H118" s="235" t="str">
        <f t="shared" si="22"/>
        <v/>
      </c>
      <c r="I118" s="238" t="str">
        <f t="shared" si="23"/>
        <v/>
      </c>
      <c r="J118" s="236" t="str">
        <f t="shared" si="24"/>
        <v/>
      </c>
      <c r="K118" s="239" t="str">
        <f t="shared" si="25"/>
        <v/>
      </c>
      <c r="L118" s="247" t="str">
        <f t="shared" si="30"/>
        <v/>
      </c>
      <c r="M118" s="244" t="str">
        <f>IF(I118=""," ",IF(IN_DATA!R102=1,"Primary Rec.",IF(IN_DATA!R102=2,"Water Flood",IF(IN_DATA!R102=3,"CO2 Flood",""))))</f>
        <v xml:space="preserve"> </v>
      </c>
      <c r="N118" s="109" t="str">
        <f>IF(I118="","",IF(O118=0, 0, OpCost!AD107))</f>
        <v/>
      </c>
      <c r="O118" s="187" t="str">
        <f>IF(OpCost!AE107="", "", OpCost!AE107)</f>
        <v/>
      </c>
      <c r="P118" s="251" t="str">
        <f>IF(F118="","",((IN_DATA!C102+IN_DATA!D102/10)/IN_DATA!P102))</f>
        <v/>
      </c>
      <c r="Q118" s="248" t="str">
        <f>IF(F118="","",SUM($P$21:P118)*365)</f>
        <v/>
      </c>
      <c r="R118" s="249" t="str">
        <f>IF(F118="", "", HLOOKUP(C118,'Reference-Crown Royalties'!$D$2:$AB$49,MATCH(P118,'Reference-Crown Royalties'!$A$2:$A$49,1),TRUE))</f>
        <v/>
      </c>
      <c r="S118" s="276" t="str">
        <f>IF(F118="", "", IF(IN_DATA!R102=3, CO2_Royalty_Factor, IF('Economics Summary'!A118&lt;2, IF('Economics Summary'!Q118&lt;60000, 0.05, ((60000*0.05+('Economics Summary'!Q118-60000)*R118)/'Economics Summary'!Q118)),R118)))</f>
        <v/>
      </c>
      <c r="T118" s="250" t="str">
        <f t="shared" si="26"/>
        <v/>
      </c>
      <c r="U118" s="250" t="str">
        <f t="shared" si="27"/>
        <v/>
      </c>
      <c r="V118" s="344" t="str">
        <f t="shared" si="32"/>
        <v/>
      </c>
      <c r="W118" s="257" t="str">
        <f>IF(F118="","",SUM($V$21:V118))</f>
        <v/>
      </c>
      <c r="X118" s="260" t="str">
        <f xml:space="preserve"> IF(OR(F118="",SUM(IN_DATA!$H$5:'IN_DATA'!H102)=0), "", 1-SUM(IN_DATA!$F$5:'IN_DATA'!F102)/SUM(IN_DATA!$H$5:'IN_DATA'!H102))</f>
        <v/>
      </c>
      <c r="Y118" s="307" t="str">
        <f>IF(OR(F118="",SUM(IN_DATA!$H$5:'IN_DATA'!H102)=0),"",365*(SUM(IN_DATA!$H$5:'IN_DATA'!H102)-SUM(IN_DATA!$F$5:'IN_DATA'!F102))/1000)</f>
        <v/>
      </c>
      <c r="Z118" s="346" t="str">
        <f t="shared" si="28"/>
        <v/>
      </c>
      <c r="AA118" s="370" t="str">
        <f t="shared" si="33"/>
        <v/>
      </c>
      <c r="AB118" s="373" t="str">
        <f>IF(F118="", "", IF(IN_DATA!R102=3, MAX(CO2_Royalty_Factor-Z118/10000,0), IF('Economics Summary'!A118&lt;2, IF('Economics Summary'!Q118&lt;60000, 0.05, ((60000*0.05+('Economics Summary'!Q118-60000)*R118)/'Economics Summary'!Q118)),R118)))</f>
        <v/>
      </c>
      <c r="AC118" s="377" t="str">
        <f t="shared" si="29"/>
        <v/>
      </c>
      <c r="AD118" s="378" t="str">
        <f t="shared" si="34"/>
        <v/>
      </c>
    </row>
    <row r="119" spans="1:30" x14ac:dyDescent="0.2">
      <c r="A119" s="178">
        <v>98</v>
      </c>
      <c r="B119" s="178">
        <f t="shared" si="31"/>
        <v>2110</v>
      </c>
      <c r="C119" s="292" t="str">
        <f>IF(IN_DATA!C103="","",MAX(min_oil_price,MIN(C118+C118*$L$6,max_oil_price)))</f>
        <v/>
      </c>
      <c r="D119" s="293" t="str">
        <f>IF(IN_DATA!C103="","",MAX(min_gas_price,MIN(D118+D118*$L$7,max_gas_price)))</f>
        <v/>
      </c>
      <c r="E119" s="294" t="str">
        <f>IF(IN_DATA!C103="","",MIN(E118+E118*$L$8,16))</f>
        <v/>
      </c>
      <c r="F119" s="110" t="str">
        <f>IF(O119="", "", IN_DATA!C103*365*OCF*FPF)</f>
        <v/>
      </c>
      <c r="G119" s="184" t="str">
        <f>IF(O119="","",IN_DATA!D103*365*FPF*OCF)</f>
        <v/>
      </c>
      <c r="H119" s="235" t="str">
        <f t="shared" si="22"/>
        <v/>
      </c>
      <c r="I119" s="238" t="str">
        <f t="shared" si="23"/>
        <v/>
      </c>
      <c r="J119" s="236" t="str">
        <f t="shared" si="24"/>
        <v/>
      </c>
      <c r="K119" s="239" t="str">
        <f t="shared" si="25"/>
        <v/>
      </c>
      <c r="L119" s="247" t="str">
        <f t="shared" si="30"/>
        <v/>
      </c>
      <c r="M119" s="244" t="str">
        <f>IF(I119=""," ",IF(IN_DATA!R103=1,"Primary Rec.",IF(IN_DATA!R103=2,"Water Flood",IF(IN_DATA!R103=3,"CO2 Flood",""))))</f>
        <v xml:space="preserve"> </v>
      </c>
      <c r="N119" s="109" t="str">
        <f>IF(I119="","",IF(O119=0, 0, OpCost!AD108))</f>
        <v/>
      </c>
      <c r="O119" s="187" t="str">
        <f>IF(OpCost!AE108="", "", OpCost!AE108)</f>
        <v/>
      </c>
      <c r="P119" s="251" t="str">
        <f>IF(F119="","",((IN_DATA!C103+IN_DATA!D103/10)/IN_DATA!P103))</f>
        <v/>
      </c>
      <c r="Q119" s="248" t="str">
        <f>IF(F119="","",SUM($P$21:P119)*365)</f>
        <v/>
      </c>
      <c r="R119" s="249" t="str">
        <f>IF(F119="", "", HLOOKUP(C119,'Reference-Crown Royalties'!$D$2:$AB$49,MATCH(P119,'Reference-Crown Royalties'!$A$2:$A$49,1),TRUE))</f>
        <v/>
      </c>
      <c r="S119" s="276" t="str">
        <f>IF(F119="", "", IF(IN_DATA!R103=3, CO2_Royalty_Factor, IF('Economics Summary'!A119&lt;2, IF('Economics Summary'!Q119&lt;60000, 0.05, ((60000*0.05+('Economics Summary'!Q119-60000)*R119)/'Economics Summary'!Q119)),R119)))</f>
        <v/>
      </c>
      <c r="T119" s="250" t="str">
        <f t="shared" si="26"/>
        <v/>
      </c>
      <c r="U119" s="250" t="str">
        <f t="shared" si="27"/>
        <v/>
      </c>
      <c r="V119" s="344" t="str">
        <f t="shared" si="32"/>
        <v/>
      </c>
      <c r="W119" s="257" t="str">
        <f>IF(F119="","",SUM($V$21:V119))</f>
        <v/>
      </c>
      <c r="X119" s="260" t="str">
        <f xml:space="preserve"> IF(OR(F119="",SUM(IN_DATA!$H$5:'IN_DATA'!H103)=0), "", 1-SUM(IN_DATA!$F$5:'IN_DATA'!F103)/SUM(IN_DATA!$H$5:'IN_DATA'!H103))</f>
        <v/>
      </c>
      <c r="Y119" s="307" t="str">
        <f>IF(OR(F119="",SUM(IN_DATA!$H$5:'IN_DATA'!H103)=0),"",365*(SUM(IN_DATA!$H$5:'IN_DATA'!H103)-SUM(IN_DATA!$F$5:'IN_DATA'!F103))/1000)</f>
        <v/>
      </c>
      <c r="Z119" s="346" t="str">
        <f t="shared" si="28"/>
        <v/>
      </c>
      <c r="AA119" s="370" t="str">
        <f t="shared" si="33"/>
        <v/>
      </c>
      <c r="AB119" s="373" t="str">
        <f>IF(F119="", "", IF(IN_DATA!R103=3, MAX(CO2_Royalty_Factor-Z119/10000,0), IF('Economics Summary'!A119&lt;2, IF('Economics Summary'!Q119&lt;60000, 0.05, ((60000*0.05+('Economics Summary'!Q119-60000)*R119)/'Economics Summary'!Q119)),R119)))</f>
        <v/>
      </c>
      <c r="AC119" s="377" t="str">
        <f t="shared" si="29"/>
        <v/>
      </c>
      <c r="AD119" s="378" t="str">
        <f t="shared" si="34"/>
        <v/>
      </c>
    </row>
    <row r="120" spans="1:30" x14ac:dyDescent="0.2">
      <c r="A120" s="178">
        <v>99</v>
      </c>
      <c r="B120" s="178">
        <f t="shared" si="31"/>
        <v>2111</v>
      </c>
      <c r="C120" s="292" t="str">
        <f>IF(IN_DATA!C104="","",MAX(min_oil_price,MIN(C119+C119*$L$6,max_oil_price)))</f>
        <v/>
      </c>
      <c r="D120" s="293" t="str">
        <f>IF(IN_DATA!C104="","",MAX(min_gas_price,MIN(D119+D119*$L$7,max_gas_price)))</f>
        <v/>
      </c>
      <c r="E120" s="294" t="str">
        <f>IF(IN_DATA!C104="","",MIN(E119+E119*$L$8,16))</f>
        <v/>
      </c>
      <c r="F120" s="110" t="str">
        <f>IF(O120="", "", IN_DATA!C104*365*OCF*FPF)</f>
        <v/>
      </c>
      <c r="G120" s="184" t="str">
        <f>IF(O120="","",IN_DATA!D104*365*FPF*OCF)</f>
        <v/>
      </c>
      <c r="H120" s="235" t="str">
        <f t="shared" si="22"/>
        <v/>
      </c>
      <c r="I120" s="238" t="str">
        <f t="shared" si="23"/>
        <v/>
      </c>
      <c r="J120" s="236" t="str">
        <f t="shared" si="24"/>
        <v/>
      </c>
      <c r="K120" s="239" t="str">
        <f t="shared" si="25"/>
        <v/>
      </c>
      <c r="L120" s="247" t="str">
        <f t="shared" si="30"/>
        <v/>
      </c>
      <c r="M120" s="244" t="str">
        <f>IF(I120=""," ",IF(IN_DATA!R104=1,"Primary Rec.",IF(IN_DATA!R104=2,"Water Flood",IF(IN_DATA!R104=3,"CO2 Flood",""))))</f>
        <v xml:space="preserve"> </v>
      </c>
      <c r="N120" s="109" t="str">
        <f>IF(I120="","",IF(O120=0, 0, OpCost!AD109))</f>
        <v/>
      </c>
      <c r="O120" s="187" t="str">
        <f>IF(OpCost!AE109="", "", OpCost!AE109)</f>
        <v/>
      </c>
      <c r="P120" s="251" t="str">
        <f>IF(F120="","",((IN_DATA!C104+IN_DATA!D104/10)/IN_DATA!P104))</f>
        <v/>
      </c>
      <c r="Q120" s="248" t="str">
        <f>IF(F120="","",SUM($P$21:P120)*365)</f>
        <v/>
      </c>
      <c r="R120" s="249" t="str">
        <f>IF(F120="", "", HLOOKUP(C120,'Reference-Crown Royalties'!$D$2:$AB$49,MATCH(P120,'Reference-Crown Royalties'!$A$2:$A$49,1),TRUE))</f>
        <v/>
      </c>
      <c r="S120" s="276" t="str">
        <f>IF(F120="", "", IF(IN_DATA!R104=3, CO2_Royalty_Factor, IF('Economics Summary'!A120&lt;2, IF('Economics Summary'!Q120&lt;60000, 0.05, ((60000*0.05+('Economics Summary'!Q120-60000)*R120)/'Economics Summary'!Q120)),R120)))</f>
        <v/>
      </c>
      <c r="T120" s="250" t="str">
        <f t="shared" si="26"/>
        <v/>
      </c>
      <c r="U120" s="250" t="str">
        <f t="shared" si="27"/>
        <v/>
      </c>
      <c r="V120" s="344" t="str">
        <f t="shared" si="32"/>
        <v/>
      </c>
      <c r="W120" s="257" t="str">
        <f>IF(F120="","",SUM($V$21:V120))</f>
        <v/>
      </c>
      <c r="X120" s="260" t="str">
        <f xml:space="preserve"> IF(OR(F120="",SUM(IN_DATA!$H$5:'IN_DATA'!H104)=0), "", 1-SUM(IN_DATA!$F$5:'IN_DATA'!F104)/SUM(IN_DATA!$H$5:'IN_DATA'!H104))</f>
        <v/>
      </c>
      <c r="Y120" s="307" t="str">
        <f>IF(OR(F120="",SUM(IN_DATA!$H$5:'IN_DATA'!H104)=0),"",365*(SUM(IN_DATA!$H$5:'IN_DATA'!H104)-SUM(IN_DATA!$F$5:'IN_DATA'!F104))/1000)</f>
        <v/>
      </c>
      <c r="Z120" s="346" t="str">
        <f t="shared" si="28"/>
        <v/>
      </c>
      <c r="AA120" s="370" t="str">
        <f t="shared" si="33"/>
        <v/>
      </c>
      <c r="AB120" s="373" t="str">
        <f>IF(F120="", "", IF(IN_DATA!R104=3, MAX(CO2_Royalty_Factor-Z120/10000,0), IF('Economics Summary'!A120&lt;2, IF('Economics Summary'!Q120&lt;60000, 0.05, ((60000*0.05+('Economics Summary'!Q120-60000)*R120)/'Economics Summary'!Q120)),R120)))</f>
        <v/>
      </c>
      <c r="AC120" s="377" t="str">
        <f t="shared" si="29"/>
        <v/>
      </c>
      <c r="AD120" s="378" t="str">
        <f t="shared" si="34"/>
        <v/>
      </c>
    </row>
    <row r="121" spans="1:30" x14ac:dyDescent="0.2">
      <c r="A121" s="178">
        <v>100</v>
      </c>
      <c r="B121" s="178">
        <f t="shared" ref="B121:B184" si="35">A121+$B$16</f>
        <v>2112</v>
      </c>
      <c r="C121" s="292" t="str">
        <f>IF(IN_DATA!C105="","",MAX(min_oil_price,MIN(C120+C120*$L$6,max_oil_price)))</f>
        <v/>
      </c>
      <c r="D121" s="293" t="str">
        <f>IF(IN_DATA!C105="","",MAX(min_gas_price,MIN(D120+D120*$L$7,max_gas_price)))</f>
        <v/>
      </c>
      <c r="E121" s="294" t="str">
        <f>IF(IN_DATA!C105="","",MIN(E120+E120*$L$8,16))</f>
        <v/>
      </c>
      <c r="F121" s="110" t="str">
        <f>IF(O121="", "", IN_DATA!C105*365*OCF*FPF)</f>
        <v/>
      </c>
      <c r="G121" s="184" t="str">
        <f>IF(O121="","",IN_DATA!D105*365*FPF*OCF)</f>
        <v/>
      </c>
      <c r="H121" s="235" t="str">
        <f t="shared" si="22"/>
        <v/>
      </c>
      <c r="I121" s="238" t="str">
        <f t="shared" si="23"/>
        <v/>
      </c>
      <c r="J121" s="236" t="str">
        <f t="shared" si="24"/>
        <v/>
      </c>
      <c r="K121" s="239" t="str">
        <f t="shared" si="25"/>
        <v/>
      </c>
      <c r="L121" s="247" t="str">
        <f t="shared" si="30"/>
        <v/>
      </c>
      <c r="M121" s="244" t="str">
        <f>IF(I121=""," ",IF(IN_DATA!R105=1,"Primary Rec.",IF(IN_DATA!R105=2,"Water Flood",IF(IN_DATA!R105=3,"CO2 Flood",""))))</f>
        <v xml:space="preserve"> </v>
      </c>
      <c r="N121" s="109" t="str">
        <f>IF(I121="","",IF(O121=0, 0, OpCost!AD110))</f>
        <v/>
      </c>
      <c r="O121" s="187" t="str">
        <f>IF(OpCost!AE110="", "", OpCost!AE110)</f>
        <v/>
      </c>
      <c r="P121" s="251" t="str">
        <f>IF(F121="","",((IN_DATA!C105+IN_DATA!D105/10)/IN_DATA!P105))</f>
        <v/>
      </c>
      <c r="Q121" s="248" t="str">
        <f>IF(F121="","",SUM($P$21:P121)*365)</f>
        <v/>
      </c>
      <c r="R121" s="249" t="str">
        <f>IF(F121="", "", HLOOKUP(C121,'Reference-Crown Royalties'!$D$2:$AB$49,MATCH(P121,'Reference-Crown Royalties'!$A$2:$A$49,1),TRUE))</f>
        <v/>
      </c>
      <c r="S121" s="276" t="str">
        <f>IF(F121="", "", IF(IN_DATA!R105=3, CO2_Royalty_Factor, IF('Economics Summary'!A121&lt;2, IF('Economics Summary'!Q121&lt;60000, 0.05, ((60000*0.05+('Economics Summary'!Q121-60000)*R121)/'Economics Summary'!Q121)),R121)))</f>
        <v/>
      </c>
      <c r="T121" s="250" t="str">
        <f t="shared" si="26"/>
        <v/>
      </c>
      <c r="U121" s="250" t="str">
        <f t="shared" si="27"/>
        <v/>
      </c>
      <c r="V121" s="344" t="str">
        <f t="shared" si="32"/>
        <v/>
      </c>
      <c r="W121" s="257" t="str">
        <f>IF(F121="","",SUM($V$21:V121))</f>
        <v/>
      </c>
      <c r="X121" s="260" t="str">
        <f xml:space="preserve"> IF(OR(F121="",SUM(IN_DATA!$H$5:'IN_DATA'!H105)=0), "", 1-SUM(IN_DATA!$F$5:'IN_DATA'!F105)/SUM(IN_DATA!$H$5:'IN_DATA'!H105))</f>
        <v/>
      </c>
      <c r="Y121" s="307" t="str">
        <f>IF(OR(F121="",SUM(IN_DATA!$H$5:'IN_DATA'!H105)=0),"",365*(SUM(IN_DATA!$H$5:'IN_DATA'!H105)-SUM(IN_DATA!$F$5:'IN_DATA'!F105))/1000)</f>
        <v/>
      </c>
      <c r="Z121" s="346" t="str">
        <f t="shared" si="28"/>
        <v/>
      </c>
      <c r="AA121" s="370" t="str">
        <f t="shared" si="33"/>
        <v/>
      </c>
      <c r="AB121" s="373" t="str">
        <f>IF(F121="", "", IF(IN_DATA!R105=3, MAX(CO2_Royalty_Factor-Z121/10000,0), IF('Economics Summary'!A121&lt;2, IF('Economics Summary'!Q121&lt;60000, 0.05, ((60000*0.05+('Economics Summary'!Q121-60000)*R121)/'Economics Summary'!Q121)),R121)))</f>
        <v/>
      </c>
      <c r="AC121" s="377" t="str">
        <f t="shared" si="29"/>
        <v/>
      </c>
      <c r="AD121" s="378" t="str">
        <f t="shared" si="34"/>
        <v/>
      </c>
    </row>
    <row r="122" spans="1:30" x14ac:dyDescent="0.2">
      <c r="A122" s="178">
        <v>101</v>
      </c>
      <c r="B122" s="178">
        <f t="shared" si="35"/>
        <v>2113</v>
      </c>
      <c r="C122" s="292" t="str">
        <f>IF(IN_DATA!C106="","",MAX(min_oil_price,MIN(C121+C121*$L$6,max_oil_price)))</f>
        <v/>
      </c>
      <c r="D122" s="293" t="str">
        <f>IF(IN_DATA!C106="","",MAX(min_gas_price,MIN(D121+D121*$L$7,max_gas_price)))</f>
        <v/>
      </c>
      <c r="E122" s="294" t="str">
        <f>IF(IN_DATA!C106="","",MIN(E121+E121*$L$8,16))</f>
        <v/>
      </c>
      <c r="F122" s="110" t="str">
        <f>IF(O122="", "", IN_DATA!C106*365*OCF*FPF)</f>
        <v/>
      </c>
      <c r="G122" s="184" t="str">
        <f>IF(O122="","",IN_DATA!D106*365*FPF*OCF)</f>
        <v/>
      </c>
      <c r="H122" s="235" t="str">
        <f t="shared" si="22"/>
        <v/>
      </c>
      <c r="I122" s="238" t="str">
        <f t="shared" si="23"/>
        <v/>
      </c>
      <c r="J122" s="236" t="str">
        <f t="shared" si="24"/>
        <v/>
      </c>
      <c r="K122" s="239" t="str">
        <f t="shared" si="25"/>
        <v/>
      </c>
      <c r="L122" s="247" t="str">
        <f t="shared" si="30"/>
        <v/>
      </c>
      <c r="M122" s="244" t="str">
        <f>IF(I122=""," ",IF(IN_DATA!R106=1,"Primary Rec.",IF(IN_DATA!R106=2,"Water Flood",IF(IN_DATA!R106=3,"CO2 Flood",""))))</f>
        <v xml:space="preserve"> </v>
      </c>
      <c r="N122" s="109" t="str">
        <f>IF(I122="","",IF(O122=0, 0, OpCost!AD111))</f>
        <v/>
      </c>
      <c r="O122" s="187" t="str">
        <f>IF(OpCost!AE111="", "", OpCost!AE111)</f>
        <v/>
      </c>
      <c r="P122" s="251" t="str">
        <f>IF(F122="","",((IN_DATA!C106+IN_DATA!D106/10)/IN_DATA!P106))</f>
        <v/>
      </c>
      <c r="Q122" s="248" t="str">
        <f>IF(F122="","",SUM($P$21:P122)*365)</f>
        <v/>
      </c>
      <c r="R122" s="249" t="str">
        <f>IF(F122="", "", HLOOKUP(C122,'Reference-Crown Royalties'!$D$2:$AB$49,MATCH(P122,'Reference-Crown Royalties'!$A$2:$A$49,1),TRUE))</f>
        <v/>
      </c>
      <c r="S122" s="276" t="str">
        <f>IF(F122="", "", IF(IN_DATA!R106=3, CO2_Royalty_Factor, IF('Economics Summary'!A122&lt;2, IF('Economics Summary'!Q122&lt;60000, 0.05, ((60000*0.05+('Economics Summary'!Q122-60000)*R122)/'Economics Summary'!Q122)),R122)))</f>
        <v/>
      </c>
      <c r="T122" s="250" t="str">
        <f t="shared" si="26"/>
        <v/>
      </c>
      <c r="U122" s="250" t="str">
        <f t="shared" si="27"/>
        <v/>
      </c>
      <c r="V122" s="344" t="str">
        <f t="shared" si="32"/>
        <v/>
      </c>
      <c r="W122" s="257" t="str">
        <f>IF(F122="","",SUM($V$21:V122))</f>
        <v/>
      </c>
      <c r="X122" s="260" t="str">
        <f xml:space="preserve"> IF(OR(F122="",SUM(IN_DATA!$H$5:'IN_DATA'!H106)=0), "", 1-SUM(IN_DATA!$F$5:'IN_DATA'!F106)/SUM(IN_DATA!$H$5:'IN_DATA'!H106))</f>
        <v/>
      </c>
      <c r="Y122" s="307" t="str">
        <f>IF(OR(F122="",SUM(IN_DATA!$H$5:'IN_DATA'!H106)=0),"",365*(SUM(IN_DATA!$H$5:'IN_DATA'!H106)-SUM(IN_DATA!$F$5:'IN_DATA'!F106))/1000)</f>
        <v/>
      </c>
      <c r="Z122" s="346" t="str">
        <f t="shared" si="28"/>
        <v/>
      </c>
      <c r="AA122" s="370" t="str">
        <f t="shared" si="33"/>
        <v/>
      </c>
      <c r="AB122" s="373" t="str">
        <f>IF(F122="", "", IF(IN_DATA!R106=3, MAX(CO2_Royalty_Factor-Z122/10000,0), IF('Economics Summary'!A122&lt;2, IF('Economics Summary'!Q122&lt;60000, 0.05, ((60000*0.05+('Economics Summary'!Q122-60000)*R122)/'Economics Summary'!Q122)),R122)))</f>
        <v/>
      </c>
      <c r="AC122" s="377" t="str">
        <f t="shared" si="29"/>
        <v/>
      </c>
      <c r="AD122" s="378" t="str">
        <f t="shared" si="34"/>
        <v/>
      </c>
    </row>
    <row r="123" spans="1:30" x14ac:dyDescent="0.2">
      <c r="A123" s="178">
        <v>102</v>
      </c>
      <c r="B123" s="178">
        <f t="shared" si="35"/>
        <v>2114</v>
      </c>
      <c r="C123" s="292" t="str">
        <f>IF(IN_DATA!C107="","",MAX(min_oil_price,MIN(C122+C122*$L$6,max_oil_price)))</f>
        <v/>
      </c>
      <c r="D123" s="293" t="str">
        <f>IF(IN_DATA!C107="","",MAX(min_gas_price,MIN(D122+D122*$L$7,max_gas_price)))</f>
        <v/>
      </c>
      <c r="E123" s="294" t="str">
        <f>IF(IN_DATA!C107="","",MIN(E122+E122*$L$8,16))</f>
        <v/>
      </c>
      <c r="F123" s="110" t="str">
        <f>IF(O123="", "", IN_DATA!C107*365*OCF*FPF)</f>
        <v/>
      </c>
      <c r="G123" s="184" t="str">
        <f>IF(O123="","",IN_DATA!D107*365*FPF*OCF)</f>
        <v/>
      </c>
      <c r="H123" s="235" t="str">
        <f t="shared" si="22"/>
        <v/>
      </c>
      <c r="I123" s="238" t="str">
        <f t="shared" si="23"/>
        <v/>
      </c>
      <c r="J123" s="236" t="str">
        <f t="shared" si="24"/>
        <v/>
      </c>
      <c r="K123" s="239" t="str">
        <f t="shared" si="25"/>
        <v/>
      </c>
      <c r="L123" s="247" t="str">
        <f t="shared" si="30"/>
        <v/>
      </c>
      <c r="M123" s="244" t="str">
        <f>IF(I123=""," ",IF(IN_DATA!R107=1,"Primary Rec.",IF(IN_DATA!R107=2,"Water Flood",IF(IN_DATA!R107=3,"CO2 Flood",""))))</f>
        <v xml:space="preserve"> </v>
      </c>
      <c r="N123" s="109" t="str">
        <f>IF(I123="","",IF(O123=0, 0, OpCost!AD112))</f>
        <v/>
      </c>
      <c r="O123" s="187" t="str">
        <f>IF(OpCost!AE112="", "", OpCost!AE112)</f>
        <v/>
      </c>
      <c r="P123" s="251" t="str">
        <f>IF(F123="","",((IN_DATA!C107+IN_DATA!D107/10)/IN_DATA!P107))</f>
        <v/>
      </c>
      <c r="Q123" s="248" t="str">
        <f>IF(F123="","",SUM($P$21:P123)*365)</f>
        <v/>
      </c>
      <c r="R123" s="249" t="str">
        <f>IF(F123="", "", HLOOKUP(C123,'Reference-Crown Royalties'!$D$2:$AB$49,MATCH(P123,'Reference-Crown Royalties'!$A$2:$A$49,1),TRUE))</f>
        <v/>
      </c>
      <c r="S123" s="276" t="str">
        <f>IF(F123="", "", IF(IN_DATA!R107=3, CO2_Royalty_Factor, IF('Economics Summary'!A123&lt;2, IF('Economics Summary'!Q123&lt;60000, 0.05, ((60000*0.05+('Economics Summary'!Q123-60000)*R123)/'Economics Summary'!Q123)),R123)))</f>
        <v/>
      </c>
      <c r="T123" s="250" t="str">
        <f t="shared" si="26"/>
        <v/>
      </c>
      <c r="U123" s="250" t="str">
        <f t="shared" si="27"/>
        <v/>
      </c>
      <c r="V123" s="344" t="str">
        <f t="shared" si="32"/>
        <v/>
      </c>
      <c r="W123" s="257" t="str">
        <f>IF(F123="","",SUM($V$21:V123))</f>
        <v/>
      </c>
      <c r="X123" s="260" t="str">
        <f xml:space="preserve"> IF(OR(F123="",SUM(IN_DATA!$H$5:'IN_DATA'!H107)=0), "", 1-SUM(IN_DATA!$F$5:'IN_DATA'!F107)/SUM(IN_DATA!$H$5:'IN_DATA'!H107))</f>
        <v/>
      </c>
      <c r="Y123" s="307" t="str">
        <f>IF(OR(F123="",SUM(IN_DATA!$H$5:'IN_DATA'!H107)=0),"",365*(SUM(IN_DATA!$H$5:'IN_DATA'!H107)-SUM(IN_DATA!$F$5:'IN_DATA'!F107))/1000)</f>
        <v/>
      </c>
      <c r="Z123" s="346" t="str">
        <f t="shared" si="28"/>
        <v/>
      </c>
      <c r="AA123" s="370" t="str">
        <f t="shared" si="33"/>
        <v/>
      </c>
      <c r="AB123" s="373" t="str">
        <f>IF(F123="", "", IF(IN_DATA!R107=3, MAX(CO2_Royalty_Factor-Z123/10000,0), IF('Economics Summary'!A123&lt;2, IF('Economics Summary'!Q123&lt;60000, 0.05, ((60000*0.05+('Economics Summary'!Q123-60000)*R123)/'Economics Summary'!Q123)),R123)))</f>
        <v/>
      </c>
      <c r="AC123" s="377" t="str">
        <f t="shared" si="29"/>
        <v/>
      </c>
      <c r="AD123" s="378" t="str">
        <f t="shared" si="34"/>
        <v/>
      </c>
    </row>
    <row r="124" spans="1:30" x14ac:dyDescent="0.2">
      <c r="A124" s="178">
        <v>103</v>
      </c>
      <c r="B124" s="178">
        <f t="shared" si="35"/>
        <v>2115</v>
      </c>
      <c r="C124" s="292" t="str">
        <f>IF(IN_DATA!C108="","",MAX(min_oil_price,MIN(C123+C123*$L$6,max_oil_price)))</f>
        <v/>
      </c>
      <c r="D124" s="293" t="str">
        <f>IF(IN_DATA!C108="","",MAX(min_gas_price,MIN(D123+D123*$L$7,max_gas_price)))</f>
        <v/>
      </c>
      <c r="E124" s="294" t="str">
        <f>IF(IN_DATA!C108="","",MIN(E123+E123*$L$8,16))</f>
        <v/>
      </c>
      <c r="F124" s="110" t="str">
        <f>IF(O124="", "", IN_DATA!C108*365*OCF*FPF)</f>
        <v/>
      </c>
      <c r="G124" s="184" t="str">
        <f>IF(O124="","",IN_DATA!D108*365*FPF*OCF)</f>
        <v/>
      </c>
      <c r="H124" s="235" t="str">
        <f t="shared" si="22"/>
        <v/>
      </c>
      <c r="I124" s="238" t="str">
        <f t="shared" si="23"/>
        <v/>
      </c>
      <c r="J124" s="236" t="str">
        <f t="shared" si="24"/>
        <v/>
      </c>
      <c r="K124" s="239" t="str">
        <f t="shared" si="25"/>
        <v/>
      </c>
      <c r="L124" s="247" t="str">
        <f t="shared" si="30"/>
        <v/>
      </c>
      <c r="M124" s="244" t="str">
        <f>IF(I124=""," ",IF(IN_DATA!R108=1,"Primary Rec.",IF(IN_DATA!R108=2,"Water Flood",IF(IN_DATA!R108=3,"CO2 Flood",""))))</f>
        <v xml:space="preserve"> </v>
      </c>
      <c r="N124" s="109" t="str">
        <f>IF(I124="","",IF(O124=0, 0, OpCost!AD113))</f>
        <v/>
      </c>
      <c r="O124" s="187" t="str">
        <f>IF(OpCost!AE113="", "", OpCost!AE113)</f>
        <v/>
      </c>
      <c r="P124" s="251" t="str">
        <f>IF(F124="","",((IN_DATA!C108+IN_DATA!D108/10)/IN_DATA!P108))</f>
        <v/>
      </c>
      <c r="Q124" s="248" t="str">
        <f>IF(F124="","",SUM($P$21:P124)*365)</f>
        <v/>
      </c>
      <c r="R124" s="249" t="str">
        <f>IF(F124="", "", HLOOKUP(C124,'Reference-Crown Royalties'!$D$2:$AB$49,MATCH(P124,'Reference-Crown Royalties'!$A$2:$A$49,1),TRUE))</f>
        <v/>
      </c>
      <c r="S124" s="276" t="str">
        <f>IF(F124="", "", IF(IN_DATA!R108=3, CO2_Royalty_Factor, IF('Economics Summary'!A124&lt;2, IF('Economics Summary'!Q124&lt;60000, 0.05, ((60000*0.05+('Economics Summary'!Q124-60000)*R124)/'Economics Summary'!Q124)),R124)))</f>
        <v/>
      </c>
      <c r="T124" s="250" t="str">
        <f t="shared" si="26"/>
        <v/>
      </c>
      <c r="U124" s="250" t="str">
        <f t="shared" si="27"/>
        <v/>
      </c>
      <c r="V124" s="344" t="str">
        <f t="shared" si="32"/>
        <v/>
      </c>
      <c r="W124" s="257" t="str">
        <f>IF(F124="","",SUM($V$21:V124))</f>
        <v/>
      </c>
      <c r="X124" s="260" t="str">
        <f xml:space="preserve"> IF(OR(F124="",SUM(IN_DATA!$H$5:'IN_DATA'!H108)=0), "", 1-SUM(IN_DATA!$F$5:'IN_DATA'!F108)/SUM(IN_DATA!$H$5:'IN_DATA'!H108))</f>
        <v/>
      </c>
      <c r="Y124" s="307" t="str">
        <f>IF(OR(F124="",SUM(IN_DATA!$H$5:'IN_DATA'!H108)=0),"",365*(SUM(IN_DATA!$H$5:'IN_DATA'!H108)-SUM(IN_DATA!$F$5:'IN_DATA'!F108))/1000)</f>
        <v/>
      </c>
      <c r="Z124" s="346" t="str">
        <f t="shared" si="28"/>
        <v/>
      </c>
      <c r="AA124" s="370" t="str">
        <f t="shared" si="33"/>
        <v/>
      </c>
      <c r="AB124" s="373" t="str">
        <f>IF(F124="", "", IF(IN_DATA!R108=3, MAX(CO2_Royalty_Factor-Z124/10000,0), IF('Economics Summary'!A124&lt;2, IF('Economics Summary'!Q124&lt;60000, 0.05, ((60000*0.05+('Economics Summary'!Q124-60000)*R124)/'Economics Summary'!Q124)),R124)))</f>
        <v/>
      </c>
      <c r="AC124" s="377" t="str">
        <f t="shared" si="29"/>
        <v/>
      </c>
      <c r="AD124" s="378" t="str">
        <f t="shared" si="34"/>
        <v/>
      </c>
    </row>
    <row r="125" spans="1:30" x14ac:dyDescent="0.2">
      <c r="A125" s="178">
        <v>104</v>
      </c>
      <c r="B125" s="178">
        <f t="shared" si="35"/>
        <v>2116</v>
      </c>
      <c r="C125" s="292" t="str">
        <f>IF(IN_DATA!C109="","",MAX(min_oil_price,MIN(C124+C124*$L$6,max_oil_price)))</f>
        <v/>
      </c>
      <c r="D125" s="293" t="str">
        <f>IF(IN_DATA!C109="","",MAX(min_gas_price,MIN(D124+D124*$L$7,max_gas_price)))</f>
        <v/>
      </c>
      <c r="E125" s="294" t="str">
        <f>IF(IN_DATA!C109="","",MIN(E124+E124*$L$8,16))</f>
        <v/>
      </c>
      <c r="F125" s="110" t="str">
        <f>IF(O125="", "", IN_DATA!C109*365*OCF*FPF)</f>
        <v/>
      </c>
      <c r="G125" s="184" t="str">
        <f>IF(O125="","",IN_DATA!D109*365*FPF*OCF)</f>
        <v/>
      </c>
      <c r="H125" s="235" t="str">
        <f t="shared" si="22"/>
        <v/>
      </c>
      <c r="I125" s="238" t="str">
        <f t="shared" si="23"/>
        <v/>
      </c>
      <c r="J125" s="236" t="str">
        <f t="shared" si="24"/>
        <v/>
      </c>
      <c r="K125" s="239" t="str">
        <f t="shared" si="25"/>
        <v/>
      </c>
      <c r="L125" s="247" t="str">
        <f t="shared" si="30"/>
        <v/>
      </c>
      <c r="M125" s="244" t="str">
        <f>IF(I125=""," ",IF(IN_DATA!R109=1,"Primary Rec.",IF(IN_DATA!R109=2,"Water Flood",IF(IN_DATA!R109=3,"CO2 Flood",""))))</f>
        <v xml:space="preserve"> </v>
      </c>
      <c r="N125" s="109" t="str">
        <f>IF(I125="","",IF(O125=0, 0, OpCost!AD114))</f>
        <v/>
      </c>
      <c r="O125" s="187" t="str">
        <f>IF(OpCost!AE114="", "", OpCost!AE114)</f>
        <v/>
      </c>
      <c r="P125" s="251" t="str">
        <f>IF(F125="","",((IN_DATA!C109+IN_DATA!D109/10)/IN_DATA!P109))</f>
        <v/>
      </c>
      <c r="Q125" s="248" t="str">
        <f>IF(F125="","",SUM($P$21:P125)*365)</f>
        <v/>
      </c>
      <c r="R125" s="249" t="str">
        <f>IF(F125="", "", HLOOKUP(C125,'Reference-Crown Royalties'!$D$2:$AB$49,MATCH(P125,'Reference-Crown Royalties'!$A$2:$A$49,1),TRUE))</f>
        <v/>
      </c>
      <c r="S125" s="276" t="str">
        <f>IF(F125="", "", IF(IN_DATA!R109=3, CO2_Royalty_Factor, IF('Economics Summary'!A125&lt;2, IF('Economics Summary'!Q125&lt;60000, 0.05, ((60000*0.05+('Economics Summary'!Q125-60000)*R125)/'Economics Summary'!Q125)),R125)))</f>
        <v/>
      </c>
      <c r="T125" s="250" t="str">
        <f t="shared" si="26"/>
        <v/>
      </c>
      <c r="U125" s="250" t="str">
        <f t="shared" si="27"/>
        <v/>
      </c>
      <c r="V125" s="344" t="str">
        <f t="shared" si="32"/>
        <v/>
      </c>
      <c r="W125" s="257" t="str">
        <f>IF(F125="","",SUM($V$21:V125))</f>
        <v/>
      </c>
      <c r="X125" s="260" t="str">
        <f xml:space="preserve"> IF(OR(F125="",SUM(IN_DATA!$H$5:'IN_DATA'!H109)=0), "", 1-SUM(IN_DATA!$F$5:'IN_DATA'!F109)/SUM(IN_DATA!$H$5:'IN_DATA'!H109))</f>
        <v/>
      </c>
      <c r="Y125" s="307" t="str">
        <f>IF(OR(F125="",SUM(IN_DATA!$H$5:'IN_DATA'!H109)=0),"",365*(SUM(IN_DATA!$H$5:'IN_DATA'!H109)-SUM(IN_DATA!$F$5:'IN_DATA'!F109))/1000)</f>
        <v/>
      </c>
      <c r="Z125" s="346" t="str">
        <f t="shared" si="28"/>
        <v/>
      </c>
      <c r="AA125" s="370" t="str">
        <f t="shared" si="33"/>
        <v/>
      </c>
      <c r="AB125" s="373" t="str">
        <f>IF(F125="", "", IF(IN_DATA!R109=3, MAX(CO2_Royalty_Factor-Z125/10000,0), IF('Economics Summary'!A125&lt;2, IF('Economics Summary'!Q125&lt;60000, 0.05, ((60000*0.05+('Economics Summary'!Q125-60000)*R125)/'Economics Summary'!Q125)),R125)))</f>
        <v/>
      </c>
      <c r="AC125" s="377" t="str">
        <f t="shared" si="29"/>
        <v/>
      </c>
      <c r="AD125" s="378" t="str">
        <f t="shared" si="34"/>
        <v/>
      </c>
    </row>
    <row r="126" spans="1:30" x14ac:dyDescent="0.2">
      <c r="A126" s="178">
        <v>105</v>
      </c>
      <c r="B126" s="178">
        <f t="shared" si="35"/>
        <v>2117</v>
      </c>
      <c r="C126" s="292" t="str">
        <f>IF(IN_DATA!C110="","",MAX(min_oil_price,MIN(C125+C125*$L$6,max_oil_price)))</f>
        <v/>
      </c>
      <c r="D126" s="293" t="str">
        <f>IF(IN_DATA!C110="","",MAX(min_gas_price,MIN(D125+D125*$L$7,max_gas_price)))</f>
        <v/>
      </c>
      <c r="E126" s="294" t="str">
        <f>IF(IN_DATA!C110="","",MIN(E125+E125*$L$8,16))</f>
        <v/>
      </c>
      <c r="F126" s="110" t="str">
        <f>IF(O126="", "", IN_DATA!C110*365*OCF*FPF)</f>
        <v/>
      </c>
      <c r="G126" s="184" t="str">
        <f>IF(O126="","",IN_DATA!D110*365*FPF*OCF)</f>
        <v/>
      </c>
      <c r="H126" s="235" t="str">
        <f t="shared" si="22"/>
        <v/>
      </c>
      <c r="I126" s="238" t="str">
        <f t="shared" si="23"/>
        <v/>
      </c>
      <c r="J126" s="236" t="str">
        <f t="shared" si="24"/>
        <v/>
      </c>
      <c r="K126" s="239" t="str">
        <f t="shared" si="25"/>
        <v/>
      </c>
      <c r="L126" s="247" t="str">
        <f t="shared" si="30"/>
        <v/>
      </c>
      <c r="M126" s="244" t="str">
        <f>IF(I126=""," ",IF(IN_DATA!R110=1,"Primary Rec.",IF(IN_DATA!R110=2,"Water Flood",IF(IN_DATA!R110=3,"CO2 Flood",""))))</f>
        <v xml:space="preserve"> </v>
      </c>
      <c r="N126" s="109" t="str">
        <f>IF(I126="","",IF(O126=0, 0, OpCost!AD115))</f>
        <v/>
      </c>
      <c r="O126" s="187" t="str">
        <f>IF(OpCost!AE115="", "", OpCost!AE115)</f>
        <v/>
      </c>
      <c r="P126" s="251" t="str">
        <f>IF(F126="","",((IN_DATA!C110+IN_DATA!D110/10)/IN_DATA!P110))</f>
        <v/>
      </c>
      <c r="Q126" s="248" t="str">
        <f>IF(F126="","",SUM($P$21:P126)*365)</f>
        <v/>
      </c>
      <c r="R126" s="249" t="str">
        <f>IF(F126="", "", HLOOKUP(C126,'Reference-Crown Royalties'!$D$2:$AB$49,MATCH(P126,'Reference-Crown Royalties'!$A$2:$A$49,1),TRUE))</f>
        <v/>
      </c>
      <c r="S126" s="276" t="str">
        <f>IF(F126="", "", IF(IN_DATA!R110=3, CO2_Royalty_Factor, IF('Economics Summary'!A126&lt;2, IF('Economics Summary'!Q126&lt;60000, 0.05, ((60000*0.05+('Economics Summary'!Q126-60000)*R126)/'Economics Summary'!Q126)),R126)))</f>
        <v/>
      </c>
      <c r="T126" s="250" t="str">
        <f t="shared" si="26"/>
        <v/>
      </c>
      <c r="U126" s="250" t="str">
        <f t="shared" si="27"/>
        <v/>
      </c>
      <c r="V126" s="344" t="str">
        <f t="shared" si="32"/>
        <v/>
      </c>
      <c r="W126" s="257" t="str">
        <f>IF(F126="","",SUM($V$21:V126))</f>
        <v/>
      </c>
      <c r="X126" s="260" t="str">
        <f xml:space="preserve"> IF(OR(F126="",SUM(IN_DATA!$H$5:'IN_DATA'!H110)=0), "", 1-SUM(IN_DATA!$F$5:'IN_DATA'!F110)/SUM(IN_DATA!$H$5:'IN_DATA'!H110))</f>
        <v/>
      </c>
      <c r="Y126" s="307" t="str">
        <f>IF(OR(F126="",SUM(IN_DATA!$H$5:'IN_DATA'!H110)=0),"",365*(SUM(IN_DATA!$H$5:'IN_DATA'!H110)-SUM(IN_DATA!$F$5:'IN_DATA'!F110))/1000)</f>
        <v/>
      </c>
      <c r="Z126" s="346" t="str">
        <f t="shared" si="28"/>
        <v/>
      </c>
      <c r="AA126" s="370" t="str">
        <f t="shared" si="33"/>
        <v/>
      </c>
      <c r="AB126" s="373" t="str">
        <f>IF(F126="", "", IF(IN_DATA!R110=3, MAX(CO2_Royalty_Factor-Z126/10000,0), IF('Economics Summary'!A126&lt;2, IF('Economics Summary'!Q126&lt;60000, 0.05, ((60000*0.05+('Economics Summary'!Q126-60000)*R126)/'Economics Summary'!Q126)),R126)))</f>
        <v/>
      </c>
      <c r="AC126" s="377" t="str">
        <f t="shared" si="29"/>
        <v/>
      </c>
      <c r="AD126" s="378" t="str">
        <f t="shared" si="34"/>
        <v/>
      </c>
    </row>
    <row r="127" spans="1:30" x14ac:dyDescent="0.2">
      <c r="A127" s="178">
        <v>106</v>
      </c>
      <c r="B127" s="178">
        <f t="shared" si="35"/>
        <v>2118</v>
      </c>
      <c r="C127" s="292" t="str">
        <f>IF(IN_DATA!C111="","",MAX(min_oil_price,MIN(C126+C126*$L$6,max_oil_price)))</f>
        <v/>
      </c>
      <c r="D127" s="293" t="str">
        <f>IF(IN_DATA!C111="","",MAX(min_gas_price,MIN(D126+D126*$L$7,max_gas_price)))</f>
        <v/>
      </c>
      <c r="E127" s="294" t="str">
        <f>IF(IN_DATA!C111="","",MIN(E126+E126*$L$8,16))</f>
        <v/>
      </c>
      <c r="F127" s="110" t="str">
        <f>IF(O127="", "", IN_DATA!C111*365*OCF*FPF)</f>
        <v/>
      </c>
      <c r="G127" s="184" t="str">
        <f>IF(O127="","",IN_DATA!D111*365*FPF*OCF)</f>
        <v/>
      </c>
      <c r="H127" s="235" t="str">
        <f t="shared" si="22"/>
        <v/>
      </c>
      <c r="I127" s="238" t="str">
        <f t="shared" si="23"/>
        <v/>
      </c>
      <c r="J127" s="236" t="str">
        <f t="shared" si="24"/>
        <v/>
      </c>
      <c r="K127" s="239" t="str">
        <f t="shared" si="25"/>
        <v/>
      </c>
      <c r="L127" s="247" t="str">
        <f t="shared" si="30"/>
        <v/>
      </c>
      <c r="M127" s="244" t="str">
        <f>IF(I127=""," ",IF(IN_DATA!R111=1,"Primary Rec.",IF(IN_DATA!R111=2,"Water Flood",IF(IN_DATA!R111=3,"CO2 Flood",""))))</f>
        <v xml:space="preserve"> </v>
      </c>
      <c r="N127" s="109" t="str">
        <f>IF(I127="","",IF(O127=0, 0, OpCost!AD116))</f>
        <v/>
      </c>
      <c r="O127" s="187" t="str">
        <f>IF(OpCost!AE116="", "", OpCost!AE116)</f>
        <v/>
      </c>
      <c r="P127" s="251" t="str">
        <f>IF(F127="","",((IN_DATA!C111+IN_DATA!D111/10)/IN_DATA!P111))</f>
        <v/>
      </c>
      <c r="Q127" s="248" t="str">
        <f>IF(F127="","",SUM($P$21:P127)*365)</f>
        <v/>
      </c>
      <c r="R127" s="249" t="str">
        <f>IF(F127="", "", HLOOKUP(C127,'Reference-Crown Royalties'!$D$2:$AB$49,MATCH(P127,'Reference-Crown Royalties'!$A$2:$A$49,1),TRUE))</f>
        <v/>
      </c>
      <c r="S127" s="276" t="str">
        <f>IF(F127="", "", IF(IN_DATA!R111=3, CO2_Royalty_Factor, IF('Economics Summary'!A127&lt;2, IF('Economics Summary'!Q127&lt;60000, 0.05, ((60000*0.05+('Economics Summary'!Q127-60000)*R127)/'Economics Summary'!Q127)),R127)))</f>
        <v/>
      </c>
      <c r="T127" s="250" t="str">
        <f t="shared" si="26"/>
        <v/>
      </c>
      <c r="U127" s="250" t="str">
        <f t="shared" si="27"/>
        <v/>
      </c>
      <c r="V127" s="344" t="str">
        <f t="shared" si="32"/>
        <v/>
      </c>
      <c r="W127" s="257" t="str">
        <f>IF(F127="","",SUM($V$21:V127))</f>
        <v/>
      </c>
      <c r="X127" s="260" t="str">
        <f xml:space="preserve"> IF(OR(F127="",SUM(IN_DATA!$H$5:'IN_DATA'!H111)=0), "", 1-SUM(IN_DATA!$F$5:'IN_DATA'!F111)/SUM(IN_DATA!$H$5:'IN_DATA'!H111))</f>
        <v/>
      </c>
      <c r="Y127" s="307" t="str">
        <f>IF(OR(F127="",SUM(IN_DATA!$H$5:'IN_DATA'!H111)=0),"",365*(SUM(IN_DATA!$H$5:'IN_DATA'!H111)-SUM(IN_DATA!$F$5:'IN_DATA'!F111))/1000)</f>
        <v/>
      </c>
      <c r="Z127" s="346" t="str">
        <f t="shared" si="28"/>
        <v/>
      </c>
      <c r="AA127" s="370" t="str">
        <f t="shared" si="33"/>
        <v/>
      </c>
      <c r="AB127" s="373" t="str">
        <f>IF(F127="", "", IF(IN_DATA!R111=3, MAX(CO2_Royalty_Factor-Z127/10000,0), IF('Economics Summary'!A127&lt;2, IF('Economics Summary'!Q127&lt;60000, 0.05, ((60000*0.05+('Economics Summary'!Q127-60000)*R127)/'Economics Summary'!Q127)),R127)))</f>
        <v/>
      </c>
      <c r="AC127" s="377" t="str">
        <f t="shared" si="29"/>
        <v/>
      </c>
      <c r="AD127" s="378" t="str">
        <f t="shared" si="34"/>
        <v/>
      </c>
    </row>
    <row r="128" spans="1:30" x14ac:dyDescent="0.2">
      <c r="A128" s="178">
        <v>107</v>
      </c>
      <c r="B128" s="178">
        <f t="shared" si="35"/>
        <v>2119</v>
      </c>
      <c r="C128" s="292" t="str">
        <f>IF(IN_DATA!C112="","",MAX(min_oil_price,MIN(C127+C127*$L$6,max_oil_price)))</f>
        <v/>
      </c>
      <c r="D128" s="293" t="str">
        <f>IF(IN_DATA!C112="","",MAX(min_gas_price,MIN(D127+D127*$L$7,max_gas_price)))</f>
        <v/>
      </c>
      <c r="E128" s="294" t="str">
        <f>IF(IN_DATA!C112="","",MIN(E127+E127*$L$8,16))</f>
        <v/>
      </c>
      <c r="F128" s="110" t="str">
        <f>IF(O128="", "", IN_DATA!C112*365*OCF*FPF)</f>
        <v/>
      </c>
      <c r="G128" s="184" t="str">
        <f>IF(O128="","",IN_DATA!D112*365*FPF*OCF)</f>
        <v/>
      </c>
      <c r="H128" s="235" t="str">
        <f t="shared" si="22"/>
        <v/>
      </c>
      <c r="I128" s="238" t="str">
        <f t="shared" si="23"/>
        <v/>
      </c>
      <c r="J128" s="236" t="str">
        <f t="shared" si="24"/>
        <v/>
      </c>
      <c r="K128" s="239" t="str">
        <f t="shared" si="25"/>
        <v/>
      </c>
      <c r="L128" s="247" t="str">
        <f t="shared" si="30"/>
        <v/>
      </c>
      <c r="M128" s="244" t="str">
        <f>IF(I128=""," ",IF(IN_DATA!R112=1,"Primary Rec.",IF(IN_DATA!R112=2,"Water Flood",IF(IN_DATA!R112=3,"CO2 Flood",""))))</f>
        <v xml:space="preserve"> </v>
      </c>
      <c r="N128" s="109" t="str">
        <f>IF(I128="","",IF(O128=0, 0, OpCost!AD117))</f>
        <v/>
      </c>
      <c r="O128" s="187" t="str">
        <f>IF(OpCost!AE117="", "", OpCost!AE117)</f>
        <v/>
      </c>
      <c r="P128" s="251" t="str">
        <f>IF(F128="","",((IN_DATA!C112+IN_DATA!D112/10)/IN_DATA!P112))</f>
        <v/>
      </c>
      <c r="Q128" s="248" t="str">
        <f>IF(F128="","",SUM($P$21:P128)*365)</f>
        <v/>
      </c>
      <c r="R128" s="249" t="str">
        <f>IF(F128="", "", HLOOKUP(C128,'Reference-Crown Royalties'!$D$2:$AB$49,MATCH(P128,'Reference-Crown Royalties'!$A$2:$A$49,1),TRUE))</f>
        <v/>
      </c>
      <c r="S128" s="276" t="str">
        <f>IF(F128="", "", IF(IN_DATA!R112=3, CO2_Royalty_Factor, IF('Economics Summary'!A128&lt;2, IF('Economics Summary'!Q128&lt;60000, 0.05, ((60000*0.05+('Economics Summary'!Q128-60000)*R128)/'Economics Summary'!Q128)),R128)))</f>
        <v/>
      </c>
      <c r="T128" s="250" t="str">
        <f t="shared" si="26"/>
        <v/>
      </c>
      <c r="U128" s="250" t="str">
        <f t="shared" si="27"/>
        <v/>
      </c>
      <c r="V128" s="344" t="str">
        <f t="shared" si="32"/>
        <v/>
      </c>
      <c r="W128" s="257" t="str">
        <f>IF(F128="","",SUM($V$21:V128))</f>
        <v/>
      </c>
      <c r="X128" s="260" t="str">
        <f xml:space="preserve"> IF(OR(F128="",SUM(IN_DATA!$H$5:'IN_DATA'!H112)=0), "", 1-SUM(IN_DATA!$F$5:'IN_DATA'!F112)/SUM(IN_DATA!$H$5:'IN_DATA'!H112))</f>
        <v/>
      </c>
      <c r="Y128" s="307" t="str">
        <f>IF(OR(F128="",SUM(IN_DATA!$H$5:'IN_DATA'!H112)=0),"",365*(SUM(IN_DATA!$H$5:'IN_DATA'!H112)-SUM(IN_DATA!$F$5:'IN_DATA'!F112))/1000)</f>
        <v/>
      </c>
      <c r="Z128" s="346" t="str">
        <f t="shared" si="28"/>
        <v/>
      </c>
      <c r="AA128" s="370" t="str">
        <f t="shared" si="33"/>
        <v/>
      </c>
      <c r="AB128" s="373" t="str">
        <f>IF(F128="", "", IF(IN_DATA!R112=3, MAX(CO2_Royalty_Factor-Z128/10000,0), IF('Economics Summary'!A128&lt;2, IF('Economics Summary'!Q128&lt;60000, 0.05, ((60000*0.05+('Economics Summary'!Q128-60000)*R128)/'Economics Summary'!Q128)),R128)))</f>
        <v/>
      </c>
      <c r="AC128" s="377" t="str">
        <f t="shared" si="29"/>
        <v/>
      </c>
      <c r="AD128" s="378" t="str">
        <f t="shared" si="34"/>
        <v/>
      </c>
    </row>
    <row r="129" spans="1:30" x14ac:dyDescent="0.2">
      <c r="A129" s="178">
        <v>108</v>
      </c>
      <c r="B129" s="178">
        <f t="shared" si="35"/>
        <v>2120</v>
      </c>
      <c r="C129" s="292" t="str">
        <f>IF(IN_DATA!C113="","",MAX(min_oil_price,MIN(C128+C128*$L$6,max_oil_price)))</f>
        <v/>
      </c>
      <c r="D129" s="293" t="str">
        <f>IF(IN_DATA!C113="","",MAX(min_gas_price,MIN(D128+D128*$L$7,max_gas_price)))</f>
        <v/>
      </c>
      <c r="E129" s="294" t="str">
        <f>IF(IN_DATA!C113="","",MIN(E128+E128*$L$8,16))</f>
        <v/>
      </c>
      <c r="F129" s="110" t="str">
        <f>IF(O129="", "", IN_DATA!C113*365*OCF*FPF)</f>
        <v/>
      </c>
      <c r="G129" s="184" t="str">
        <f>IF(O129="","",IN_DATA!D113*365*FPF*OCF)</f>
        <v/>
      </c>
      <c r="H129" s="235" t="str">
        <f t="shared" si="22"/>
        <v/>
      </c>
      <c r="I129" s="238" t="str">
        <f t="shared" si="23"/>
        <v/>
      </c>
      <c r="J129" s="236" t="str">
        <f t="shared" si="24"/>
        <v/>
      </c>
      <c r="K129" s="239" t="str">
        <f t="shared" si="25"/>
        <v/>
      </c>
      <c r="L129" s="247" t="str">
        <f t="shared" si="30"/>
        <v/>
      </c>
      <c r="M129" s="244" t="str">
        <f>IF(I129=""," ",IF(IN_DATA!R113=1,"Primary Rec.",IF(IN_DATA!R113=2,"Water Flood",IF(IN_DATA!R113=3,"CO2 Flood",""))))</f>
        <v xml:space="preserve"> </v>
      </c>
      <c r="N129" s="109" t="str">
        <f>IF(I129="","",IF(O129=0, 0, OpCost!AD118))</f>
        <v/>
      </c>
      <c r="O129" s="187" t="str">
        <f>IF(OpCost!AE118="", "", OpCost!AE118)</f>
        <v/>
      </c>
      <c r="P129" s="251" t="str">
        <f>IF(F129="","",((IN_DATA!C113+IN_DATA!D113/10)/IN_DATA!P113))</f>
        <v/>
      </c>
      <c r="Q129" s="248" t="str">
        <f>IF(F129="","",SUM($P$21:P129)*365)</f>
        <v/>
      </c>
      <c r="R129" s="249" t="str">
        <f>IF(F129="", "", HLOOKUP(C129,'Reference-Crown Royalties'!$D$2:$AB$49,MATCH(P129,'Reference-Crown Royalties'!$A$2:$A$49,1),TRUE))</f>
        <v/>
      </c>
      <c r="S129" s="276" t="str">
        <f>IF(F129="", "", IF(IN_DATA!R113=3, CO2_Royalty_Factor, IF('Economics Summary'!A129&lt;2, IF('Economics Summary'!Q129&lt;60000, 0.05, ((60000*0.05+('Economics Summary'!Q129-60000)*R129)/'Economics Summary'!Q129)),R129)))</f>
        <v/>
      </c>
      <c r="T129" s="250" t="str">
        <f t="shared" si="26"/>
        <v/>
      </c>
      <c r="U129" s="250" t="str">
        <f t="shared" si="27"/>
        <v/>
      </c>
      <c r="V129" s="344" t="str">
        <f t="shared" si="32"/>
        <v/>
      </c>
      <c r="W129" s="257" t="str">
        <f>IF(F129="","",SUM($V$21:V129))</f>
        <v/>
      </c>
      <c r="X129" s="260" t="str">
        <f xml:space="preserve"> IF(OR(F129="",SUM(IN_DATA!$H$5:'IN_DATA'!H113)=0), "", 1-SUM(IN_DATA!$F$5:'IN_DATA'!F113)/SUM(IN_DATA!$H$5:'IN_DATA'!H113))</f>
        <v/>
      </c>
      <c r="Y129" s="307" t="str">
        <f>IF(OR(F129="",SUM(IN_DATA!$H$5:'IN_DATA'!H113)=0),"",365*(SUM(IN_DATA!$H$5:'IN_DATA'!H113)-SUM(IN_DATA!$F$5:'IN_DATA'!F113))/1000)</f>
        <v/>
      </c>
      <c r="Z129" s="346" t="str">
        <f t="shared" si="28"/>
        <v/>
      </c>
      <c r="AA129" s="370" t="str">
        <f t="shared" si="33"/>
        <v/>
      </c>
      <c r="AB129" s="373" t="str">
        <f>IF(F129="", "", IF(IN_DATA!R113=3, MAX(CO2_Royalty_Factor-Z129/10000,0), IF('Economics Summary'!A129&lt;2, IF('Economics Summary'!Q129&lt;60000, 0.05, ((60000*0.05+('Economics Summary'!Q129-60000)*R129)/'Economics Summary'!Q129)),R129)))</f>
        <v/>
      </c>
      <c r="AC129" s="377" t="str">
        <f t="shared" si="29"/>
        <v/>
      </c>
      <c r="AD129" s="378" t="str">
        <f t="shared" si="34"/>
        <v/>
      </c>
    </row>
    <row r="130" spans="1:30" x14ac:dyDescent="0.2">
      <c r="A130" s="178">
        <v>109</v>
      </c>
      <c r="B130" s="178">
        <f t="shared" si="35"/>
        <v>2121</v>
      </c>
      <c r="C130" s="292" t="str">
        <f>IF(IN_DATA!C114="","",MAX(min_oil_price,MIN(C129+C129*$L$6,max_oil_price)))</f>
        <v/>
      </c>
      <c r="D130" s="293" t="str">
        <f>IF(IN_DATA!C114="","",MAX(min_gas_price,MIN(D129+D129*$L$7,max_gas_price)))</f>
        <v/>
      </c>
      <c r="E130" s="294" t="str">
        <f>IF(IN_DATA!C114="","",MIN(E129+E129*$L$8,16))</f>
        <v/>
      </c>
      <c r="F130" s="110" t="str">
        <f>IF(O130="", "", IN_DATA!C114*365*OCF*FPF)</f>
        <v/>
      </c>
      <c r="G130" s="184" t="str">
        <f>IF(O130="","",IN_DATA!D114*365*FPF*OCF)</f>
        <v/>
      </c>
      <c r="H130" s="235" t="str">
        <f t="shared" si="22"/>
        <v/>
      </c>
      <c r="I130" s="238" t="str">
        <f t="shared" si="23"/>
        <v/>
      </c>
      <c r="J130" s="236" t="str">
        <f t="shared" si="24"/>
        <v/>
      </c>
      <c r="K130" s="239" t="str">
        <f t="shared" si="25"/>
        <v/>
      </c>
      <c r="L130" s="247" t="str">
        <f t="shared" si="30"/>
        <v/>
      </c>
      <c r="M130" s="244" t="str">
        <f>IF(I130=""," ",IF(IN_DATA!R114=1,"Primary Rec.",IF(IN_DATA!R114=2,"Water Flood",IF(IN_DATA!R114=3,"CO2 Flood",""))))</f>
        <v xml:space="preserve"> </v>
      </c>
      <c r="N130" s="109" t="str">
        <f>IF(I130="","",IF(O130=0, 0, OpCost!AD119))</f>
        <v/>
      </c>
      <c r="O130" s="187" t="str">
        <f>IF(OpCost!AE119="", "", OpCost!AE119)</f>
        <v/>
      </c>
      <c r="P130" s="251" t="str">
        <f>IF(F130="","",((IN_DATA!C114+IN_DATA!D114/10)/IN_DATA!P114))</f>
        <v/>
      </c>
      <c r="Q130" s="248" t="str">
        <f>IF(F130="","",SUM($P$21:P130)*365)</f>
        <v/>
      </c>
      <c r="R130" s="249" t="str">
        <f>IF(F130="", "", HLOOKUP(C130,'Reference-Crown Royalties'!$D$2:$AB$49,MATCH(P130,'Reference-Crown Royalties'!$A$2:$A$49,1),TRUE))</f>
        <v/>
      </c>
      <c r="S130" s="276" t="str">
        <f>IF(F130="", "", IF(IN_DATA!R114=3, CO2_Royalty_Factor, IF('Economics Summary'!A130&lt;2, IF('Economics Summary'!Q130&lt;60000, 0.05, ((60000*0.05+('Economics Summary'!Q130-60000)*R130)/'Economics Summary'!Q130)),R130)))</f>
        <v/>
      </c>
      <c r="T130" s="250" t="str">
        <f t="shared" si="26"/>
        <v/>
      </c>
      <c r="U130" s="250" t="str">
        <f t="shared" si="27"/>
        <v/>
      </c>
      <c r="V130" s="344" t="str">
        <f t="shared" si="32"/>
        <v/>
      </c>
      <c r="W130" s="257" t="str">
        <f>IF(F130="","",SUM($V$21:V130))</f>
        <v/>
      </c>
      <c r="X130" s="260" t="str">
        <f xml:space="preserve"> IF(OR(F130="",SUM(IN_DATA!$H$5:'IN_DATA'!H114)=0), "", 1-SUM(IN_DATA!$F$5:'IN_DATA'!F114)/SUM(IN_DATA!$H$5:'IN_DATA'!H114))</f>
        <v/>
      </c>
      <c r="Y130" s="307" t="str">
        <f>IF(OR(F130="",SUM(IN_DATA!$H$5:'IN_DATA'!H114)=0),"",365*(SUM(IN_DATA!$H$5:'IN_DATA'!H114)-SUM(IN_DATA!$F$5:'IN_DATA'!F114))/1000)</f>
        <v/>
      </c>
      <c r="Z130" s="346" t="str">
        <f t="shared" si="28"/>
        <v/>
      </c>
      <c r="AA130" s="370" t="str">
        <f t="shared" si="33"/>
        <v/>
      </c>
      <c r="AB130" s="373" t="str">
        <f>IF(F130="", "", IF(IN_DATA!R114=3, MAX(CO2_Royalty_Factor-Z130/10000,0), IF('Economics Summary'!A130&lt;2, IF('Economics Summary'!Q130&lt;60000, 0.05, ((60000*0.05+('Economics Summary'!Q130-60000)*R130)/'Economics Summary'!Q130)),R130)))</f>
        <v/>
      </c>
      <c r="AC130" s="377" t="str">
        <f t="shared" si="29"/>
        <v/>
      </c>
      <c r="AD130" s="378" t="str">
        <f t="shared" si="34"/>
        <v/>
      </c>
    </row>
    <row r="131" spans="1:30" x14ac:dyDescent="0.2">
      <c r="A131" s="178">
        <v>110</v>
      </c>
      <c r="B131" s="178">
        <f t="shared" si="35"/>
        <v>2122</v>
      </c>
      <c r="C131" s="292" t="str">
        <f>IF(IN_DATA!C115="","",MAX(min_oil_price,MIN(C130+C130*$L$6,max_oil_price)))</f>
        <v/>
      </c>
      <c r="D131" s="293" t="str">
        <f>IF(IN_DATA!C115="","",MAX(min_gas_price,MIN(D130+D130*$L$7,max_gas_price)))</f>
        <v/>
      </c>
      <c r="E131" s="294" t="str">
        <f>IF(IN_DATA!C115="","",MIN(E130+E130*$L$8,16))</f>
        <v/>
      </c>
      <c r="F131" s="110" t="str">
        <f>IF(O131="", "", IN_DATA!C115*365*OCF*FPF)</f>
        <v/>
      </c>
      <c r="G131" s="184" t="str">
        <f>IF(O131="","",IN_DATA!D115*365*FPF*OCF)</f>
        <v/>
      </c>
      <c r="H131" s="235" t="str">
        <f t="shared" si="22"/>
        <v/>
      </c>
      <c r="I131" s="238" t="str">
        <f t="shared" si="23"/>
        <v/>
      </c>
      <c r="J131" s="236" t="str">
        <f t="shared" si="24"/>
        <v/>
      </c>
      <c r="K131" s="239" t="str">
        <f t="shared" si="25"/>
        <v/>
      </c>
      <c r="L131" s="247" t="str">
        <f t="shared" si="30"/>
        <v/>
      </c>
      <c r="M131" s="244" t="str">
        <f>IF(I131=""," ",IF(IN_DATA!R115=1,"Primary Rec.",IF(IN_DATA!R115=2,"Water Flood",IF(IN_DATA!R115=3,"CO2 Flood",""))))</f>
        <v xml:space="preserve"> </v>
      </c>
      <c r="N131" s="109" t="str">
        <f>IF(I131="","",IF(O131=0, 0, OpCost!AD120))</f>
        <v/>
      </c>
      <c r="O131" s="187" t="str">
        <f>IF(OpCost!AE120="", "", OpCost!AE120)</f>
        <v/>
      </c>
      <c r="P131" s="251" t="str">
        <f>IF(F131="","",((IN_DATA!C115+IN_DATA!D115/10)/IN_DATA!P115))</f>
        <v/>
      </c>
      <c r="Q131" s="248" t="str">
        <f>IF(F131="","",SUM($P$21:P131)*365)</f>
        <v/>
      </c>
      <c r="R131" s="249" t="str">
        <f>IF(F131="", "", HLOOKUP(C131,'Reference-Crown Royalties'!$D$2:$AB$49,MATCH(P131,'Reference-Crown Royalties'!$A$2:$A$49,1),TRUE))</f>
        <v/>
      </c>
      <c r="S131" s="276" t="str">
        <f>IF(F131="", "", IF(IN_DATA!R115=3, CO2_Royalty_Factor, IF('Economics Summary'!A131&lt;2, IF('Economics Summary'!Q131&lt;60000, 0.05, ((60000*0.05+('Economics Summary'!Q131-60000)*R131)/'Economics Summary'!Q131)),R131)))</f>
        <v/>
      </c>
      <c r="T131" s="250" t="str">
        <f t="shared" si="26"/>
        <v/>
      </c>
      <c r="U131" s="250" t="str">
        <f t="shared" si="27"/>
        <v/>
      </c>
      <c r="V131" s="344" t="str">
        <f t="shared" si="32"/>
        <v/>
      </c>
      <c r="W131" s="257" t="str">
        <f>IF(F131="","",SUM($V$21:V131))</f>
        <v/>
      </c>
      <c r="X131" s="260" t="str">
        <f xml:space="preserve"> IF(OR(F131="",SUM(IN_DATA!$H$5:'IN_DATA'!H115)=0), "", 1-SUM(IN_DATA!$F$5:'IN_DATA'!F115)/SUM(IN_DATA!$H$5:'IN_DATA'!H115))</f>
        <v/>
      </c>
      <c r="Y131" s="307" t="str">
        <f>IF(OR(F131="",SUM(IN_DATA!$H$5:'IN_DATA'!H115)=0),"",365*(SUM(IN_DATA!$H$5:'IN_DATA'!H115)-SUM(IN_DATA!$F$5:'IN_DATA'!F115))/1000)</f>
        <v/>
      </c>
      <c r="Z131" s="346" t="str">
        <f t="shared" si="28"/>
        <v/>
      </c>
      <c r="AA131" s="370" t="str">
        <f t="shared" si="33"/>
        <v/>
      </c>
      <c r="AB131" s="373" t="str">
        <f>IF(F131="", "", IF(IN_DATA!R115=3, MAX(CO2_Royalty_Factor-Z131/10000,0), IF('Economics Summary'!A131&lt;2, IF('Economics Summary'!Q131&lt;60000, 0.05, ((60000*0.05+('Economics Summary'!Q131-60000)*R131)/'Economics Summary'!Q131)),R131)))</f>
        <v/>
      </c>
      <c r="AC131" s="377" t="str">
        <f t="shared" si="29"/>
        <v/>
      </c>
      <c r="AD131" s="378" t="str">
        <f t="shared" si="34"/>
        <v/>
      </c>
    </row>
    <row r="132" spans="1:30" x14ac:dyDescent="0.2">
      <c r="A132" s="178">
        <v>111</v>
      </c>
      <c r="B132" s="178">
        <f t="shared" si="35"/>
        <v>2123</v>
      </c>
      <c r="C132" s="292" t="str">
        <f>IF(IN_DATA!C116="","",MAX(min_oil_price,MIN(C131+C131*$L$6,max_oil_price)))</f>
        <v/>
      </c>
      <c r="D132" s="293" t="str">
        <f>IF(IN_DATA!C116="","",MAX(min_gas_price,MIN(D131+D131*$L$7,max_gas_price)))</f>
        <v/>
      </c>
      <c r="E132" s="294" t="str">
        <f>IF(IN_DATA!C116="","",MIN(E131+E131*$L$8,16))</f>
        <v/>
      </c>
      <c r="F132" s="110" t="str">
        <f>IF(O132="", "", IN_DATA!C116*365*OCF*FPF)</f>
        <v/>
      </c>
      <c r="G132" s="184" t="str">
        <f>IF(O132="","",IN_DATA!D116*365*FPF*OCF)</f>
        <v/>
      </c>
      <c r="H132" s="235" t="str">
        <f t="shared" si="22"/>
        <v/>
      </c>
      <c r="I132" s="238" t="str">
        <f t="shared" si="23"/>
        <v/>
      </c>
      <c r="J132" s="236" t="str">
        <f t="shared" si="24"/>
        <v/>
      </c>
      <c r="K132" s="239" t="str">
        <f t="shared" si="25"/>
        <v/>
      </c>
      <c r="L132" s="247" t="str">
        <f t="shared" si="30"/>
        <v/>
      </c>
      <c r="M132" s="244" t="str">
        <f>IF(I132=""," ",IF(IN_DATA!R116=1,"Primary Rec.",IF(IN_DATA!R116=2,"Water Flood",IF(IN_DATA!R116=3,"CO2 Flood",""))))</f>
        <v xml:space="preserve"> </v>
      </c>
      <c r="N132" s="109" t="str">
        <f>IF(I132="","",IF(O132=0, 0, OpCost!AD121))</f>
        <v/>
      </c>
      <c r="O132" s="187" t="str">
        <f>IF(OpCost!AE121="", "", OpCost!AE121)</f>
        <v/>
      </c>
      <c r="P132" s="251" t="str">
        <f>IF(F132="","",((IN_DATA!C116+IN_DATA!D116/10)/IN_DATA!P116))</f>
        <v/>
      </c>
      <c r="Q132" s="248" t="str">
        <f>IF(F132="","",SUM($P$21:P132)*365)</f>
        <v/>
      </c>
      <c r="R132" s="249" t="str">
        <f>IF(F132="", "", HLOOKUP(C132,'Reference-Crown Royalties'!$D$2:$AB$49,MATCH(P132,'Reference-Crown Royalties'!$A$2:$A$49,1),TRUE))</f>
        <v/>
      </c>
      <c r="S132" s="276" t="str">
        <f>IF(F132="", "", IF(IN_DATA!R116=3, CO2_Royalty_Factor, IF('Economics Summary'!A132&lt;2, IF('Economics Summary'!Q132&lt;60000, 0.05, ((60000*0.05+('Economics Summary'!Q132-60000)*R132)/'Economics Summary'!Q132)),R132)))</f>
        <v/>
      </c>
      <c r="T132" s="250" t="str">
        <f t="shared" si="26"/>
        <v/>
      </c>
      <c r="U132" s="250" t="str">
        <f t="shared" si="27"/>
        <v/>
      </c>
      <c r="V132" s="344" t="str">
        <f t="shared" si="32"/>
        <v/>
      </c>
      <c r="W132" s="257" t="str">
        <f>IF(F132="","",SUM($V$21:V132))</f>
        <v/>
      </c>
      <c r="X132" s="260" t="str">
        <f xml:space="preserve"> IF(OR(F132="",SUM(IN_DATA!$H$5:'IN_DATA'!H116)=0), "", 1-SUM(IN_DATA!$F$5:'IN_DATA'!F116)/SUM(IN_DATA!$H$5:'IN_DATA'!H116))</f>
        <v/>
      </c>
      <c r="Y132" s="307" t="str">
        <f>IF(OR(F132="",SUM(IN_DATA!$H$5:'IN_DATA'!H116)=0),"",365*(SUM(IN_DATA!$H$5:'IN_DATA'!H116)-SUM(IN_DATA!$F$5:'IN_DATA'!F116))/1000)</f>
        <v/>
      </c>
      <c r="Z132" s="346" t="str">
        <f t="shared" si="28"/>
        <v/>
      </c>
      <c r="AA132" s="370" t="str">
        <f t="shared" si="33"/>
        <v/>
      </c>
      <c r="AB132" s="373" t="str">
        <f>IF(F132="", "", IF(IN_DATA!R116=3, MAX(CO2_Royalty_Factor-Z132/10000,0), IF('Economics Summary'!A132&lt;2, IF('Economics Summary'!Q132&lt;60000, 0.05, ((60000*0.05+('Economics Summary'!Q132-60000)*R132)/'Economics Summary'!Q132)),R132)))</f>
        <v/>
      </c>
      <c r="AC132" s="377" t="str">
        <f t="shared" si="29"/>
        <v/>
      </c>
      <c r="AD132" s="378" t="str">
        <f t="shared" si="34"/>
        <v/>
      </c>
    </row>
    <row r="133" spans="1:30" x14ac:dyDescent="0.2">
      <c r="A133" s="178">
        <v>112</v>
      </c>
      <c r="B133" s="178">
        <f t="shared" si="35"/>
        <v>2124</v>
      </c>
      <c r="C133" s="292" t="str">
        <f>IF(IN_DATA!C117="","",MAX(min_oil_price,MIN(C132+C132*$L$6,max_oil_price)))</f>
        <v/>
      </c>
      <c r="D133" s="293" t="str">
        <f>IF(IN_DATA!C117="","",MAX(min_gas_price,MIN(D132+D132*$L$7,max_gas_price)))</f>
        <v/>
      </c>
      <c r="E133" s="294" t="str">
        <f>IF(IN_DATA!C117="","",MIN(E132+E132*$L$8,16))</f>
        <v/>
      </c>
      <c r="F133" s="110" t="str">
        <f>IF(O133="", "", IN_DATA!C117*365*OCF*FPF)</f>
        <v/>
      </c>
      <c r="G133" s="184" t="str">
        <f>IF(O133="","",IN_DATA!D117*365*FPF*OCF)</f>
        <v/>
      </c>
      <c r="H133" s="235" t="str">
        <f t="shared" si="22"/>
        <v/>
      </c>
      <c r="I133" s="238" t="str">
        <f t="shared" si="23"/>
        <v/>
      </c>
      <c r="J133" s="236" t="str">
        <f t="shared" si="24"/>
        <v/>
      </c>
      <c r="K133" s="239" t="str">
        <f t="shared" si="25"/>
        <v/>
      </c>
      <c r="L133" s="247" t="str">
        <f t="shared" si="30"/>
        <v/>
      </c>
      <c r="M133" s="244" t="str">
        <f>IF(I133=""," ",IF(IN_DATA!R117=1,"Primary Rec.",IF(IN_DATA!R117=2,"Water Flood",IF(IN_DATA!R117=3,"CO2 Flood",""))))</f>
        <v xml:space="preserve"> </v>
      </c>
      <c r="N133" s="109" t="str">
        <f>IF(I133="","",IF(O133=0, 0, OpCost!AD122))</f>
        <v/>
      </c>
      <c r="O133" s="187" t="str">
        <f>IF(OpCost!AE122="", "", OpCost!AE122)</f>
        <v/>
      </c>
      <c r="P133" s="251" t="str">
        <f>IF(F133="","",((IN_DATA!C117+IN_DATA!D117/10)/IN_DATA!P117))</f>
        <v/>
      </c>
      <c r="Q133" s="248" t="str">
        <f>IF(F133="","",SUM($P$21:P133)*365)</f>
        <v/>
      </c>
      <c r="R133" s="249" t="str">
        <f>IF(F133="", "", HLOOKUP(C133,'Reference-Crown Royalties'!$D$2:$AB$49,MATCH(P133,'Reference-Crown Royalties'!$A$2:$A$49,1),TRUE))</f>
        <v/>
      </c>
      <c r="S133" s="276" t="str">
        <f>IF(F133="", "", IF(IN_DATA!R117=3, CO2_Royalty_Factor, IF('Economics Summary'!A133&lt;2, IF('Economics Summary'!Q133&lt;60000, 0.05, ((60000*0.05+('Economics Summary'!Q133-60000)*R133)/'Economics Summary'!Q133)),R133)))</f>
        <v/>
      </c>
      <c r="T133" s="250" t="str">
        <f t="shared" si="26"/>
        <v/>
      </c>
      <c r="U133" s="250" t="str">
        <f t="shared" si="27"/>
        <v/>
      </c>
      <c r="V133" s="344" t="str">
        <f t="shared" si="32"/>
        <v/>
      </c>
      <c r="W133" s="257" t="str">
        <f>IF(F133="","",SUM($V$21:V133))</f>
        <v/>
      </c>
      <c r="X133" s="260" t="str">
        <f xml:space="preserve"> IF(OR(F133="",SUM(IN_DATA!$H$5:'IN_DATA'!H117)=0), "", 1-SUM(IN_DATA!$F$5:'IN_DATA'!F117)/SUM(IN_DATA!$H$5:'IN_DATA'!H117))</f>
        <v/>
      </c>
      <c r="Y133" s="307" t="str">
        <f>IF(OR(F133="",SUM(IN_DATA!$H$5:'IN_DATA'!H117)=0),"",365*(SUM(IN_DATA!$H$5:'IN_DATA'!H117)-SUM(IN_DATA!$F$5:'IN_DATA'!F117))/1000)</f>
        <v/>
      </c>
      <c r="Z133" s="346" t="str">
        <f t="shared" si="28"/>
        <v/>
      </c>
      <c r="AA133" s="370" t="str">
        <f t="shared" si="33"/>
        <v/>
      </c>
      <c r="AB133" s="373" t="str">
        <f>IF(F133="", "", IF(IN_DATA!R117=3, MAX(CO2_Royalty_Factor-Z133/10000,0), IF('Economics Summary'!A133&lt;2, IF('Economics Summary'!Q133&lt;60000, 0.05, ((60000*0.05+('Economics Summary'!Q133-60000)*R133)/'Economics Summary'!Q133)),R133)))</f>
        <v/>
      </c>
      <c r="AC133" s="377" t="str">
        <f t="shared" si="29"/>
        <v/>
      </c>
      <c r="AD133" s="378" t="str">
        <f t="shared" si="34"/>
        <v/>
      </c>
    </row>
    <row r="134" spans="1:30" x14ac:dyDescent="0.2">
      <c r="A134" s="178">
        <v>113</v>
      </c>
      <c r="B134" s="178">
        <f t="shared" si="35"/>
        <v>2125</v>
      </c>
      <c r="C134" s="292" t="str">
        <f>IF(IN_DATA!C118="","",MAX(min_oil_price,MIN(C133+C133*$L$6,max_oil_price)))</f>
        <v/>
      </c>
      <c r="D134" s="293" t="str">
        <f>IF(IN_DATA!C118="","",MAX(min_gas_price,MIN(D133+D133*$L$7,max_gas_price)))</f>
        <v/>
      </c>
      <c r="E134" s="294" t="str">
        <f>IF(IN_DATA!C118="","",MIN(E133+E133*$L$8,16))</f>
        <v/>
      </c>
      <c r="F134" s="110" t="str">
        <f>IF(O134="", "", IN_DATA!C118*365*OCF*FPF)</f>
        <v/>
      </c>
      <c r="G134" s="184" t="str">
        <f>IF(O134="","",IN_DATA!D118*365*FPF*OCF)</f>
        <v/>
      </c>
      <c r="H134" s="235" t="str">
        <f t="shared" si="22"/>
        <v/>
      </c>
      <c r="I134" s="238" t="str">
        <f t="shared" si="23"/>
        <v/>
      </c>
      <c r="J134" s="236" t="str">
        <f t="shared" si="24"/>
        <v/>
      </c>
      <c r="K134" s="239" t="str">
        <f t="shared" si="25"/>
        <v/>
      </c>
      <c r="L134" s="247" t="str">
        <f t="shared" si="30"/>
        <v/>
      </c>
      <c r="M134" s="244" t="str">
        <f>IF(I134=""," ",IF(IN_DATA!R118=1,"Primary Rec.",IF(IN_DATA!R118=2,"Water Flood",IF(IN_DATA!R118=3,"CO2 Flood",""))))</f>
        <v xml:space="preserve"> </v>
      </c>
      <c r="N134" s="109" t="str">
        <f>IF(I134="","",IF(O134=0, 0, OpCost!AD123))</f>
        <v/>
      </c>
      <c r="O134" s="187" t="str">
        <f>IF(OpCost!AE123="", "", OpCost!AE123)</f>
        <v/>
      </c>
      <c r="P134" s="251" t="str">
        <f>IF(F134="","",((IN_DATA!C118+IN_DATA!D118/10)/IN_DATA!P118))</f>
        <v/>
      </c>
      <c r="Q134" s="248" t="str">
        <f>IF(F134="","",SUM($P$21:P134)*365)</f>
        <v/>
      </c>
      <c r="R134" s="249" t="str">
        <f>IF(F134="", "", HLOOKUP(C134,'Reference-Crown Royalties'!$D$2:$AB$49,MATCH(P134,'Reference-Crown Royalties'!$A$2:$A$49,1),TRUE))</f>
        <v/>
      </c>
      <c r="S134" s="276" t="str">
        <f>IF(F134="", "", IF(IN_DATA!R118=3, CO2_Royalty_Factor, IF('Economics Summary'!A134&lt;2, IF('Economics Summary'!Q134&lt;60000, 0.05, ((60000*0.05+('Economics Summary'!Q134-60000)*R134)/'Economics Summary'!Q134)),R134)))</f>
        <v/>
      </c>
      <c r="T134" s="250" t="str">
        <f t="shared" si="26"/>
        <v/>
      </c>
      <c r="U134" s="250" t="str">
        <f t="shared" si="27"/>
        <v/>
      </c>
      <c r="V134" s="344" t="str">
        <f t="shared" si="32"/>
        <v/>
      </c>
      <c r="W134" s="257" t="str">
        <f>IF(F134="","",SUM($V$21:V134))</f>
        <v/>
      </c>
      <c r="X134" s="260" t="str">
        <f xml:space="preserve"> IF(OR(F134="",SUM(IN_DATA!$H$5:'IN_DATA'!H118)=0), "", 1-SUM(IN_DATA!$F$5:'IN_DATA'!F118)/SUM(IN_DATA!$H$5:'IN_DATA'!H118))</f>
        <v/>
      </c>
      <c r="Y134" s="307" t="str">
        <f>IF(OR(F134="",SUM(IN_DATA!$H$5:'IN_DATA'!H118)=0),"",365*(SUM(IN_DATA!$H$5:'IN_DATA'!H118)-SUM(IN_DATA!$F$5:'IN_DATA'!F118))/1000)</f>
        <v/>
      </c>
      <c r="Z134" s="346" t="str">
        <f t="shared" si="28"/>
        <v/>
      </c>
      <c r="AA134" s="370" t="str">
        <f t="shared" si="33"/>
        <v/>
      </c>
      <c r="AB134" s="373" t="str">
        <f>IF(F134="", "", IF(IN_DATA!R118=3, MAX(CO2_Royalty_Factor-Z134/10000,0), IF('Economics Summary'!A134&lt;2, IF('Economics Summary'!Q134&lt;60000, 0.05, ((60000*0.05+('Economics Summary'!Q134-60000)*R134)/'Economics Summary'!Q134)),R134)))</f>
        <v/>
      </c>
      <c r="AC134" s="377" t="str">
        <f t="shared" si="29"/>
        <v/>
      </c>
      <c r="AD134" s="378" t="str">
        <f t="shared" si="34"/>
        <v/>
      </c>
    </row>
    <row r="135" spans="1:30" x14ac:dyDescent="0.2">
      <c r="A135" s="178">
        <v>114</v>
      </c>
      <c r="B135" s="178">
        <f t="shared" si="35"/>
        <v>2126</v>
      </c>
      <c r="C135" s="292" t="str">
        <f>IF(IN_DATA!C119="","",MAX(min_oil_price,MIN(C134+C134*$L$6,max_oil_price)))</f>
        <v/>
      </c>
      <c r="D135" s="293" t="str">
        <f>IF(IN_DATA!C119="","",MAX(min_gas_price,MIN(D134+D134*$L$7,max_gas_price)))</f>
        <v/>
      </c>
      <c r="E135" s="294" t="str">
        <f>IF(IN_DATA!C119="","",MIN(E134+E134*$L$8,16))</f>
        <v/>
      </c>
      <c r="F135" s="110" t="str">
        <f>IF(O135="", "", IN_DATA!C119*365*OCF*FPF)</f>
        <v/>
      </c>
      <c r="G135" s="184" t="str">
        <f>IF(O135="","",IN_DATA!D119*365*FPF*OCF)</f>
        <v/>
      </c>
      <c r="H135" s="235" t="str">
        <f t="shared" si="22"/>
        <v/>
      </c>
      <c r="I135" s="238" t="str">
        <f t="shared" si="23"/>
        <v/>
      </c>
      <c r="J135" s="236" t="str">
        <f t="shared" si="24"/>
        <v/>
      </c>
      <c r="K135" s="239" t="str">
        <f t="shared" si="25"/>
        <v/>
      </c>
      <c r="L135" s="247" t="str">
        <f t="shared" si="30"/>
        <v/>
      </c>
      <c r="M135" s="244" t="str">
        <f>IF(I135=""," ",IF(IN_DATA!R119=1,"Primary Rec.",IF(IN_DATA!R119=2,"Water Flood",IF(IN_DATA!R119=3,"CO2 Flood",""))))</f>
        <v xml:space="preserve"> </v>
      </c>
      <c r="N135" s="109" t="str">
        <f>IF(I135="","",IF(O135=0, 0, OpCost!AD124))</f>
        <v/>
      </c>
      <c r="O135" s="187" t="str">
        <f>IF(OpCost!AE124="", "", OpCost!AE124)</f>
        <v/>
      </c>
      <c r="P135" s="251" t="str">
        <f>IF(F135="","",((IN_DATA!C119+IN_DATA!D119/10)/IN_DATA!P119))</f>
        <v/>
      </c>
      <c r="Q135" s="248" t="str">
        <f>IF(F135="","",SUM($P$21:P135)*365)</f>
        <v/>
      </c>
      <c r="R135" s="249" t="str">
        <f>IF(F135="", "", HLOOKUP(C135,'Reference-Crown Royalties'!$D$2:$AB$49,MATCH(P135,'Reference-Crown Royalties'!$A$2:$A$49,1),TRUE))</f>
        <v/>
      </c>
      <c r="S135" s="276" t="str">
        <f>IF(F135="", "", IF(IN_DATA!R119=3, CO2_Royalty_Factor, IF('Economics Summary'!A135&lt;2, IF('Economics Summary'!Q135&lt;60000, 0.05, ((60000*0.05+('Economics Summary'!Q135-60000)*R135)/'Economics Summary'!Q135)),R135)))</f>
        <v/>
      </c>
      <c r="T135" s="250" t="str">
        <f t="shared" si="26"/>
        <v/>
      </c>
      <c r="U135" s="250" t="str">
        <f t="shared" si="27"/>
        <v/>
      </c>
      <c r="V135" s="344" t="str">
        <f t="shared" si="32"/>
        <v/>
      </c>
      <c r="W135" s="257" t="str">
        <f>IF(F135="","",SUM($V$21:V135))</f>
        <v/>
      </c>
      <c r="X135" s="260" t="str">
        <f xml:space="preserve"> IF(OR(F135="",SUM(IN_DATA!$H$5:'IN_DATA'!H119)=0), "", 1-SUM(IN_DATA!$F$5:'IN_DATA'!F119)/SUM(IN_DATA!$H$5:'IN_DATA'!H119))</f>
        <v/>
      </c>
      <c r="Y135" s="307" t="str">
        <f>IF(OR(F135="",SUM(IN_DATA!$H$5:'IN_DATA'!H119)=0),"",365*(SUM(IN_DATA!$H$5:'IN_DATA'!H119)-SUM(IN_DATA!$F$5:'IN_DATA'!F119))/1000)</f>
        <v/>
      </c>
      <c r="Z135" s="346" t="str">
        <f t="shared" si="28"/>
        <v/>
      </c>
      <c r="AA135" s="370" t="str">
        <f t="shared" si="33"/>
        <v/>
      </c>
      <c r="AB135" s="373" t="str">
        <f>IF(F135="", "", IF(IN_DATA!R119=3, MAX(CO2_Royalty_Factor-Z135/10000,0), IF('Economics Summary'!A135&lt;2, IF('Economics Summary'!Q135&lt;60000, 0.05, ((60000*0.05+('Economics Summary'!Q135-60000)*R135)/'Economics Summary'!Q135)),R135)))</f>
        <v/>
      </c>
      <c r="AC135" s="377" t="str">
        <f t="shared" si="29"/>
        <v/>
      </c>
      <c r="AD135" s="378" t="str">
        <f t="shared" si="34"/>
        <v/>
      </c>
    </row>
    <row r="136" spans="1:30" x14ac:dyDescent="0.2">
      <c r="A136" s="178">
        <v>115</v>
      </c>
      <c r="B136" s="178">
        <f t="shared" si="35"/>
        <v>2127</v>
      </c>
      <c r="C136" s="292" t="str">
        <f>IF(IN_DATA!C120="","",MAX(min_oil_price,MIN(C135+C135*$L$6,max_oil_price)))</f>
        <v/>
      </c>
      <c r="D136" s="293" t="str">
        <f>IF(IN_DATA!C120="","",MAX(min_gas_price,MIN(D135+D135*$L$7,max_gas_price)))</f>
        <v/>
      </c>
      <c r="E136" s="294" t="str">
        <f>IF(IN_DATA!C120="","",MIN(E135+E135*$L$8,16))</f>
        <v/>
      </c>
      <c r="F136" s="110" t="str">
        <f>IF(O136="", "", IN_DATA!C120*365*OCF*FPF)</f>
        <v/>
      </c>
      <c r="G136" s="184" t="str">
        <f>IF(O136="","",IN_DATA!D120*365*FPF*OCF)</f>
        <v/>
      </c>
      <c r="H136" s="235" t="str">
        <f t="shared" si="22"/>
        <v/>
      </c>
      <c r="I136" s="238" t="str">
        <f t="shared" si="23"/>
        <v/>
      </c>
      <c r="J136" s="236" t="str">
        <f t="shared" si="24"/>
        <v/>
      </c>
      <c r="K136" s="239" t="str">
        <f t="shared" si="25"/>
        <v/>
      </c>
      <c r="L136" s="247" t="str">
        <f t="shared" si="30"/>
        <v/>
      </c>
      <c r="M136" s="244" t="str">
        <f>IF(I136=""," ",IF(IN_DATA!R120=1,"Primary Rec.",IF(IN_DATA!R120=2,"Water Flood",IF(IN_DATA!R120=3,"CO2 Flood",""))))</f>
        <v xml:space="preserve"> </v>
      </c>
      <c r="N136" s="109" t="str">
        <f>IF(I136="","",IF(O136=0, 0, OpCost!AD125))</f>
        <v/>
      </c>
      <c r="O136" s="187" t="str">
        <f>IF(OpCost!AE125="", "", OpCost!AE125)</f>
        <v/>
      </c>
      <c r="P136" s="251" t="str">
        <f>IF(F136="","",((IN_DATA!C120+IN_DATA!D120/10)/IN_DATA!P120))</f>
        <v/>
      </c>
      <c r="Q136" s="248" t="str">
        <f>IF(F136="","",SUM($P$21:P136)*365)</f>
        <v/>
      </c>
      <c r="R136" s="249" t="str">
        <f>IF(F136="", "", HLOOKUP(C136,'Reference-Crown Royalties'!$D$2:$AB$49,MATCH(P136,'Reference-Crown Royalties'!$A$2:$A$49,1),TRUE))</f>
        <v/>
      </c>
      <c r="S136" s="276" t="str">
        <f>IF(F136="", "", IF(IN_DATA!R120=3, CO2_Royalty_Factor, IF('Economics Summary'!A136&lt;2, IF('Economics Summary'!Q136&lt;60000, 0.05, ((60000*0.05+('Economics Summary'!Q136-60000)*R136)/'Economics Summary'!Q136)),R136)))</f>
        <v/>
      </c>
      <c r="T136" s="250" t="str">
        <f t="shared" si="26"/>
        <v/>
      </c>
      <c r="U136" s="250" t="str">
        <f t="shared" si="27"/>
        <v/>
      </c>
      <c r="V136" s="344" t="str">
        <f t="shared" si="32"/>
        <v/>
      </c>
      <c r="W136" s="257" t="str">
        <f>IF(F136="","",SUM($V$21:V136))</f>
        <v/>
      </c>
      <c r="X136" s="260" t="str">
        <f xml:space="preserve"> IF(OR(F136="",SUM(IN_DATA!$H$5:'IN_DATA'!H120)=0), "", 1-SUM(IN_DATA!$F$5:'IN_DATA'!F120)/SUM(IN_DATA!$H$5:'IN_DATA'!H120))</f>
        <v/>
      </c>
      <c r="Y136" s="307" t="str">
        <f>IF(OR(F136="",SUM(IN_DATA!$H$5:'IN_DATA'!H120)=0),"",365*(SUM(IN_DATA!$H$5:'IN_DATA'!H120)-SUM(IN_DATA!$F$5:'IN_DATA'!F120))/1000)</f>
        <v/>
      </c>
      <c r="Z136" s="346" t="str">
        <f t="shared" si="28"/>
        <v/>
      </c>
      <c r="AA136" s="370" t="str">
        <f t="shared" si="33"/>
        <v/>
      </c>
      <c r="AB136" s="373" t="str">
        <f>IF(F136="", "", IF(IN_DATA!R120=3, MAX(CO2_Royalty_Factor-Z136/10000,0), IF('Economics Summary'!A136&lt;2, IF('Economics Summary'!Q136&lt;60000, 0.05, ((60000*0.05+('Economics Summary'!Q136-60000)*R136)/'Economics Summary'!Q136)),R136)))</f>
        <v/>
      </c>
      <c r="AC136" s="377" t="str">
        <f t="shared" si="29"/>
        <v/>
      </c>
      <c r="AD136" s="378" t="str">
        <f t="shared" si="34"/>
        <v/>
      </c>
    </row>
    <row r="137" spans="1:30" x14ac:dyDescent="0.2">
      <c r="A137" s="178">
        <v>116</v>
      </c>
      <c r="B137" s="178">
        <f t="shared" si="35"/>
        <v>2128</v>
      </c>
      <c r="C137" s="292" t="str">
        <f>IF(IN_DATA!C121="","",MAX(min_oil_price,MIN(C136+C136*$L$6,max_oil_price)))</f>
        <v/>
      </c>
      <c r="D137" s="293" t="str">
        <f>IF(IN_DATA!C121="","",MAX(min_gas_price,MIN(D136+D136*$L$7,max_gas_price)))</f>
        <v/>
      </c>
      <c r="E137" s="294" t="str">
        <f>IF(IN_DATA!C121="","",MIN(E136+E136*$L$8,16))</f>
        <v/>
      </c>
      <c r="F137" s="110" t="str">
        <f>IF(O137="", "", IN_DATA!C121*365*OCF*FPF)</f>
        <v/>
      </c>
      <c r="G137" s="184" t="str">
        <f>IF(O137="","",IN_DATA!D121*365*FPF*OCF)</f>
        <v/>
      </c>
      <c r="H137" s="235" t="str">
        <f t="shared" si="22"/>
        <v/>
      </c>
      <c r="I137" s="238" t="str">
        <f t="shared" si="23"/>
        <v/>
      </c>
      <c r="J137" s="236" t="str">
        <f t="shared" si="24"/>
        <v/>
      </c>
      <c r="K137" s="239" t="str">
        <f t="shared" si="25"/>
        <v/>
      </c>
      <c r="L137" s="247" t="str">
        <f t="shared" si="30"/>
        <v/>
      </c>
      <c r="M137" s="244" t="str">
        <f>IF(I137=""," ",IF(IN_DATA!R121=1,"Primary Rec.",IF(IN_DATA!R121=2,"Water Flood",IF(IN_DATA!R121=3,"CO2 Flood",""))))</f>
        <v xml:space="preserve"> </v>
      </c>
      <c r="N137" s="109" t="str">
        <f>IF(I137="","",IF(O137=0, 0, OpCost!AD126))</f>
        <v/>
      </c>
      <c r="O137" s="187" t="str">
        <f>IF(OpCost!AE126="", "", OpCost!AE126)</f>
        <v/>
      </c>
      <c r="P137" s="251" t="str">
        <f>IF(F137="","",((IN_DATA!C121+IN_DATA!D121/10)/IN_DATA!P121))</f>
        <v/>
      </c>
      <c r="Q137" s="248" t="str">
        <f>IF(F137="","",SUM($P$21:P137)*365)</f>
        <v/>
      </c>
      <c r="R137" s="249" t="str">
        <f>IF(F137="", "", HLOOKUP(C137,'Reference-Crown Royalties'!$D$2:$AB$49,MATCH(P137,'Reference-Crown Royalties'!$A$2:$A$49,1),TRUE))</f>
        <v/>
      </c>
      <c r="S137" s="276" t="str">
        <f>IF(F137="", "", IF(IN_DATA!R121=3, CO2_Royalty_Factor, IF('Economics Summary'!A137&lt;2, IF('Economics Summary'!Q137&lt;60000, 0.05, ((60000*0.05+('Economics Summary'!Q137-60000)*R137)/'Economics Summary'!Q137)),R137)))</f>
        <v/>
      </c>
      <c r="T137" s="250" t="str">
        <f t="shared" si="26"/>
        <v/>
      </c>
      <c r="U137" s="250" t="str">
        <f t="shared" si="27"/>
        <v/>
      </c>
      <c r="V137" s="344" t="str">
        <f t="shared" si="32"/>
        <v/>
      </c>
      <c r="W137" s="257" t="str">
        <f>IF(F137="","",SUM($V$21:V137))</f>
        <v/>
      </c>
      <c r="X137" s="260" t="str">
        <f xml:space="preserve"> IF(OR(F137="",SUM(IN_DATA!$H$5:'IN_DATA'!H121)=0), "", 1-SUM(IN_DATA!$F$5:'IN_DATA'!F121)/SUM(IN_DATA!$H$5:'IN_DATA'!H121))</f>
        <v/>
      </c>
      <c r="Y137" s="307" t="str">
        <f>IF(OR(F137="",SUM(IN_DATA!$H$5:'IN_DATA'!H121)=0),"",365*(SUM(IN_DATA!$H$5:'IN_DATA'!H121)-SUM(IN_DATA!$F$5:'IN_DATA'!F121))/1000)</f>
        <v/>
      </c>
      <c r="Z137" s="346" t="str">
        <f t="shared" si="28"/>
        <v/>
      </c>
      <c r="AA137" s="370" t="str">
        <f t="shared" si="33"/>
        <v/>
      </c>
      <c r="AB137" s="373" t="str">
        <f>IF(F137="", "", IF(IN_DATA!R121=3, MAX(CO2_Royalty_Factor-Z137/10000,0), IF('Economics Summary'!A137&lt;2, IF('Economics Summary'!Q137&lt;60000, 0.05, ((60000*0.05+('Economics Summary'!Q137-60000)*R137)/'Economics Summary'!Q137)),R137)))</f>
        <v/>
      </c>
      <c r="AC137" s="377" t="str">
        <f t="shared" si="29"/>
        <v/>
      </c>
      <c r="AD137" s="378" t="str">
        <f t="shared" si="34"/>
        <v/>
      </c>
    </row>
    <row r="138" spans="1:30" x14ac:dyDescent="0.2">
      <c r="A138" s="178">
        <v>117</v>
      </c>
      <c r="B138" s="178">
        <f t="shared" si="35"/>
        <v>2129</v>
      </c>
      <c r="C138" s="292" t="str">
        <f>IF(IN_DATA!C122="","",MAX(min_oil_price,MIN(C137+C137*$L$6,max_oil_price)))</f>
        <v/>
      </c>
      <c r="D138" s="293" t="str">
        <f>IF(IN_DATA!C122="","",MAX(min_gas_price,MIN(D137+D137*$L$7,max_gas_price)))</f>
        <v/>
      </c>
      <c r="E138" s="294" t="str">
        <f>IF(IN_DATA!C122="","",MIN(E137+E137*$L$8,16))</f>
        <v/>
      </c>
      <c r="F138" s="110" t="str">
        <f>IF(O138="", "", IN_DATA!C122*365*OCF*FPF)</f>
        <v/>
      </c>
      <c r="G138" s="184" t="str">
        <f>IF(O138="","",IN_DATA!D122*365*FPF*OCF)</f>
        <v/>
      </c>
      <c r="H138" s="235" t="str">
        <f t="shared" si="22"/>
        <v/>
      </c>
      <c r="I138" s="238" t="str">
        <f t="shared" si="23"/>
        <v/>
      </c>
      <c r="J138" s="236" t="str">
        <f t="shared" si="24"/>
        <v/>
      </c>
      <c r="K138" s="239" t="str">
        <f t="shared" si="25"/>
        <v/>
      </c>
      <c r="L138" s="247" t="str">
        <f t="shared" si="30"/>
        <v/>
      </c>
      <c r="M138" s="244" t="str">
        <f>IF(I138=""," ",IF(IN_DATA!R122=1,"Primary Rec.",IF(IN_DATA!R122=2,"Water Flood",IF(IN_DATA!R122=3,"CO2 Flood",""))))</f>
        <v xml:space="preserve"> </v>
      </c>
      <c r="N138" s="109" t="str">
        <f>IF(I138="","",IF(O138=0, 0, OpCost!AD127))</f>
        <v/>
      </c>
      <c r="O138" s="187" t="str">
        <f>IF(OpCost!AE127="", "", OpCost!AE127)</f>
        <v/>
      </c>
      <c r="P138" s="251" t="str">
        <f>IF(F138="","",((IN_DATA!C122+IN_DATA!D122/10)/IN_DATA!P122))</f>
        <v/>
      </c>
      <c r="Q138" s="248" t="str">
        <f>IF(F138="","",SUM($P$21:P138)*365)</f>
        <v/>
      </c>
      <c r="R138" s="249" t="str">
        <f>IF(F138="", "", HLOOKUP(C138,'Reference-Crown Royalties'!$D$2:$AB$49,MATCH(P138,'Reference-Crown Royalties'!$A$2:$A$49,1),TRUE))</f>
        <v/>
      </c>
      <c r="S138" s="276" t="str">
        <f>IF(F138="", "", IF(IN_DATA!R122=3, CO2_Royalty_Factor, IF('Economics Summary'!A138&lt;2, IF('Economics Summary'!Q138&lt;60000, 0.05, ((60000*0.05+('Economics Summary'!Q138-60000)*R138)/'Economics Summary'!Q138)),R138)))</f>
        <v/>
      </c>
      <c r="T138" s="250" t="str">
        <f t="shared" si="26"/>
        <v/>
      </c>
      <c r="U138" s="250" t="str">
        <f t="shared" si="27"/>
        <v/>
      </c>
      <c r="V138" s="344" t="str">
        <f t="shared" si="32"/>
        <v/>
      </c>
      <c r="W138" s="257" t="str">
        <f>IF(F138="","",SUM($V$21:V138))</f>
        <v/>
      </c>
      <c r="X138" s="260" t="str">
        <f xml:space="preserve"> IF(OR(F138="",SUM(IN_DATA!$H$5:'IN_DATA'!H122)=0), "", 1-SUM(IN_DATA!$F$5:'IN_DATA'!F122)/SUM(IN_DATA!$H$5:'IN_DATA'!H122))</f>
        <v/>
      </c>
      <c r="Y138" s="307" t="str">
        <f>IF(OR(F138="",SUM(IN_DATA!$H$5:'IN_DATA'!H122)=0),"",365*(SUM(IN_DATA!$H$5:'IN_DATA'!H122)-SUM(IN_DATA!$F$5:'IN_DATA'!F122))/1000)</f>
        <v/>
      </c>
      <c r="Z138" s="346" t="str">
        <f t="shared" si="28"/>
        <v/>
      </c>
      <c r="AA138" s="370" t="str">
        <f t="shared" si="33"/>
        <v/>
      </c>
      <c r="AB138" s="373" t="str">
        <f>IF(F138="", "", IF(IN_DATA!R122=3, MAX(CO2_Royalty_Factor-Z138/10000,0), IF('Economics Summary'!A138&lt;2, IF('Economics Summary'!Q138&lt;60000, 0.05, ((60000*0.05+('Economics Summary'!Q138-60000)*R138)/'Economics Summary'!Q138)),R138)))</f>
        <v/>
      </c>
      <c r="AC138" s="377" t="str">
        <f t="shared" si="29"/>
        <v/>
      </c>
      <c r="AD138" s="378" t="str">
        <f t="shared" si="34"/>
        <v/>
      </c>
    </row>
    <row r="139" spans="1:30" x14ac:dyDescent="0.2">
      <c r="A139" s="178">
        <v>118</v>
      </c>
      <c r="B139" s="178">
        <f t="shared" si="35"/>
        <v>2130</v>
      </c>
      <c r="C139" s="292" t="str">
        <f>IF(IN_DATA!C123="","",MAX(min_oil_price,MIN(C138+C138*$L$6,max_oil_price)))</f>
        <v/>
      </c>
      <c r="D139" s="293" t="str">
        <f>IF(IN_DATA!C123="","",MAX(min_gas_price,MIN(D138+D138*$L$7,max_gas_price)))</f>
        <v/>
      </c>
      <c r="E139" s="294" t="str">
        <f>IF(IN_DATA!C123="","",MIN(E138+E138*$L$8,16))</f>
        <v/>
      </c>
      <c r="F139" s="110" t="str">
        <f>IF(O139="", "", IN_DATA!C123*365*OCF*FPF)</f>
        <v/>
      </c>
      <c r="G139" s="184" t="str">
        <f>IF(O139="","",IN_DATA!D123*365*FPF*OCF)</f>
        <v/>
      </c>
      <c r="H139" s="235" t="str">
        <f t="shared" si="22"/>
        <v/>
      </c>
      <c r="I139" s="238" t="str">
        <f t="shared" si="23"/>
        <v/>
      </c>
      <c r="J139" s="236" t="str">
        <f t="shared" si="24"/>
        <v/>
      </c>
      <c r="K139" s="239" t="str">
        <f t="shared" si="25"/>
        <v/>
      </c>
      <c r="L139" s="247" t="str">
        <f t="shared" si="30"/>
        <v/>
      </c>
      <c r="M139" s="244" t="str">
        <f>IF(I139=""," ",IF(IN_DATA!R123=1,"Primary Rec.",IF(IN_DATA!R123=2,"Water Flood",IF(IN_DATA!R123=3,"CO2 Flood",""))))</f>
        <v xml:space="preserve"> </v>
      </c>
      <c r="N139" s="109" t="str">
        <f>IF(I139="","",IF(O139=0, 0, OpCost!AD128))</f>
        <v/>
      </c>
      <c r="O139" s="187" t="str">
        <f>IF(OpCost!AE128="", "", OpCost!AE128)</f>
        <v/>
      </c>
      <c r="P139" s="251" t="str">
        <f>IF(F139="","",((IN_DATA!C123+IN_DATA!D123/10)/IN_DATA!P123))</f>
        <v/>
      </c>
      <c r="Q139" s="248" t="str">
        <f>IF(F139="","",SUM($P$21:P139)*365)</f>
        <v/>
      </c>
      <c r="R139" s="249" t="str">
        <f>IF(F139="", "", HLOOKUP(C139,'Reference-Crown Royalties'!$D$2:$AB$49,MATCH(P139,'Reference-Crown Royalties'!$A$2:$A$49,1),TRUE))</f>
        <v/>
      </c>
      <c r="S139" s="276" t="str">
        <f>IF(F139="", "", IF(IN_DATA!R123=3, CO2_Royalty_Factor, IF('Economics Summary'!A139&lt;2, IF('Economics Summary'!Q139&lt;60000, 0.05, ((60000*0.05+('Economics Summary'!Q139-60000)*R139)/'Economics Summary'!Q139)),R139)))</f>
        <v/>
      </c>
      <c r="T139" s="250" t="str">
        <f t="shared" si="26"/>
        <v/>
      </c>
      <c r="U139" s="250" t="str">
        <f t="shared" si="27"/>
        <v/>
      </c>
      <c r="V139" s="344" t="str">
        <f t="shared" si="32"/>
        <v/>
      </c>
      <c r="W139" s="257" t="str">
        <f>IF(F139="","",SUM($V$21:V139))</f>
        <v/>
      </c>
      <c r="X139" s="260" t="str">
        <f xml:space="preserve"> IF(OR(F139="",SUM(IN_DATA!$H$5:'IN_DATA'!H123)=0), "", 1-SUM(IN_DATA!$F$5:'IN_DATA'!F123)/SUM(IN_DATA!$H$5:'IN_DATA'!H123))</f>
        <v/>
      </c>
      <c r="Y139" s="307" t="str">
        <f>IF(OR(F139="",SUM(IN_DATA!$H$5:'IN_DATA'!H123)=0),"",365*(SUM(IN_DATA!$H$5:'IN_DATA'!H123)-SUM(IN_DATA!$F$5:'IN_DATA'!F123))/1000)</f>
        <v/>
      </c>
      <c r="Z139" s="346" t="str">
        <f t="shared" si="28"/>
        <v/>
      </c>
      <c r="AA139" s="370" t="str">
        <f t="shared" si="33"/>
        <v/>
      </c>
      <c r="AB139" s="373" t="str">
        <f>IF(F139="", "", IF(IN_DATA!R123=3, MAX(CO2_Royalty_Factor-Z139/10000,0), IF('Economics Summary'!A139&lt;2, IF('Economics Summary'!Q139&lt;60000, 0.05, ((60000*0.05+('Economics Summary'!Q139-60000)*R139)/'Economics Summary'!Q139)),R139)))</f>
        <v/>
      </c>
      <c r="AC139" s="377" t="str">
        <f t="shared" si="29"/>
        <v/>
      </c>
      <c r="AD139" s="378" t="str">
        <f t="shared" si="34"/>
        <v/>
      </c>
    </row>
    <row r="140" spans="1:30" x14ac:dyDescent="0.2">
      <c r="A140" s="178">
        <v>119</v>
      </c>
      <c r="B140" s="178">
        <f t="shared" si="35"/>
        <v>2131</v>
      </c>
      <c r="C140" s="292" t="str">
        <f>IF(IN_DATA!C124="","",MAX(min_oil_price,MIN(C139+C139*$L$6,max_oil_price)))</f>
        <v/>
      </c>
      <c r="D140" s="293" t="str">
        <f>IF(IN_DATA!C124="","",MAX(min_gas_price,MIN(D139+D139*$L$7,max_gas_price)))</f>
        <v/>
      </c>
      <c r="E140" s="294" t="str">
        <f>IF(IN_DATA!C124="","",MIN(E139+E139*$L$8,16))</f>
        <v/>
      </c>
      <c r="F140" s="110" t="str">
        <f>IF(O140="", "", IN_DATA!C124*365*OCF*FPF)</f>
        <v/>
      </c>
      <c r="G140" s="184" t="str">
        <f>IF(O140="","",IN_DATA!D124*365*FPF*OCF)</f>
        <v/>
      </c>
      <c r="H140" s="235" t="str">
        <f t="shared" si="22"/>
        <v/>
      </c>
      <c r="I140" s="238" t="str">
        <f t="shared" si="23"/>
        <v/>
      </c>
      <c r="J140" s="236" t="str">
        <f t="shared" si="24"/>
        <v/>
      </c>
      <c r="K140" s="239" t="str">
        <f t="shared" si="25"/>
        <v/>
      </c>
      <c r="L140" s="247" t="str">
        <f t="shared" si="30"/>
        <v/>
      </c>
      <c r="M140" s="244" t="str">
        <f>IF(I140=""," ",IF(IN_DATA!R124=1,"Primary Rec.",IF(IN_DATA!R124=2,"Water Flood",IF(IN_DATA!R124=3,"CO2 Flood",""))))</f>
        <v xml:space="preserve"> </v>
      </c>
      <c r="N140" s="109" t="str">
        <f>IF(I140="","",IF(O140=0, 0, OpCost!AD129))</f>
        <v/>
      </c>
      <c r="O140" s="187" t="str">
        <f>IF(OpCost!AE129="", "", OpCost!AE129)</f>
        <v/>
      </c>
      <c r="P140" s="251" t="str">
        <f>IF(F140="","",((IN_DATA!C124+IN_DATA!D124/10)/IN_DATA!P124))</f>
        <v/>
      </c>
      <c r="Q140" s="248" t="str">
        <f>IF(F140="","",SUM($P$21:P140)*365)</f>
        <v/>
      </c>
      <c r="R140" s="249" t="str">
        <f>IF(F140="", "", HLOOKUP(C140,'Reference-Crown Royalties'!$D$2:$AB$49,MATCH(P140,'Reference-Crown Royalties'!$A$2:$A$49,1),TRUE))</f>
        <v/>
      </c>
      <c r="S140" s="276" t="str">
        <f>IF(F140="", "", IF(IN_DATA!R124=3, CO2_Royalty_Factor, IF('Economics Summary'!A140&lt;2, IF('Economics Summary'!Q140&lt;60000, 0.05, ((60000*0.05+('Economics Summary'!Q140-60000)*R140)/'Economics Summary'!Q140)),R140)))</f>
        <v/>
      </c>
      <c r="T140" s="250" t="str">
        <f t="shared" si="26"/>
        <v/>
      </c>
      <c r="U140" s="250" t="str">
        <f t="shared" si="27"/>
        <v/>
      </c>
      <c r="V140" s="344" t="str">
        <f t="shared" si="32"/>
        <v/>
      </c>
      <c r="W140" s="257" t="str">
        <f>IF(F140="","",SUM($V$21:V140))</f>
        <v/>
      </c>
      <c r="X140" s="260" t="str">
        <f xml:space="preserve"> IF(OR(F140="",SUM(IN_DATA!$H$5:'IN_DATA'!H124)=0), "", 1-SUM(IN_DATA!$F$5:'IN_DATA'!F124)/SUM(IN_DATA!$H$5:'IN_DATA'!H124))</f>
        <v/>
      </c>
      <c r="Y140" s="307" t="str">
        <f>IF(OR(F140="",SUM(IN_DATA!$H$5:'IN_DATA'!H124)=0),"",365*(SUM(IN_DATA!$H$5:'IN_DATA'!H124)-SUM(IN_DATA!$F$5:'IN_DATA'!F124))/1000)</f>
        <v/>
      </c>
      <c r="Z140" s="346" t="str">
        <f t="shared" si="28"/>
        <v/>
      </c>
      <c r="AA140" s="370" t="str">
        <f t="shared" si="33"/>
        <v/>
      </c>
      <c r="AB140" s="373" t="str">
        <f>IF(F140="", "", IF(IN_DATA!R124=3, MAX(CO2_Royalty_Factor-Z140/10000,0), IF('Economics Summary'!A140&lt;2, IF('Economics Summary'!Q140&lt;60000, 0.05, ((60000*0.05+('Economics Summary'!Q140-60000)*R140)/'Economics Summary'!Q140)),R140)))</f>
        <v/>
      </c>
      <c r="AC140" s="377" t="str">
        <f t="shared" si="29"/>
        <v/>
      </c>
      <c r="AD140" s="378" t="str">
        <f t="shared" si="34"/>
        <v/>
      </c>
    </row>
    <row r="141" spans="1:30" x14ac:dyDescent="0.2">
      <c r="A141" s="178">
        <v>120</v>
      </c>
      <c r="B141" s="178">
        <f t="shared" si="35"/>
        <v>2132</v>
      </c>
      <c r="C141" s="292" t="str">
        <f>IF(IN_DATA!C125="","",MAX(min_oil_price,MIN(C140+C140*$L$6,max_oil_price)))</f>
        <v/>
      </c>
      <c r="D141" s="293" t="str">
        <f>IF(IN_DATA!C125="","",MAX(min_gas_price,MIN(D140+D140*$L$7,max_gas_price)))</f>
        <v/>
      </c>
      <c r="E141" s="294" t="str">
        <f>IF(IN_DATA!C125="","",MIN(E140+E140*$L$8,16))</f>
        <v/>
      </c>
      <c r="F141" s="110" t="str">
        <f>IF(O141="", "", IN_DATA!C125*365*OCF*FPF)</f>
        <v/>
      </c>
      <c r="G141" s="184" t="str">
        <f>IF(O141="","",IN_DATA!D125*365*FPF*OCF)</f>
        <v/>
      </c>
      <c r="H141" s="235" t="str">
        <f t="shared" si="22"/>
        <v/>
      </c>
      <c r="I141" s="238" t="str">
        <f t="shared" si="23"/>
        <v/>
      </c>
      <c r="J141" s="236" t="str">
        <f t="shared" si="24"/>
        <v/>
      </c>
      <c r="K141" s="239" t="str">
        <f t="shared" si="25"/>
        <v/>
      </c>
      <c r="L141" s="247" t="str">
        <f t="shared" si="30"/>
        <v/>
      </c>
      <c r="M141" s="244" t="str">
        <f>IF(I141=""," ",IF(IN_DATA!R125=1,"Primary Rec.",IF(IN_DATA!R125=2,"Water Flood",IF(IN_DATA!R125=3,"CO2 Flood",""))))</f>
        <v xml:space="preserve"> </v>
      </c>
      <c r="N141" s="109" t="str">
        <f>IF(I141="","",IF(O141=0, 0, OpCost!AD130))</f>
        <v/>
      </c>
      <c r="O141" s="187" t="str">
        <f>IF(OpCost!AE130="", "", OpCost!AE130)</f>
        <v/>
      </c>
      <c r="P141" s="251" t="str">
        <f>IF(F141="","",((IN_DATA!C125+IN_DATA!D125/10)/IN_DATA!P125))</f>
        <v/>
      </c>
      <c r="Q141" s="248" t="str">
        <f>IF(F141="","",SUM($P$21:P141)*365)</f>
        <v/>
      </c>
      <c r="R141" s="249" t="str">
        <f>IF(F141="", "", HLOOKUP(C141,'Reference-Crown Royalties'!$D$2:$AB$49,MATCH(P141,'Reference-Crown Royalties'!$A$2:$A$49,1),TRUE))</f>
        <v/>
      </c>
      <c r="S141" s="276" t="str">
        <f>IF(F141="", "", IF(IN_DATA!R125=3, CO2_Royalty_Factor, IF('Economics Summary'!A141&lt;2, IF('Economics Summary'!Q141&lt;60000, 0.05, ((60000*0.05+('Economics Summary'!Q141-60000)*R141)/'Economics Summary'!Q141)),R141)))</f>
        <v/>
      </c>
      <c r="T141" s="250" t="str">
        <f t="shared" si="26"/>
        <v/>
      </c>
      <c r="U141" s="250" t="str">
        <f t="shared" si="27"/>
        <v/>
      </c>
      <c r="V141" s="344" t="str">
        <f t="shared" si="32"/>
        <v/>
      </c>
      <c r="W141" s="257" t="str">
        <f>IF(F141="","",SUM($V$21:V141))</f>
        <v/>
      </c>
      <c r="X141" s="260" t="str">
        <f xml:space="preserve"> IF(OR(F141="",SUM(IN_DATA!$H$5:'IN_DATA'!H125)=0), "", 1-SUM(IN_DATA!$F$5:'IN_DATA'!F125)/SUM(IN_DATA!$H$5:'IN_DATA'!H125))</f>
        <v/>
      </c>
      <c r="Y141" s="307" t="str">
        <f>IF(OR(F141="",SUM(IN_DATA!$H$5:'IN_DATA'!H125)=0),"",365*(SUM(IN_DATA!$H$5:'IN_DATA'!H125)-SUM(IN_DATA!$F$5:'IN_DATA'!F125))/1000)</f>
        <v/>
      </c>
      <c r="Z141" s="346" t="str">
        <f t="shared" si="28"/>
        <v/>
      </c>
      <c r="AA141" s="370" t="str">
        <f t="shared" si="33"/>
        <v/>
      </c>
      <c r="AB141" s="373" t="str">
        <f>IF(F141="", "", IF(IN_DATA!R125=3, MAX(CO2_Royalty_Factor-Z141/10000,0), IF('Economics Summary'!A141&lt;2, IF('Economics Summary'!Q141&lt;60000, 0.05, ((60000*0.05+('Economics Summary'!Q141-60000)*R141)/'Economics Summary'!Q141)),R141)))</f>
        <v/>
      </c>
      <c r="AC141" s="377" t="str">
        <f t="shared" si="29"/>
        <v/>
      </c>
      <c r="AD141" s="378" t="str">
        <f t="shared" si="34"/>
        <v/>
      </c>
    </row>
    <row r="142" spans="1:30" x14ac:dyDescent="0.2">
      <c r="A142" s="178">
        <v>121</v>
      </c>
      <c r="B142" s="178">
        <f t="shared" si="35"/>
        <v>2133</v>
      </c>
      <c r="C142" s="292" t="str">
        <f>IF(IN_DATA!C126="","",MAX(min_oil_price,MIN(C141+C141*$L$6,max_oil_price)))</f>
        <v/>
      </c>
      <c r="D142" s="293" t="str">
        <f>IF(IN_DATA!C126="","",MAX(min_gas_price,MIN(D141+D141*$L$7,max_gas_price)))</f>
        <v/>
      </c>
      <c r="E142" s="294" t="str">
        <f>IF(IN_DATA!C126="","",MIN(E141+E141*$L$8,16))</f>
        <v/>
      </c>
      <c r="F142" s="110" t="str">
        <f>IF(O142="", "", IN_DATA!C126*365*OCF*FPF)</f>
        <v/>
      </c>
      <c r="G142" s="184" t="str">
        <f>IF(O142="","",IN_DATA!D126*365*FPF*OCF)</f>
        <v/>
      </c>
      <c r="H142" s="235" t="str">
        <f t="shared" si="22"/>
        <v/>
      </c>
      <c r="I142" s="238" t="str">
        <f t="shared" si="23"/>
        <v/>
      </c>
      <c r="J142" s="236" t="str">
        <f t="shared" si="24"/>
        <v/>
      </c>
      <c r="K142" s="239" t="str">
        <f t="shared" si="25"/>
        <v/>
      </c>
      <c r="L142" s="247" t="str">
        <f t="shared" si="30"/>
        <v/>
      </c>
      <c r="M142" s="244" t="str">
        <f>IF(I142=""," ",IF(IN_DATA!R126=1,"Primary Rec.",IF(IN_DATA!R126=2,"Water Flood",IF(IN_DATA!R126=3,"CO2 Flood",""))))</f>
        <v xml:space="preserve"> </v>
      </c>
      <c r="N142" s="109" t="str">
        <f>IF(I142="","",IF(O142=0, 0, OpCost!AD131))</f>
        <v/>
      </c>
      <c r="O142" s="187" t="str">
        <f>IF(OpCost!AE131="", "", OpCost!AE131)</f>
        <v/>
      </c>
      <c r="P142" s="251" t="str">
        <f>IF(F142="","",((IN_DATA!C126+IN_DATA!D126/10)/IN_DATA!P126))</f>
        <v/>
      </c>
      <c r="Q142" s="248" t="str">
        <f>IF(F142="","",SUM($P$21:P142)*365)</f>
        <v/>
      </c>
      <c r="R142" s="249" t="str">
        <f>IF(F142="", "", HLOOKUP(C142,'Reference-Crown Royalties'!$D$2:$AB$49,MATCH(P142,'Reference-Crown Royalties'!$A$2:$A$49,1),TRUE))</f>
        <v/>
      </c>
      <c r="S142" s="276" t="str">
        <f>IF(F142="", "", IF(IN_DATA!R126=3, CO2_Royalty_Factor, IF('Economics Summary'!A142&lt;2, IF('Economics Summary'!Q142&lt;60000, 0.05, ((60000*0.05+('Economics Summary'!Q142-60000)*R142)/'Economics Summary'!Q142)),R142)))</f>
        <v/>
      </c>
      <c r="T142" s="250" t="str">
        <f t="shared" si="26"/>
        <v/>
      </c>
      <c r="U142" s="250" t="str">
        <f t="shared" si="27"/>
        <v/>
      </c>
      <c r="V142" s="344" t="str">
        <f t="shared" si="32"/>
        <v/>
      </c>
      <c r="W142" s="257" t="str">
        <f>IF(F142="","",SUM($V$21:V142))</f>
        <v/>
      </c>
      <c r="X142" s="260" t="str">
        <f xml:space="preserve"> IF(OR(F142="",SUM(IN_DATA!$H$5:'IN_DATA'!H126)=0), "", 1-SUM(IN_DATA!$F$5:'IN_DATA'!F126)/SUM(IN_DATA!$H$5:'IN_DATA'!H126))</f>
        <v/>
      </c>
      <c r="Y142" s="307" t="str">
        <f>IF(OR(F142="",SUM(IN_DATA!$H$5:'IN_DATA'!H126)=0),"",365*(SUM(IN_DATA!$H$5:'IN_DATA'!H126)-SUM(IN_DATA!$F$5:'IN_DATA'!F126))/1000)</f>
        <v/>
      </c>
      <c r="Z142" s="346" t="str">
        <f t="shared" si="28"/>
        <v/>
      </c>
      <c r="AA142" s="370" t="str">
        <f t="shared" si="33"/>
        <v/>
      </c>
      <c r="AB142" s="373" t="str">
        <f>IF(F142="", "", IF(IN_DATA!R126=3, MAX(CO2_Royalty_Factor-Z142/10000,0), IF('Economics Summary'!A142&lt;2, IF('Economics Summary'!Q142&lt;60000, 0.05, ((60000*0.05+('Economics Summary'!Q142-60000)*R142)/'Economics Summary'!Q142)),R142)))</f>
        <v/>
      </c>
      <c r="AC142" s="377" t="str">
        <f t="shared" si="29"/>
        <v/>
      </c>
      <c r="AD142" s="378" t="str">
        <f t="shared" si="34"/>
        <v/>
      </c>
    </row>
    <row r="143" spans="1:30" x14ac:dyDescent="0.2">
      <c r="A143" s="178">
        <v>122</v>
      </c>
      <c r="B143" s="178">
        <f t="shared" si="35"/>
        <v>2134</v>
      </c>
      <c r="C143" s="292" t="str">
        <f>IF(IN_DATA!C127="","",MAX(min_oil_price,MIN(C142+C142*$L$6,max_oil_price)))</f>
        <v/>
      </c>
      <c r="D143" s="293" t="str">
        <f>IF(IN_DATA!C127="","",MAX(min_gas_price,MIN(D142+D142*$L$7,max_gas_price)))</f>
        <v/>
      </c>
      <c r="E143" s="294" t="str">
        <f>IF(IN_DATA!C127="","",MIN(E142+E142*$L$8,16))</f>
        <v/>
      </c>
      <c r="F143" s="110" t="str">
        <f>IF(O143="", "", IN_DATA!C127*365*OCF*FPF)</f>
        <v/>
      </c>
      <c r="G143" s="184" t="str">
        <f>IF(O143="","",IN_DATA!D127*365*FPF*OCF)</f>
        <v/>
      </c>
      <c r="H143" s="235" t="str">
        <f t="shared" si="22"/>
        <v/>
      </c>
      <c r="I143" s="238" t="str">
        <f t="shared" si="23"/>
        <v/>
      </c>
      <c r="J143" s="236" t="str">
        <f t="shared" si="24"/>
        <v/>
      </c>
      <c r="K143" s="239" t="str">
        <f t="shared" si="25"/>
        <v/>
      </c>
      <c r="L143" s="247" t="str">
        <f t="shared" si="30"/>
        <v/>
      </c>
      <c r="M143" s="244" t="str">
        <f>IF(I143=""," ",IF(IN_DATA!R127=1,"Primary Rec.",IF(IN_DATA!R127=2,"Water Flood",IF(IN_DATA!R127=3,"CO2 Flood",""))))</f>
        <v xml:space="preserve"> </v>
      </c>
      <c r="N143" s="109" t="str">
        <f>IF(I143="","",IF(O143=0, 0, OpCost!AD132))</f>
        <v/>
      </c>
      <c r="O143" s="187" t="str">
        <f>IF(OpCost!AE132="", "", OpCost!AE132)</f>
        <v/>
      </c>
      <c r="P143" s="251" t="str">
        <f>IF(F143="","",((IN_DATA!C127+IN_DATA!D127/10)/IN_DATA!P127))</f>
        <v/>
      </c>
      <c r="Q143" s="248" t="str">
        <f>IF(F143="","",SUM($P$21:P143)*365)</f>
        <v/>
      </c>
      <c r="R143" s="249" t="str">
        <f>IF(F143="", "", HLOOKUP(C143,'Reference-Crown Royalties'!$D$2:$AB$49,MATCH(P143,'Reference-Crown Royalties'!$A$2:$A$49,1),TRUE))</f>
        <v/>
      </c>
      <c r="S143" s="276" t="str">
        <f>IF(F143="", "", IF(IN_DATA!R127=3, CO2_Royalty_Factor, IF('Economics Summary'!A143&lt;2, IF('Economics Summary'!Q143&lt;60000, 0.05, ((60000*0.05+('Economics Summary'!Q143-60000)*R143)/'Economics Summary'!Q143)),R143)))</f>
        <v/>
      </c>
      <c r="T143" s="250" t="str">
        <f t="shared" si="26"/>
        <v/>
      </c>
      <c r="U143" s="250" t="str">
        <f t="shared" si="27"/>
        <v/>
      </c>
      <c r="V143" s="344" t="str">
        <f t="shared" si="32"/>
        <v/>
      </c>
      <c r="W143" s="257" t="str">
        <f>IF(F143="","",SUM($V$21:V143))</f>
        <v/>
      </c>
      <c r="X143" s="260" t="str">
        <f xml:space="preserve"> IF(OR(F143="",SUM(IN_DATA!$H$5:'IN_DATA'!H127)=0), "", 1-SUM(IN_DATA!$F$5:'IN_DATA'!F127)/SUM(IN_DATA!$H$5:'IN_DATA'!H127))</f>
        <v/>
      </c>
      <c r="Y143" s="307" t="str">
        <f>IF(OR(F143="",SUM(IN_DATA!$H$5:'IN_DATA'!H127)=0),"",365*(SUM(IN_DATA!$H$5:'IN_DATA'!H127)-SUM(IN_DATA!$F$5:'IN_DATA'!F127))/1000)</f>
        <v/>
      </c>
      <c r="Z143" s="346" t="str">
        <f t="shared" si="28"/>
        <v/>
      </c>
      <c r="AA143" s="370" t="str">
        <f t="shared" si="33"/>
        <v/>
      </c>
      <c r="AB143" s="373" t="str">
        <f>IF(F143="", "", IF(IN_DATA!R127=3, MAX(CO2_Royalty_Factor-Z143/10000,0), IF('Economics Summary'!A143&lt;2, IF('Economics Summary'!Q143&lt;60000, 0.05, ((60000*0.05+('Economics Summary'!Q143-60000)*R143)/'Economics Summary'!Q143)),R143)))</f>
        <v/>
      </c>
      <c r="AC143" s="377" t="str">
        <f t="shared" si="29"/>
        <v/>
      </c>
      <c r="AD143" s="378" t="str">
        <f t="shared" si="34"/>
        <v/>
      </c>
    </row>
    <row r="144" spans="1:30" x14ac:dyDescent="0.2">
      <c r="A144" s="178">
        <v>123</v>
      </c>
      <c r="B144" s="178">
        <f t="shared" si="35"/>
        <v>2135</v>
      </c>
      <c r="C144" s="292" t="str">
        <f>IF(IN_DATA!C128="","",MAX(min_oil_price,MIN(C143+C143*$L$6,max_oil_price)))</f>
        <v/>
      </c>
      <c r="D144" s="293" t="str">
        <f>IF(IN_DATA!C128="","",MAX(min_gas_price,MIN(D143+D143*$L$7,max_gas_price)))</f>
        <v/>
      </c>
      <c r="E144" s="294" t="str">
        <f>IF(IN_DATA!C128="","",MIN(E143+E143*$L$8,16))</f>
        <v/>
      </c>
      <c r="F144" s="110" t="str">
        <f>IF(O144="", "", IN_DATA!C128*365*OCF*FPF)</f>
        <v/>
      </c>
      <c r="G144" s="184" t="str">
        <f>IF(O144="","",IN_DATA!D128*365*FPF*OCF)</f>
        <v/>
      </c>
      <c r="H144" s="235" t="str">
        <f t="shared" si="22"/>
        <v/>
      </c>
      <c r="I144" s="238" t="str">
        <f t="shared" si="23"/>
        <v/>
      </c>
      <c r="J144" s="236" t="str">
        <f t="shared" si="24"/>
        <v/>
      </c>
      <c r="K144" s="239" t="str">
        <f t="shared" si="25"/>
        <v/>
      </c>
      <c r="L144" s="247" t="str">
        <f t="shared" si="30"/>
        <v/>
      </c>
      <c r="M144" s="244" t="str">
        <f>IF(I144=""," ",IF(IN_DATA!R128=1,"Primary Rec.",IF(IN_DATA!R128=2,"Water Flood",IF(IN_DATA!R128=3,"CO2 Flood",""))))</f>
        <v xml:space="preserve"> </v>
      </c>
      <c r="N144" s="109" t="str">
        <f>IF(I144="","",IF(O144=0, 0, OpCost!AD133))</f>
        <v/>
      </c>
      <c r="O144" s="187" t="str">
        <f>IF(OpCost!AE133="", "", OpCost!AE133)</f>
        <v/>
      </c>
      <c r="P144" s="251" t="str">
        <f>IF(F144="","",((IN_DATA!C128+IN_DATA!D128/10)/IN_DATA!P128))</f>
        <v/>
      </c>
      <c r="Q144" s="248" t="str">
        <f>IF(F144="","",SUM($P$21:P144)*365)</f>
        <v/>
      </c>
      <c r="R144" s="249" t="str">
        <f>IF(F144="", "", HLOOKUP(C144,'Reference-Crown Royalties'!$D$2:$AB$49,MATCH(P144,'Reference-Crown Royalties'!$A$2:$A$49,1),TRUE))</f>
        <v/>
      </c>
      <c r="S144" s="276" t="str">
        <f>IF(F144="", "", IF(IN_DATA!R128=3, CO2_Royalty_Factor, IF('Economics Summary'!A144&lt;2, IF('Economics Summary'!Q144&lt;60000, 0.05, ((60000*0.05+('Economics Summary'!Q144-60000)*R144)/'Economics Summary'!Q144)),R144)))</f>
        <v/>
      </c>
      <c r="T144" s="250" t="str">
        <f t="shared" si="26"/>
        <v/>
      </c>
      <c r="U144" s="250" t="str">
        <f t="shared" si="27"/>
        <v/>
      </c>
      <c r="V144" s="344" t="str">
        <f t="shared" si="32"/>
        <v/>
      </c>
      <c r="W144" s="257" t="str">
        <f>IF(F144="","",SUM($V$21:V144))</f>
        <v/>
      </c>
      <c r="X144" s="260" t="str">
        <f xml:space="preserve"> IF(OR(F144="",SUM(IN_DATA!$H$5:'IN_DATA'!H128)=0), "", 1-SUM(IN_DATA!$F$5:'IN_DATA'!F128)/SUM(IN_DATA!$H$5:'IN_DATA'!H128))</f>
        <v/>
      </c>
      <c r="Y144" s="307" t="str">
        <f>IF(OR(F144="",SUM(IN_DATA!$H$5:'IN_DATA'!H128)=0),"",365*(SUM(IN_DATA!$H$5:'IN_DATA'!H128)-SUM(IN_DATA!$F$5:'IN_DATA'!F128))/1000)</f>
        <v/>
      </c>
      <c r="Z144" s="346" t="str">
        <f t="shared" si="28"/>
        <v/>
      </c>
      <c r="AA144" s="370" t="str">
        <f t="shared" si="33"/>
        <v/>
      </c>
      <c r="AB144" s="373" t="str">
        <f>IF(F144="", "", IF(IN_DATA!R128=3, MAX(CO2_Royalty_Factor-Z144/10000,0), IF('Economics Summary'!A144&lt;2, IF('Economics Summary'!Q144&lt;60000, 0.05, ((60000*0.05+('Economics Summary'!Q144-60000)*R144)/'Economics Summary'!Q144)),R144)))</f>
        <v/>
      </c>
      <c r="AC144" s="377" t="str">
        <f t="shared" si="29"/>
        <v/>
      </c>
      <c r="AD144" s="378" t="str">
        <f t="shared" si="34"/>
        <v/>
      </c>
    </row>
    <row r="145" spans="1:30" x14ac:dyDescent="0.2">
      <c r="A145" s="178">
        <v>124</v>
      </c>
      <c r="B145" s="178">
        <f t="shared" si="35"/>
        <v>2136</v>
      </c>
      <c r="C145" s="292" t="str">
        <f>IF(IN_DATA!C129="","",MAX(min_oil_price,MIN(C144+C144*$L$6,max_oil_price)))</f>
        <v/>
      </c>
      <c r="D145" s="293" t="str">
        <f>IF(IN_DATA!C129="","",MAX(min_gas_price,MIN(D144+D144*$L$7,max_gas_price)))</f>
        <v/>
      </c>
      <c r="E145" s="294" t="str">
        <f>IF(IN_DATA!C129="","",MIN(E144+E144*$L$8,16))</f>
        <v/>
      </c>
      <c r="F145" s="110" t="str">
        <f>IF(O145="", "", IN_DATA!C129*365*OCF*FPF)</f>
        <v/>
      </c>
      <c r="G145" s="184" t="str">
        <f>IF(O145="","",IN_DATA!D129*365*FPF*OCF)</f>
        <v/>
      </c>
      <c r="H145" s="235" t="str">
        <f t="shared" si="22"/>
        <v/>
      </c>
      <c r="I145" s="238" t="str">
        <f t="shared" si="23"/>
        <v/>
      </c>
      <c r="J145" s="236" t="str">
        <f t="shared" si="24"/>
        <v/>
      </c>
      <c r="K145" s="239" t="str">
        <f t="shared" si="25"/>
        <v/>
      </c>
      <c r="L145" s="247" t="str">
        <f t="shared" si="30"/>
        <v/>
      </c>
      <c r="M145" s="244" t="str">
        <f>IF(I145=""," ",IF(IN_DATA!R129=1,"Primary Rec.",IF(IN_DATA!R129=2,"Water Flood",IF(IN_DATA!R129=3,"CO2 Flood",""))))</f>
        <v xml:space="preserve"> </v>
      </c>
      <c r="N145" s="109" t="str">
        <f>IF(I145="","",IF(O145=0, 0, OpCost!AD134))</f>
        <v/>
      </c>
      <c r="O145" s="187" t="str">
        <f>IF(OpCost!AE134="", "", OpCost!AE134)</f>
        <v/>
      </c>
      <c r="P145" s="251" t="str">
        <f>IF(F145="","",((IN_DATA!C129+IN_DATA!D129/10)/IN_DATA!P129))</f>
        <v/>
      </c>
      <c r="Q145" s="248" t="str">
        <f>IF(F145="","",SUM($P$21:P145)*365)</f>
        <v/>
      </c>
      <c r="R145" s="249" t="str">
        <f>IF(F145="", "", HLOOKUP(C145,'Reference-Crown Royalties'!$D$2:$AB$49,MATCH(P145,'Reference-Crown Royalties'!$A$2:$A$49,1),TRUE))</f>
        <v/>
      </c>
      <c r="S145" s="276" t="str">
        <f>IF(F145="", "", IF(IN_DATA!R129=3, CO2_Royalty_Factor, IF('Economics Summary'!A145&lt;2, IF('Economics Summary'!Q145&lt;60000, 0.05, ((60000*0.05+('Economics Summary'!Q145-60000)*R145)/'Economics Summary'!Q145)),R145)))</f>
        <v/>
      </c>
      <c r="T145" s="250" t="str">
        <f t="shared" si="26"/>
        <v/>
      </c>
      <c r="U145" s="250" t="str">
        <f t="shared" si="27"/>
        <v/>
      </c>
      <c r="V145" s="344" t="str">
        <f t="shared" si="32"/>
        <v/>
      </c>
      <c r="W145" s="257" t="str">
        <f>IF(F145="","",SUM($V$21:V145))</f>
        <v/>
      </c>
      <c r="X145" s="260" t="str">
        <f xml:space="preserve"> IF(OR(F145="",SUM(IN_DATA!$H$5:'IN_DATA'!H129)=0), "", 1-SUM(IN_DATA!$F$5:'IN_DATA'!F129)/SUM(IN_DATA!$H$5:'IN_DATA'!H129))</f>
        <v/>
      </c>
      <c r="Y145" s="307" t="str">
        <f>IF(OR(F145="",SUM(IN_DATA!$H$5:'IN_DATA'!H129)=0),"",365*(SUM(IN_DATA!$H$5:'IN_DATA'!H129)-SUM(IN_DATA!$F$5:'IN_DATA'!F129))/1000)</f>
        <v/>
      </c>
      <c r="Z145" s="346" t="str">
        <f t="shared" si="28"/>
        <v/>
      </c>
      <c r="AA145" s="370" t="str">
        <f t="shared" si="33"/>
        <v/>
      </c>
      <c r="AB145" s="373" t="str">
        <f>IF(F145="", "", IF(IN_DATA!R129=3, MAX(CO2_Royalty_Factor-Z145/10000,0), IF('Economics Summary'!A145&lt;2, IF('Economics Summary'!Q145&lt;60000, 0.05, ((60000*0.05+('Economics Summary'!Q145-60000)*R145)/'Economics Summary'!Q145)),R145)))</f>
        <v/>
      </c>
      <c r="AC145" s="377" t="str">
        <f t="shared" si="29"/>
        <v/>
      </c>
      <c r="AD145" s="378" t="str">
        <f t="shared" si="34"/>
        <v/>
      </c>
    </row>
    <row r="146" spans="1:30" x14ac:dyDescent="0.2">
      <c r="A146" s="178">
        <v>125</v>
      </c>
      <c r="B146" s="178">
        <f t="shared" si="35"/>
        <v>2137</v>
      </c>
      <c r="C146" s="292" t="str">
        <f>IF(IN_DATA!C130="","",MAX(min_oil_price,MIN(C145+C145*$L$6,max_oil_price)))</f>
        <v/>
      </c>
      <c r="D146" s="293" t="str">
        <f>IF(IN_DATA!C130="","",MAX(min_gas_price,MIN(D145+D145*$L$7,max_gas_price)))</f>
        <v/>
      </c>
      <c r="E146" s="294" t="str">
        <f>IF(IN_DATA!C130="","",MIN(E145+E145*$L$8,16))</f>
        <v/>
      </c>
      <c r="F146" s="110" t="str">
        <f>IF(O146="", "", IN_DATA!C130*365*OCF*FPF)</f>
        <v/>
      </c>
      <c r="G146" s="184" t="str">
        <f>IF(O146="","",IN_DATA!D130*365*FPF*OCF)</f>
        <v/>
      </c>
      <c r="H146" s="235" t="str">
        <f t="shared" si="22"/>
        <v/>
      </c>
      <c r="I146" s="238" t="str">
        <f t="shared" si="23"/>
        <v/>
      </c>
      <c r="J146" s="236" t="str">
        <f t="shared" si="24"/>
        <v/>
      </c>
      <c r="K146" s="239" t="str">
        <f t="shared" si="25"/>
        <v/>
      </c>
      <c r="L146" s="247" t="str">
        <f t="shared" si="30"/>
        <v/>
      </c>
      <c r="M146" s="244" t="str">
        <f>IF(I146=""," ",IF(IN_DATA!R130=1,"Primary Rec.",IF(IN_DATA!R130=2,"Water Flood",IF(IN_DATA!R130=3,"CO2 Flood",""))))</f>
        <v xml:space="preserve"> </v>
      </c>
      <c r="N146" s="109" t="str">
        <f>IF(I146="","",IF(O146=0, 0, OpCost!AD135))</f>
        <v/>
      </c>
      <c r="O146" s="187" t="str">
        <f>IF(OpCost!AE135="", "", OpCost!AE135)</f>
        <v/>
      </c>
      <c r="P146" s="251" t="str">
        <f>IF(F146="","",((IN_DATA!C130+IN_DATA!D130/10)/IN_DATA!P130))</f>
        <v/>
      </c>
      <c r="Q146" s="248" t="str">
        <f>IF(F146="","",SUM($P$21:P146)*365)</f>
        <v/>
      </c>
      <c r="R146" s="249" t="str">
        <f>IF(F146="", "", HLOOKUP(C146,'Reference-Crown Royalties'!$D$2:$AB$49,MATCH(P146,'Reference-Crown Royalties'!$A$2:$A$49,1),TRUE))</f>
        <v/>
      </c>
      <c r="S146" s="276" t="str">
        <f>IF(F146="", "", IF(IN_DATA!R130=3, CO2_Royalty_Factor, IF('Economics Summary'!A146&lt;2, IF('Economics Summary'!Q146&lt;60000, 0.05, ((60000*0.05+('Economics Summary'!Q146-60000)*R146)/'Economics Summary'!Q146)),R146)))</f>
        <v/>
      </c>
      <c r="T146" s="250" t="str">
        <f t="shared" si="26"/>
        <v/>
      </c>
      <c r="U146" s="250" t="str">
        <f t="shared" si="27"/>
        <v/>
      </c>
      <c r="V146" s="344" t="str">
        <f t="shared" si="32"/>
        <v/>
      </c>
      <c r="W146" s="257" t="str">
        <f>IF(F146="","",SUM($V$21:V146))</f>
        <v/>
      </c>
      <c r="X146" s="260" t="str">
        <f xml:space="preserve"> IF(OR(F146="",SUM(IN_DATA!$H$5:'IN_DATA'!H130)=0), "", 1-SUM(IN_DATA!$F$5:'IN_DATA'!F130)/SUM(IN_DATA!$H$5:'IN_DATA'!H130))</f>
        <v/>
      </c>
      <c r="Y146" s="307" t="str">
        <f>IF(OR(F146="",SUM(IN_DATA!$H$5:'IN_DATA'!H130)=0),"",365*(SUM(IN_DATA!$H$5:'IN_DATA'!H130)-SUM(IN_DATA!$F$5:'IN_DATA'!F130))/1000)</f>
        <v/>
      </c>
      <c r="Z146" s="346" t="str">
        <f t="shared" si="28"/>
        <v/>
      </c>
      <c r="AA146" s="370" t="str">
        <f t="shared" si="33"/>
        <v/>
      </c>
      <c r="AB146" s="373" t="str">
        <f>IF(F146="", "", IF(IN_DATA!R130=3, MAX(CO2_Royalty_Factor-Z146/10000,0), IF('Economics Summary'!A146&lt;2, IF('Economics Summary'!Q146&lt;60000, 0.05, ((60000*0.05+('Economics Summary'!Q146-60000)*R146)/'Economics Summary'!Q146)),R146)))</f>
        <v/>
      </c>
      <c r="AC146" s="377" t="str">
        <f t="shared" si="29"/>
        <v/>
      </c>
      <c r="AD146" s="378" t="str">
        <f t="shared" si="34"/>
        <v/>
      </c>
    </row>
    <row r="147" spans="1:30" x14ac:dyDescent="0.2">
      <c r="A147" s="178">
        <v>126</v>
      </c>
      <c r="B147" s="178">
        <f t="shared" si="35"/>
        <v>2138</v>
      </c>
      <c r="C147" s="292" t="str">
        <f>IF(IN_DATA!C131="","",MAX(min_oil_price,MIN(C146+C146*$L$6,max_oil_price)))</f>
        <v/>
      </c>
      <c r="D147" s="293" t="str">
        <f>IF(IN_DATA!C131="","",MAX(min_gas_price,MIN(D146+D146*$L$7,max_gas_price)))</f>
        <v/>
      </c>
      <c r="E147" s="294" t="str">
        <f>IF(IN_DATA!C131="","",MIN(E146+E146*$L$8,16))</f>
        <v/>
      </c>
      <c r="F147" s="110" t="str">
        <f>IF(O147="", "", IN_DATA!C131*365*OCF*FPF)</f>
        <v/>
      </c>
      <c r="G147" s="184" t="str">
        <f>IF(O147="","",IN_DATA!D131*365*FPF*OCF)</f>
        <v/>
      </c>
      <c r="H147" s="235" t="str">
        <f t="shared" si="22"/>
        <v/>
      </c>
      <c r="I147" s="238" t="str">
        <f t="shared" si="23"/>
        <v/>
      </c>
      <c r="J147" s="236" t="str">
        <f t="shared" si="24"/>
        <v/>
      </c>
      <c r="K147" s="239" t="str">
        <f t="shared" si="25"/>
        <v/>
      </c>
      <c r="L147" s="247" t="str">
        <f t="shared" si="30"/>
        <v/>
      </c>
      <c r="M147" s="244" t="str">
        <f>IF(I147=""," ",IF(IN_DATA!R131=1,"Primary Rec.",IF(IN_DATA!R131=2,"Water Flood",IF(IN_DATA!R131=3,"CO2 Flood",""))))</f>
        <v xml:space="preserve"> </v>
      </c>
      <c r="N147" s="109" t="str">
        <f>IF(I147="","",IF(O147=0, 0, OpCost!AD136))</f>
        <v/>
      </c>
      <c r="O147" s="187" t="str">
        <f>IF(OpCost!AE136="", "", OpCost!AE136)</f>
        <v/>
      </c>
      <c r="P147" s="251" t="str">
        <f>IF(F147="","",((IN_DATA!C131+IN_DATA!D131/10)/IN_DATA!P131))</f>
        <v/>
      </c>
      <c r="Q147" s="248" t="str">
        <f>IF(F147="","",SUM($P$21:P147)*365)</f>
        <v/>
      </c>
      <c r="R147" s="249" t="str">
        <f>IF(F147="", "", HLOOKUP(C147,'Reference-Crown Royalties'!$D$2:$AB$49,MATCH(P147,'Reference-Crown Royalties'!$A$2:$A$49,1),TRUE))</f>
        <v/>
      </c>
      <c r="S147" s="276" t="str">
        <f>IF(F147="", "", IF(IN_DATA!R131=3, CO2_Royalty_Factor, IF('Economics Summary'!A147&lt;2, IF('Economics Summary'!Q147&lt;60000, 0.05, ((60000*0.05+('Economics Summary'!Q147-60000)*R147)/'Economics Summary'!Q147)),R147)))</f>
        <v/>
      </c>
      <c r="T147" s="250" t="str">
        <f t="shared" si="26"/>
        <v/>
      </c>
      <c r="U147" s="250" t="str">
        <f t="shared" si="27"/>
        <v/>
      </c>
      <c r="V147" s="344" t="str">
        <f t="shared" si="32"/>
        <v/>
      </c>
      <c r="W147" s="257" t="str">
        <f>IF(F147="","",SUM($V$21:V147))</f>
        <v/>
      </c>
      <c r="X147" s="260" t="str">
        <f xml:space="preserve"> IF(OR(F147="",SUM(IN_DATA!$H$5:'IN_DATA'!H131)=0), "", 1-SUM(IN_DATA!$F$5:'IN_DATA'!F131)/SUM(IN_DATA!$H$5:'IN_DATA'!H131))</f>
        <v/>
      </c>
      <c r="Y147" s="307" t="str">
        <f>IF(OR(F147="",SUM(IN_DATA!$H$5:'IN_DATA'!H131)=0),"",365*(SUM(IN_DATA!$H$5:'IN_DATA'!H131)-SUM(IN_DATA!$F$5:'IN_DATA'!F131))/1000)</f>
        <v/>
      </c>
      <c r="Z147" s="346" t="str">
        <f t="shared" si="28"/>
        <v/>
      </c>
      <c r="AA147" s="370" t="str">
        <f t="shared" si="33"/>
        <v/>
      </c>
      <c r="AB147" s="373" t="str">
        <f>IF(F147="", "", IF(IN_DATA!R131=3, MAX(CO2_Royalty_Factor-Z147/10000,0), IF('Economics Summary'!A147&lt;2, IF('Economics Summary'!Q147&lt;60000, 0.05, ((60000*0.05+('Economics Summary'!Q147-60000)*R147)/'Economics Summary'!Q147)),R147)))</f>
        <v/>
      </c>
      <c r="AC147" s="377" t="str">
        <f t="shared" si="29"/>
        <v/>
      </c>
      <c r="AD147" s="378" t="str">
        <f t="shared" si="34"/>
        <v/>
      </c>
    </row>
    <row r="148" spans="1:30" x14ac:dyDescent="0.2">
      <c r="A148" s="178">
        <v>127</v>
      </c>
      <c r="B148" s="178">
        <f t="shared" si="35"/>
        <v>2139</v>
      </c>
      <c r="C148" s="292" t="str">
        <f>IF(IN_DATA!C132="","",MAX(min_oil_price,MIN(C147+C147*$L$6,max_oil_price)))</f>
        <v/>
      </c>
      <c r="D148" s="293" t="str">
        <f>IF(IN_DATA!C132="","",MAX(min_gas_price,MIN(D147+D147*$L$7,max_gas_price)))</f>
        <v/>
      </c>
      <c r="E148" s="294" t="str">
        <f>IF(IN_DATA!C132="","",MIN(E147+E147*$L$8,16))</f>
        <v/>
      </c>
      <c r="F148" s="110" t="str">
        <f>IF(O148="", "", IN_DATA!C132*365*OCF*FPF)</f>
        <v/>
      </c>
      <c r="G148" s="184" t="str">
        <f>IF(O148="","",IN_DATA!D132*365*FPF*OCF)</f>
        <v/>
      </c>
      <c r="H148" s="235" t="str">
        <f t="shared" si="22"/>
        <v/>
      </c>
      <c r="I148" s="238" t="str">
        <f t="shared" si="23"/>
        <v/>
      </c>
      <c r="J148" s="236" t="str">
        <f t="shared" si="24"/>
        <v/>
      </c>
      <c r="K148" s="239" t="str">
        <f t="shared" si="25"/>
        <v/>
      </c>
      <c r="L148" s="247" t="str">
        <f t="shared" si="30"/>
        <v/>
      </c>
      <c r="M148" s="244" t="str">
        <f>IF(I148=""," ",IF(IN_DATA!R132=1,"Primary Rec.",IF(IN_DATA!R132=2,"Water Flood",IF(IN_DATA!R132=3,"CO2 Flood",""))))</f>
        <v xml:space="preserve"> </v>
      </c>
      <c r="N148" s="109" t="str">
        <f>IF(I148="","",IF(O148=0, 0, OpCost!AD137))</f>
        <v/>
      </c>
      <c r="O148" s="187" t="str">
        <f>IF(OpCost!AE137="", "", OpCost!AE137)</f>
        <v/>
      </c>
      <c r="P148" s="251" t="str">
        <f>IF(F148="","",((IN_DATA!C132+IN_DATA!D132/10)/IN_DATA!P132))</f>
        <v/>
      </c>
      <c r="Q148" s="248" t="str">
        <f>IF(F148="","",SUM($P$21:P148)*365)</f>
        <v/>
      </c>
      <c r="R148" s="249" t="str">
        <f>IF(F148="", "", HLOOKUP(C148,'Reference-Crown Royalties'!$D$2:$AB$49,MATCH(P148,'Reference-Crown Royalties'!$A$2:$A$49,1),TRUE))</f>
        <v/>
      </c>
      <c r="S148" s="276" t="str">
        <f>IF(F148="", "", IF(IN_DATA!R132=3, CO2_Royalty_Factor, IF('Economics Summary'!A148&lt;2, IF('Economics Summary'!Q148&lt;60000, 0.05, ((60000*0.05+('Economics Summary'!Q148-60000)*R148)/'Economics Summary'!Q148)),R148)))</f>
        <v/>
      </c>
      <c r="T148" s="250" t="str">
        <f t="shared" si="26"/>
        <v/>
      </c>
      <c r="U148" s="250" t="str">
        <f t="shared" si="27"/>
        <v/>
      </c>
      <c r="V148" s="344" t="str">
        <f t="shared" si="32"/>
        <v/>
      </c>
      <c r="W148" s="257" t="str">
        <f>IF(F148="","",SUM($V$21:V148))</f>
        <v/>
      </c>
      <c r="X148" s="260" t="str">
        <f xml:space="preserve"> IF(OR(F148="",SUM(IN_DATA!$H$5:'IN_DATA'!H132)=0), "", 1-SUM(IN_DATA!$F$5:'IN_DATA'!F132)/SUM(IN_DATA!$H$5:'IN_DATA'!H132))</f>
        <v/>
      </c>
      <c r="Y148" s="307" t="str">
        <f>IF(OR(F148="",SUM(IN_DATA!$H$5:'IN_DATA'!H132)=0),"",365*(SUM(IN_DATA!$H$5:'IN_DATA'!H132)-SUM(IN_DATA!$F$5:'IN_DATA'!F132))/1000)</f>
        <v/>
      </c>
      <c r="Z148" s="346" t="str">
        <f t="shared" si="28"/>
        <v/>
      </c>
      <c r="AA148" s="370" t="str">
        <f t="shared" si="33"/>
        <v/>
      </c>
      <c r="AB148" s="373" t="str">
        <f>IF(F148="", "", IF(IN_DATA!R132=3, MAX(CO2_Royalty_Factor-Z148/10000,0), IF('Economics Summary'!A148&lt;2, IF('Economics Summary'!Q148&lt;60000, 0.05, ((60000*0.05+('Economics Summary'!Q148-60000)*R148)/'Economics Summary'!Q148)),R148)))</f>
        <v/>
      </c>
      <c r="AC148" s="377" t="str">
        <f t="shared" si="29"/>
        <v/>
      </c>
      <c r="AD148" s="378" t="str">
        <f t="shared" si="34"/>
        <v/>
      </c>
    </row>
    <row r="149" spans="1:30" x14ac:dyDescent="0.2">
      <c r="A149" s="178">
        <v>128</v>
      </c>
      <c r="B149" s="178">
        <f t="shared" si="35"/>
        <v>2140</v>
      </c>
      <c r="C149" s="292" t="str">
        <f>IF(IN_DATA!C133="","",MAX(min_oil_price,MIN(C148+C148*$L$6,max_oil_price)))</f>
        <v/>
      </c>
      <c r="D149" s="293" t="str">
        <f>IF(IN_DATA!C133="","",MAX(min_gas_price,MIN(D148+D148*$L$7,max_gas_price)))</f>
        <v/>
      </c>
      <c r="E149" s="294" t="str">
        <f>IF(IN_DATA!C133="","",MIN(E148+E148*$L$8,16))</f>
        <v/>
      </c>
      <c r="F149" s="110" t="str">
        <f>IF(O149="", "", IN_DATA!C133*365*OCF*FPF)</f>
        <v/>
      </c>
      <c r="G149" s="184" t="str">
        <f>IF(O149="","",IN_DATA!D133*365*FPF*OCF)</f>
        <v/>
      </c>
      <c r="H149" s="235" t="str">
        <f t="shared" si="22"/>
        <v/>
      </c>
      <c r="I149" s="238" t="str">
        <f t="shared" si="23"/>
        <v/>
      </c>
      <c r="J149" s="236" t="str">
        <f t="shared" si="24"/>
        <v/>
      </c>
      <c r="K149" s="239" t="str">
        <f t="shared" si="25"/>
        <v/>
      </c>
      <c r="L149" s="247" t="str">
        <f t="shared" si="30"/>
        <v/>
      </c>
      <c r="M149" s="244" t="str">
        <f>IF(I149=""," ",IF(IN_DATA!R133=1,"Primary Rec.",IF(IN_DATA!R133=2,"Water Flood",IF(IN_DATA!R133=3,"CO2 Flood",""))))</f>
        <v xml:space="preserve"> </v>
      </c>
      <c r="N149" s="109" t="str">
        <f>IF(I149="","",IF(O149=0, 0, OpCost!AD138))</f>
        <v/>
      </c>
      <c r="O149" s="187" t="str">
        <f>IF(OpCost!AE138="", "", OpCost!AE138)</f>
        <v/>
      </c>
      <c r="P149" s="251" t="str">
        <f>IF(F149="","",((IN_DATA!C133+IN_DATA!D133/10)/IN_DATA!P133))</f>
        <v/>
      </c>
      <c r="Q149" s="248" t="str">
        <f>IF(F149="","",SUM($P$21:P149)*365)</f>
        <v/>
      </c>
      <c r="R149" s="249" t="str">
        <f>IF(F149="", "", HLOOKUP(C149,'Reference-Crown Royalties'!$D$2:$AB$49,MATCH(P149,'Reference-Crown Royalties'!$A$2:$A$49,1),TRUE))</f>
        <v/>
      </c>
      <c r="S149" s="276" t="str">
        <f>IF(F149="", "", IF(IN_DATA!R133=3, CO2_Royalty_Factor, IF('Economics Summary'!A149&lt;2, IF('Economics Summary'!Q149&lt;60000, 0.05, ((60000*0.05+('Economics Summary'!Q149-60000)*R149)/'Economics Summary'!Q149)),R149)))</f>
        <v/>
      </c>
      <c r="T149" s="250" t="str">
        <f t="shared" si="26"/>
        <v/>
      </c>
      <c r="U149" s="250" t="str">
        <f t="shared" si="27"/>
        <v/>
      </c>
      <c r="V149" s="344" t="str">
        <f t="shared" ref="V149:V180" si="36">IF(F149="","",IF(T149-L149&lt;0,T149-L149,(T149-L149)*(1-Tax_Rate)))</f>
        <v/>
      </c>
      <c r="W149" s="257" t="str">
        <f>IF(F149="","",SUM($V$21:V149))</f>
        <v/>
      </c>
      <c r="X149" s="260" t="str">
        <f xml:space="preserve"> IF(OR(F149="",SUM(IN_DATA!$H$5:'IN_DATA'!H133)=0), "", 1-SUM(IN_DATA!$F$5:'IN_DATA'!F133)/SUM(IN_DATA!$H$5:'IN_DATA'!H133))</f>
        <v/>
      </c>
      <c r="Y149" s="307" t="str">
        <f>IF(OR(F149="",SUM(IN_DATA!$H$5:'IN_DATA'!H133)=0),"",365*(SUM(IN_DATA!$H$5:'IN_DATA'!H133)-SUM(IN_DATA!$F$5:'IN_DATA'!F133))/1000)</f>
        <v/>
      </c>
      <c r="Z149" s="346" t="str">
        <f t="shared" si="28"/>
        <v/>
      </c>
      <c r="AA149" s="370" t="str">
        <f t="shared" ref="AA149:AA180" si="37">IF(F149="","",IF(T149-L149+(Z149*CO2_Incentive)&lt;0,T149-L149+(Z149*CO2_Incentive),(T149-L149+(Z149*CO2_Incentive))*(1-Tax_Rate)))</f>
        <v/>
      </c>
      <c r="AB149" s="373" t="str">
        <f>IF(F149="", "", IF(IN_DATA!R133=3, MAX(CO2_Royalty_Factor-Z149/10000,0), IF('Economics Summary'!A149&lt;2, IF('Economics Summary'!Q149&lt;60000, 0.05, ((60000*0.05+('Economics Summary'!Q149-60000)*R149)/'Economics Summary'!Q149)),R149)))</f>
        <v/>
      </c>
      <c r="AC149" s="377" t="str">
        <f t="shared" si="29"/>
        <v/>
      </c>
      <c r="AD149" s="378" t="str">
        <f t="shared" ref="AD149:AD180" si="38">IF(F149="","",IF(AC149-L149&lt;0,AC149-L149,(AC149-L149)*(1-Tax_Rate)))</f>
        <v/>
      </c>
    </row>
    <row r="150" spans="1:30" x14ac:dyDescent="0.2">
      <c r="A150" s="178">
        <v>129</v>
      </c>
      <c r="B150" s="178">
        <f t="shared" si="35"/>
        <v>2141</v>
      </c>
      <c r="C150" s="292" t="str">
        <f>IF(IN_DATA!C134="","",MAX(min_oil_price,MIN(C149+C149*$L$6,max_oil_price)))</f>
        <v/>
      </c>
      <c r="D150" s="293" t="str">
        <f>IF(IN_DATA!C134="","",MAX(min_gas_price,MIN(D149+D149*$L$7,max_gas_price)))</f>
        <v/>
      </c>
      <c r="E150" s="294" t="str">
        <f>IF(IN_DATA!C134="","",MIN(E149+E149*$L$8,16))</f>
        <v/>
      </c>
      <c r="F150" s="110" t="str">
        <f>IF(O150="", "", IN_DATA!C134*365*OCF*FPF)</f>
        <v/>
      </c>
      <c r="G150" s="184" t="str">
        <f>IF(O150="","",IN_DATA!D134*365*FPF*OCF)</f>
        <v/>
      </c>
      <c r="H150" s="235" t="str">
        <f t="shared" ref="H150:H213" si="39">IF(O150="","",G150*0.065)</f>
        <v/>
      </c>
      <c r="I150" s="238" t="str">
        <f t="shared" ref="I150:I213" si="40">IF(F150="","",C150*F150/1000)</f>
        <v/>
      </c>
      <c r="J150" s="236" t="str">
        <f t="shared" ref="J150:J213" si="41">IF(G150="","",D150*G150/1000)</f>
        <v/>
      </c>
      <c r="K150" s="239" t="str">
        <f t="shared" ref="K150:K213" si="42">IF(H150="","",E150*H150/1000)</f>
        <v/>
      </c>
      <c r="L150" s="247" t="str">
        <f t="shared" si="30"/>
        <v/>
      </c>
      <c r="M150" s="244" t="str">
        <f>IF(I150=""," ",IF(IN_DATA!R134=1,"Primary Rec.",IF(IN_DATA!R134=2,"Water Flood",IF(IN_DATA!R134=3,"CO2 Flood",""))))</f>
        <v xml:space="preserve"> </v>
      </c>
      <c r="N150" s="109" t="str">
        <f>IF(I150="","",IF(O150=0, 0, OpCost!AD139))</f>
        <v/>
      </c>
      <c r="O150" s="187" t="str">
        <f>IF(OpCost!AE139="", "", OpCost!AE139)</f>
        <v/>
      </c>
      <c r="P150" s="251" t="str">
        <f>IF(F150="","",((IN_DATA!C134+IN_DATA!D134/10)/IN_DATA!P134))</f>
        <v/>
      </c>
      <c r="Q150" s="248" t="str">
        <f>IF(F150="","",SUM($P$21:P150)*365)</f>
        <v/>
      </c>
      <c r="R150" s="249" t="str">
        <f>IF(F150="", "", HLOOKUP(C150,'Reference-Crown Royalties'!$D$2:$AB$49,MATCH(P150,'Reference-Crown Royalties'!$A$2:$A$49,1),TRUE))</f>
        <v/>
      </c>
      <c r="S150" s="276" t="str">
        <f>IF(F150="", "", IF(IN_DATA!R134=3, CO2_Royalty_Factor, IF('Economics Summary'!A150&lt;2, IF('Economics Summary'!Q150&lt;60000, 0.05, ((60000*0.05+('Economics Summary'!Q150-60000)*R150)/'Economics Summary'!Q150)),R150)))</f>
        <v/>
      </c>
      <c r="T150" s="250" t="str">
        <f t="shared" ref="T150:T213" si="43">IF(F150="","",(I150+J150+K150)*$B$6*(1-S150)-N150)</f>
        <v/>
      </c>
      <c r="U150" s="250" t="str">
        <f t="shared" ref="U150:U213" si="44">IF(F150="","",T150/(1+$A$6)^$A150)</f>
        <v/>
      </c>
      <c r="V150" s="344" t="str">
        <f t="shared" si="36"/>
        <v/>
      </c>
      <c r="W150" s="257" t="str">
        <f>IF(F150="","",SUM($V$21:V150))</f>
        <v/>
      </c>
      <c r="X150" s="260" t="str">
        <f xml:space="preserve"> IF(OR(F150="",SUM(IN_DATA!$H$5:'IN_DATA'!H134)=0), "", 1-SUM(IN_DATA!$F$5:'IN_DATA'!F134)/SUM(IN_DATA!$H$5:'IN_DATA'!H134))</f>
        <v/>
      </c>
      <c r="Y150" s="307" t="str">
        <f>IF(OR(F150="",SUM(IN_DATA!$H$5:'IN_DATA'!H134)=0),"",365*(SUM(IN_DATA!$H$5:'IN_DATA'!H134)-SUM(IN_DATA!$F$5:'IN_DATA'!F134))/1000)</f>
        <v/>
      </c>
      <c r="Z150" s="346" t="str">
        <f t="shared" ref="Z150:Z213" si="45">IF(Y150="","",Y150/17.4)</f>
        <v/>
      </c>
      <c r="AA150" s="370" t="str">
        <f t="shared" si="37"/>
        <v/>
      </c>
      <c r="AB150" s="373" t="str">
        <f>IF(F150="", "", IF(IN_DATA!R134=3, MAX(CO2_Royalty_Factor-Z150/10000,0), IF('Economics Summary'!A150&lt;2, IF('Economics Summary'!Q150&lt;60000, 0.05, ((60000*0.05+('Economics Summary'!Q150-60000)*R150)/'Economics Summary'!Q150)),R150)))</f>
        <v/>
      </c>
      <c r="AC150" s="377" t="str">
        <f t="shared" ref="AC150:AC213" si="46">IF(F150="","",(I150+J150+K150)*$B$6*(1-AB150)-N150)</f>
        <v/>
      </c>
      <c r="AD150" s="378" t="str">
        <f t="shared" si="38"/>
        <v/>
      </c>
    </row>
    <row r="151" spans="1:30" x14ac:dyDescent="0.2">
      <c r="A151" s="178">
        <v>130</v>
      </c>
      <c r="B151" s="178">
        <f t="shared" si="35"/>
        <v>2142</v>
      </c>
      <c r="C151" s="292" t="str">
        <f>IF(IN_DATA!C135="","",MAX(min_oil_price,MIN(C150+C150*$L$6,max_oil_price)))</f>
        <v/>
      </c>
      <c r="D151" s="293" t="str">
        <f>IF(IN_DATA!C135="","",MAX(min_gas_price,MIN(D150+D150*$L$7,max_gas_price)))</f>
        <v/>
      </c>
      <c r="E151" s="294" t="str">
        <f>IF(IN_DATA!C135="","",MIN(E150+E150*$L$8,16))</f>
        <v/>
      </c>
      <c r="F151" s="110" t="str">
        <f>IF(O151="", "", IN_DATA!C135*365*OCF*FPF)</f>
        <v/>
      </c>
      <c r="G151" s="184" t="str">
        <f>IF(O151="","",IN_DATA!D135*365*FPF*OCF)</f>
        <v/>
      </c>
      <c r="H151" s="235" t="str">
        <f t="shared" si="39"/>
        <v/>
      </c>
      <c r="I151" s="238" t="str">
        <f t="shared" si="40"/>
        <v/>
      </c>
      <c r="J151" s="236" t="str">
        <f t="shared" si="41"/>
        <v/>
      </c>
      <c r="K151" s="239" t="str">
        <f t="shared" si="42"/>
        <v/>
      </c>
      <c r="L151" s="247" t="str">
        <f t="shared" ref="L151:L214" si="47">IF(F151="","",0)</f>
        <v/>
      </c>
      <c r="M151" s="244" t="str">
        <f>IF(I151=""," ",IF(IN_DATA!R135=1,"Primary Rec.",IF(IN_DATA!R135=2,"Water Flood",IF(IN_DATA!R135=3,"CO2 Flood",""))))</f>
        <v xml:space="preserve"> </v>
      </c>
      <c r="N151" s="109" t="str">
        <f>IF(I151="","",IF(O151=0, 0, OpCost!AD140))</f>
        <v/>
      </c>
      <c r="O151" s="187" t="str">
        <f>IF(OpCost!AE140="", "", OpCost!AE140)</f>
        <v/>
      </c>
      <c r="P151" s="251" t="str">
        <f>IF(F151="","",((IN_DATA!C135+IN_DATA!D135/10)/IN_DATA!P135))</f>
        <v/>
      </c>
      <c r="Q151" s="248" t="str">
        <f>IF(F151="","",SUM($P$21:P151)*365)</f>
        <v/>
      </c>
      <c r="R151" s="249" t="str">
        <f>IF(F151="", "", HLOOKUP(C151,'Reference-Crown Royalties'!$D$2:$AB$49,MATCH(P151,'Reference-Crown Royalties'!$A$2:$A$49,1),TRUE))</f>
        <v/>
      </c>
      <c r="S151" s="276" t="str">
        <f>IF(F151="", "", IF(IN_DATA!R135=3, CO2_Royalty_Factor, IF('Economics Summary'!A151&lt;2, IF('Economics Summary'!Q151&lt;60000, 0.05, ((60000*0.05+('Economics Summary'!Q151-60000)*R151)/'Economics Summary'!Q151)),R151)))</f>
        <v/>
      </c>
      <c r="T151" s="250" t="str">
        <f t="shared" si="43"/>
        <v/>
      </c>
      <c r="U151" s="250" t="str">
        <f t="shared" si="44"/>
        <v/>
      </c>
      <c r="V151" s="344" t="str">
        <f t="shared" si="36"/>
        <v/>
      </c>
      <c r="W151" s="257" t="str">
        <f>IF(F151="","",SUM($V$21:V151))</f>
        <v/>
      </c>
      <c r="X151" s="260" t="str">
        <f xml:space="preserve"> IF(OR(F151="",SUM(IN_DATA!$H$5:'IN_DATA'!H135)=0), "", 1-SUM(IN_DATA!$F$5:'IN_DATA'!F135)/SUM(IN_DATA!$H$5:'IN_DATA'!H135))</f>
        <v/>
      </c>
      <c r="Y151" s="307" t="str">
        <f>IF(OR(F151="",SUM(IN_DATA!$H$5:'IN_DATA'!H135)=0),"",365*(SUM(IN_DATA!$H$5:'IN_DATA'!H135)-SUM(IN_DATA!$F$5:'IN_DATA'!F135))/1000)</f>
        <v/>
      </c>
      <c r="Z151" s="346" t="str">
        <f t="shared" si="45"/>
        <v/>
      </c>
      <c r="AA151" s="370" t="str">
        <f t="shared" si="37"/>
        <v/>
      </c>
      <c r="AB151" s="373" t="str">
        <f>IF(F151="", "", IF(IN_DATA!R135=3, MAX(CO2_Royalty_Factor-Z151/10000,0), IF('Economics Summary'!A151&lt;2, IF('Economics Summary'!Q151&lt;60000, 0.05, ((60000*0.05+('Economics Summary'!Q151-60000)*R151)/'Economics Summary'!Q151)),R151)))</f>
        <v/>
      </c>
      <c r="AC151" s="377" t="str">
        <f t="shared" si="46"/>
        <v/>
      </c>
      <c r="AD151" s="378" t="str">
        <f t="shared" si="38"/>
        <v/>
      </c>
    </row>
    <row r="152" spans="1:30" x14ac:dyDescent="0.2">
      <c r="A152" s="178">
        <v>131</v>
      </c>
      <c r="B152" s="178">
        <f t="shared" si="35"/>
        <v>2143</v>
      </c>
      <c r="C152" s="292" t="str">
        <f>IF(IN_DATA!C136="","",MAX(min_oil_price,MIN(C151+C151*$L$6,max_oil_price)))</f>
        <v/>
      </c>
      <c r="D152" s="293" t="str">
        <f>IF(IN_DATA!C136="","",MAX(min_gas_price,MIN(D151+D151*$L$7,max_gas_price)))</f>
        <v/>
      </c>
      <c r="E152" s="294" t="str">
        <f>IF(IN_DATA!C136="","",MIN(E151+E151*$L$8,16))</f>
        <v/>
      </c>
      <c r="F152" s="110" t="str">
        <f>IF(O152="", "", IN_DATA!C136*365*OCF*FPF)</f>
        <v/>
      </c>
      <c r="G152" s="184" t="str">
        <f>IF(O152="","",IN_DATA!D136*365*FPF*OCF)</f>
        <v/>
      </c>
      <c r="H152" s="235" t="str">
        <f t="shared" si="39"/>
        <v/>
      </c>
      <c r="I152" s="238" t="str">
        <f t="shared" si="40"/>
        <v/>
      </c>
      <c r="J152" s="236" t="str">
        <f t="shared" si="41"/>
        <v/>
      </c>
      <c r="K152" s="239" t="str">
        <f t="shared" si="42"/>
        <v/>
      </c>
      <c r="L152" s="247" t="str">
        <f t="shared" si="47"/>
        <v/>
      </c>
      <c r="M152" s="244" t="str">
        <f>IF(I152=""," ",IF(IN_DATA!R136=1,"Primary Rec.",IF(IN_DATA!R136=2,"Water Flood",IF(IN_DATA!R136=3,"CO2 Flood",""))))</f>
        <v xml:space="preserve"> </v>
      </c>
      <c r="N152" s="109" t="str">
        <f>IF(I152="","",IF(O152=0, 0, OpCost!AD141))</f>
        <v/>
      </c>
      <c r="O152" s="187" t="str">
        <f>IF(OpCost!AE141="", "", OpCost!AE141)</f>
        <v/>
      </c>
      <c r="P152" s="251" t="str">
        <f>IF(F152="","",((IN_DATA!C136+IN_DATA!D136/10)/IN_DATA!P136))</f>
        <v/>
      </c>
      <c r="Q152" s="248" t="str">
        <f>IF(F152="","",SUM($P$21:P152)*365)</f>
        <v/>
      </c>
      <c r="R152" s="249" t="str">
        <f>IF(F152="", "", HLOOKUP(C152,'Reference-Crown Royalties'!$D$2:$AB$49,MATCH(P152,'Reference-Crown Royalties'!$A$2:$A$49,1),TRUE))</f>
        <v/>
      </c>
      <c r="S152" s="276" t="str">
        <f>IF(F152="", "", IF(IN_DATA!R136=3, CO2_Royalty_Factor, IF('Economics Summary'!A152&lt;2, IF('Economics Summary'!Q152&lt;60000, 0.05, ((60000*0.05+('Economics Summary'!Q152-60000)*R152)/'Economics Summary'!Q152)),R152)))</f>
        <v/>
      </c>
      <c r="T152" s="250" t="str">
        <f t="shared" si="43"/>
        <v/>
      </c>
      <c r="U152" s="250" t="str">
        <f t="shared" si="44"/>
        <v/>
      </c>
      <c r="V152" s="344" t="str">
        <f t="shared" si="36"/>
        <v/>
      </c>
      <c r="W152" s="257" t="str">
        <f>IF(F152="","",SUM($V$21:V152))</f>
        <v/>
      </c>
      <c r="X152" s="260" t="str">
        <f xml:space="preserve"> IF(OR(F152="",SUM(IN_DATA!$H$5:'IN_DATA'!H136)=0), "", 1-SUM(IN_DATA!$F$5:'IN_DATA'!F136)/SUM(IN_DATA!$H$5:'IN_DATA'!H136))</f>
        <v/>
      </c>
      <c r="Y152" s="307" t="str">
        <f>IF(OR(F152="",SUM(IN_DATA!$H$5:'IN_DATA'!H136)=0),"",365*(SUM(IN_DATA!$H$5:'IN_DATA'!H136)-SUM(IN_DATA!$F$5:'IN_DATA'!F136))/1000)</f>
        <v/>
      </c>
      <c r="Z152" s="346" t="str">
        <f t="shared" si="45"/>
        <v/>
      </c>
      <c r="AA152" s="370" t="str">
        <f t="shared" si="37"/>
        <v/>
      </c>
      <c r="AB152" s="373" t="str">
        <f>IF(F152="", "", IF(IN_DATA!R136=3, MAX(CO2_Royalty_Factor-Z152/10000,0), IF('Economics Summary'!A152&lt;2, IF('Economics Summary'!Q152&lt;60000, 0.05, ((60000*0.05+('Economics Summary'!Q152-60000)*R152)/'Economics Summary'!Q152)),R152)))</f>
        <v/>
      </c>
      <c r="AC152" s="377" t="str">
        <f t="shared" si="46"/>
        <v/>
      </c>
      <c r="AD152" s="378" t="str">
        <f t="shared" si="38"/>
        <v/>
      </c>
    </row>
    <row r="153" spans="1:30" x14ac:dyDescent="0.2">
      <c r="A153" s="178">
        <v>132</v>
      </c>
      <c r="B153" s="178">
        <f t="shared" si="35"/>
        <v>2144</v>
      </c>
      <c r="C153" s="292" t="str">
        <f>IF(IN_DATA!C137="","",MAX(min_oil_price,MIN(C152+C152*$L$6,max_oil_price)))</f>
        <v/>
      </c>
      <c r="D153" s="293" t="str">
        <f>IF(IN_DATA!C137="","",MAX(min_gas_price,MIN(D152+D152*$L$7,max_gas_price)))</f>
        <v/>
      </c>
      <c r="E153" s="294" t="str">
        <f>IF(IN_DATA!C137="","",MIN(E152+E152*$L$8,16))</f>
        <v/>
      </c>
      <c r="F153" s="110" t="str">
        <f>IF(O153="", "", IN_DATA!C137*365*OCF*FPF)</f>
        <v/>
      </c>
      <c r="G153" s="184" t="str">
        <f>IF(O153="","",IN_DATA!D137*365*FPF*OCF)</f>
        <v/>
      </c>
      <c r="H153" s="235" t="str">
        <f t="shared" si="39"/>
        <v/>
      </c>
      <c r="I153" s="238" t="str">
        <f t="shared" si="40"/>
        <v/>
      </c>
      <c r="J153" s="236" t="str">
        <f t="shared" si="41"/>
        <v/>
      </c>
      <c r="K153" s="239" t="str">
        <f t="shared" si="42"/>
        <v/>
      </c>
      <c r="L153" s="247" t="str">
        <f t="shared" si="47"/>
        <v/>
      </c>
      <c r="M153" s="244" t="str">
        <f>IF(I153=""," ",IF(IN_DATA!R137=1,"Primary Rec.",IF(IN_DATA!R137=2,"Water Flood",IF(IN_DATA!R137=3,"CO2 Flood",""))))</f>
        <v xml:space="preserve"> </v>
      </c>
      <c r="N153" s="109" t="str">
        <f>IF(I153="","",IF(O153=0, 0, OpCost!AD142))</f>
        <v/>
      </c>
      <c r="O153" s="187" t="str">
        <f>IF(OpCost!AE142="", "", OpCost!AE142)</f>
        <v/>
      </c>
      <c r="P153" s="251" t="str">
        <f>IF(F153="","",((IN_DATA!C137+IN_DATA!D137/10)/IN_DATA!P137))</f>
        <v/>
      </c>
      <c r="Q153" s="248" t="str">
        <f>IF(F153="","",SUM($P$21:P153)*365)</f>
        <v/>
      </c>
      <c r="R153" s="249" t="str">
        <f>IF(F153="", "", HLOOKUP(C153,'Reference-Crown Royalties'!$D$2:$AB$49,MATCH(P153,'Reference-Crown Royalties'!$A$2:$A$49,1),TRUE))</f>
        <v/>
      </c>
      <c r="S153" s="276" t="str">
        <f>IF(F153="", "", IF(IN_DATA!R137=3, CO2_Royalty_Factor, IF('Economics Summary'!A153&lt;2, IF('Economics Summary'!Q153&lt;60000, 0.05, ((60000*0.05+('Economics Summary'!Q153-60000)*R153)/'Economics Summary'!Q153)),R153)))</f>
        <v/>
      </c>
      <c r="T153" s="250" t="str">
        <f t="shared" si="43"/>
        <v/>
      </c>
      <c r="U153" s="250" t="str">
        <f t="shared" si="44"/>
        <v/>
      </c>
      <c r="V153" s="344" t="str">
        <f t="shared" si="36"/>
        <v/>
      </c>
      <c r="W153" s="257" t="str">
        <f>IF(F153="","",SUM($V$21:V153))</f>
        <v/>
      </c>
      <c r="X153" s="260" t="str">
        <f xml:space="preserve"> IF(OR(F153="",SUM(IN_DATA!$H$5:'IN_DATA'!H137)=0), "", 1-SUM(IN_DATA!$F$5:'IN_DATA'!F137)/SUM(IN_DATA!$H$5:'IN_DATA'!H137))</f>
        <v/>
      </c>
      <c r="Y153" s="307" t="str">
        <f>IF(OR(F153="",SUM(IN_DATA!$H$5:'IN_DATA'!H137)=0),"",365*(SUM(IN_DATA!$H$5:'IN_DATA'!H137)-SUM(IN_DATA!$F$5:'IN_DATA'!F137))/1000)</f>
        <v/>
      </c>
      <c r="Z153" s="346" t="str">
        <f t="shared" si="45"/>
        <v/>
      </c>
      <c r="AA153" s="370" t="str">
        <f t="shared" si="37"/>
        <v/>
      </c>
      <c r="AB153" s="373" t="str">
        <f>IF(F153="", "", IF(IN_DATA!R137=3, MAX(CO2_Royalty_Factor-Z153/10000,0), IF('Economics Summary'!A153&lt;2, IF('Economics Summary'!Q153&lt;60000, 0.05, ((60000*0.05+('Economics Summary'!Q153-60000)*R153)/'Economics Summary'!Q153)),R153)))</f>
        <v/>
      </c>
      <c r="AC153" s="377" t="str">
        <f t="shared" si="46"/>
        <v/>
      </c>
      <c r="AD153" s="378" t="str">
        <f t="shared" si="38"/>
        <v/>
      </c>
    </row>
    <row r="154" spans="1:30" x14ac:dyDescent="0.2">
      <c r="A154" s="178">
        <v>133</v>
      </c>
      <c r="B154" s="178">
        <f t="shared" si="35"/>
        <v>2145</v>
      </c>
      <c r="C154" s="292" t="str">
        <f>IF(IN_DATA!C138="","",MAX(min_oil_price,MIN(C153+C153*$L$6,max_oil_price)))</f>
        <v/>
      </c>
      <c r="D154" s="293" t="str">
        <f>IF(IN_DATA!C138="","",MAX(min_gas_price,MIN(D153+D153*$L$7,max_gas_price)))</f>
        <v/>
      </c>
      <c r="E154" s="294" t="str">
        <f>IF(IN_DATA!C138="","",MIN(E153+E153*$L$8,16))</f>
        <v/>
      </c>
      <c r="F154" s="110" t="str">
        <f>IF(O154="", "", IN_DATA!C138*365*OCF*FPF)</f>
        <v/>
      </c>
      <c r="G154" s="184" t="str">
        <f>IF(O154="","",IN_DATA!D138*365*FPF*OCF)</f>
        <v/>
      </c>
      <c r="H154" s="235" t="str">
        <f t="shared" si="39"/>
        <v/>
      </c>
      <c r="I154" s="238" t="str">
        <f t="shared" si="40"/>
        <v/>
      </c>
      <c r="J154" s="236" t="str">
        <f t="shared" si="41"/>
        <v/>
      </c>
      <c r="K154" s="239" t="str">
        <f t="shared" si="42"/>
        <v/>
      </c>
      <c r="L154" s="247" t="str">
        <f t="shared" si="47"/>
        <v/>
      </c>
      <c r="M154" s="244" t="str">
        <f>IF(I154=""," ",IF(IN_DATA!R138=1,"Primary Rec.",IF(IN_DATA!R138=2,"Water Flood",IF(IN_DATA!R138=3,"CO2 Flood",""))))</f>
        <v xml:space="preserve"> </v>
      </c>
      <c r="N154" s="109" t="str">
        <f>IF(I154="","",IF(O154=0, 0, OpCost!AD143))</f>
        <v/>
      </c>
      <c r="O154" s="187" t="str">
        <f>IF(OpCost!AE143="", "", OpCost!AE143)</f>
        <v/>
      </c>
      <c r="P154" s="251" t="str">
        <f>IF(F154="","",((IN_DATA!C138+IN_DATA!D138/10)/IN_DATA!P138))</f>
        <v/>
      </c>
      <c r="Q154" s="248" t="str">
        <f>IF(F154="","",SUM($P$21:P154)*365)</f>
        <v/>
      </c>
      <c r="R154" s="249" t="str">
        <f>IF(F154="", "", HLOOKUP(C154,'Reference-Crown Royalties'!$D$2:$AB$49,MATCH(P154,'Reference-Crown Royalties'!$A$2:$A$49,1),TRUE))</f>
        <v/>
      </c>
      <c r="S154" s="276" t="str">
        <f>IF(F154="", "", IF(IN_DATA!R138=3, CO2_Royalty_Factor, IF('Economics Summary'!A154&lt;2, IF('Economics Summary'!Q154&lt;60000, 0.05, ((60000*0.05+('Economics Summary'!Q154-60000)*R154)/'Economics Summary'!Q154)),R154)))</f>
        <v/>
      </c>
      <c r="T154" s="250" t="str">
        <f t="shared" si="43"/>
        <v/>
      </c>
      <c r="U154" s="250" t="str">
        <f t="shared" si="44"/>
        <v/>
      </c>
      <c r="V154" s="344" t="str">
        <f t="shared" si="36"/>
        <v/>
      </c>
      <c r="W154" s="257" t="str">
        <f>IF(F154="","",SUM($V$21:V154))</f>
        <v/>
      </c>
      <c r="X154" s="260" t="str">
        <f xml:space="preserve"> IF(OR(F154="",SUM(IN_DATA!$H$5:'IN_DATA'!H138)=0), "", 1-SUM(IN_DATA!$F$5:'IN_DATA'!F138)/SUM(IN_DATA!$H$5:'IN_DATA'!H138))</f>
        <v/>
      </c>
      <c r="Y154" s="307" t="str">
        <f>IF(OR(F154="",SUM(IN_DATA!$H$5:'IN_DATA'!H138)=0),"",365*(SUM(IN_DATA!$H$5:'IN_DATA'!H138)-SUM(IN_DATA!$F$5:'IN_DATA'!F138))/1000)</f>
        <v/>
      </c>
      <c r="Z154" s="346" t="str">
        <f t="shared" si="45"/>
        <v/>
      </c>
      <c r="AA154" s="370" t="str">
        <f t="shared" si="37"/>
        <v/>
      </c>
      <c r="AB154" s="373" t="str">
        <f>IF(F154="", "", IF(IN_DATA!R138=3, MAX(CO2_Royalty_Factor-Z154/10000,0), IF('Economics Summary'!A154&lt;2, IF('Economics Summary'!Q154&lt;60000, 0.05, ((60000*0.05+('Economics Summary'!Q154-60000)*R154)/'Economics Summary'!Q154)),R154)))</f>
        <v/>
      </c>
      <c r="AC154" s="377" t="str">
        <f t="shared" si="46"/>
        <v/>
      </c>
      <c r="AD154" s="378" t="str">
        <f t="shared" si="38"/>
        <v/>
      </c>
    </row>
    <row r="155" spans="1:30" x14ac:dyDescent="0.2">
      <c r="A155" s="178">
        <v>134</v>
      </c>
      <c r="B155" s="178">
        <f t="shared" si="35"/>
        <v>2146</v>
      </c>
      <c r="C155" s="292" t="str">
        <f>IF(IN_DATA!C139="","",MAX(min_oil_price,MIN(C154+C154*$L$6,max_oil_price)))</f>
        <v/>
      </c>
      <c r="D155" s="293" t="str">
        <f>IF(IN_DATA!C139="","",MAX(min_gas_price,MIN(D154+D154*$L$7,max_gas_price)))</f>
        <v/>
      </c>
      <c r="E155" s="294" t="str">
        <f>IF(IN_DATA!C139="","",MIN(E154+E154*$L$8,16))</f>
        <v/>
      </c>
      <c r="F155" s="110" t="str">
        <f>IF(O155="", "", IN_DATA!C139*365*OCF*FPF)</f>
        <v/>
      </c>
      <c r="G155" s="184" t="str">
        <f>IF(O155="","",IN_DATA!D139*365*FPF*OCF)</f>
        <v/>
      </c>
      <c r="H155" s="235" t="str">
        <f t="shared" si="39"/>
        <v/>
      </c>
      <c r="I155" s="238" t="str">
        <f t="shared" si="40"/>
        <v/>
      </c>
      <c r="J155" s="236" t="str">
        <f t="shared" si="41"/>
        <v/>
      </c>
      <c r="K155" s="239" t="str">
        <f t="shared" si="42"/>
        <v/>
      </c>
      <c r="L155" s="247" t="str">
        <f t="shared" si="47"/>
        <v/>
      </c>
      <c r="M155" s="244" t="str">
        <f>IF(I155=""," ",IF(IN_DATA!R139=1,"Primary Rec.",IF(IN_DATA!R139=2,"Water Flood",IF(IN_DATA!R139=3,"CO2 Flood",""))))</f>
        <v xml:space="preserve"> </v>
      </c>
      <c r="N155" s="109" t="str">
        <f>IF(I155="","",IF(O155=0, 0, OpCost!AD144))</f>
        <v/>
      </c>
      <c r="O155" s="187" t="str">
        <f>IF(OpCost!AE144="", "", OpCost!AE144)</f>
        <v/>
      </c>
      <c r="P155" s="251" t="str">
        <f>IF(F155="","",((IN_DATA!C139+IN_DATA!D139/10)/IN_DATA!P139))</f>
        <v/>
      </c>
      <c r="Q155" s="248" t="str">
        <f>IF(F155="","",SUM($P$21:P155)*365)</f>
        <v/>
      </c>
      <c r="R155" s="249" t="str">
        <f>IF(F155="", "", HLOOKUP(C155,'Reference-Crown Royalties'!$D$2:$AB$49,MATCH(P155,'Reference-Crown Royalties'!$A$2:$A$49,1),TRUE))</f>
        <v/>
      </c>
      <c r="S155" s="276" t="str">
        <f>IF(F155="", "", IF(IN_DATA!R139=3, CO2_Royalty_Factor, IF('Economics Summary'!A155&lt;2, IF('Economics Summary'!Q155&lt;60000, 0.05, ((60000*0.05+('Economics Summary'!Q155-60000)*R155)/'Economics Summary'!Q155)),R155)))</f>
        <v/>
      </c>
      <c r="T155" s="250" t="str">
        <f t="shared" si="43"/>
        <v/>
      </c>
      <c r="U155" s="250" t="str">
        <f t="shared" si="44"/>
        <v/>
      </c>
      <c r="V155" s="344" t="str">
        <f t="shared" si="36"/>
        <v/>
      </c>
      <c r="W155" s="257" t="str">
        <f>IF(F155="","",SUM($V$21:V155))</f>
        <v/>
      </c>
      <c r="X155" s="260" t="str">
        <f xml:space="preserve"> IF(OR(F155="",SUM(IN_DATA!$H$5:'IN_DATA'!H139)=0), "", 1-SUM(IN_DATA!$F$5:'IN_DATA'!F139)/SUM(IN_DATA!$H$5:'IN_DATA'!H139))</f>
        <v/>
      </c>
      <c r="Y155" s="307" t="str">
        <f>IF(OR(F155="",SUM(IN_DATA!$H$5:'IN_DATA'!H139)=0),"",365*(SUM(IN_DATA!$H$5:'IN_DATA'!H139)-SUM(IN_DATA!$F$5:'IN_DATA'!F139))/1000)</f>
        <v/>
      </c>
      <c r="Z155" s="346" t="str">
        <f t="shared" si="45"/>
        <v/>
      </c>
      <c r="AA155" s="370" t="str">
        <f t="shared" si="37"/>
        <v/>
      </c>
      <c r="AB155" s="373" t="str">
        <f>IF(F155="", "", IF(IN_DATA!R139=3, MAX(CO2_Royalty_Factor-Z155/10000,0), IF('Economics Summary'!A155&lt;2, IF('Economics Summary'!Q155&lt;60000, 0.05, ((60000*0.05+('Economics Summary'!Q155-60000)*R155)/'Economics Summary'!Q155)),R155)))</f>
        <v/>
      </c>
      <c r="AC155" s="377" t="str">
        <f t="shared" si="46"/>
        <v/>
      </c>
      <c r="AD155" s="378" t="str">
        <f t="shared" si="38"/>
        <v/>
      </c>
    </row>
    <row r="156" spans="1:30" x14ac:dyDescent="0.2">
      <c r="A156" s="178">
        <v>135</v>
      </c>
      <c r="B156" s="178">
        <f t="shared" si="35"/>
        <v>2147</v>
      </c>
      <c r="C156" s="292" t="str">
        <f>IF(IN_DATA!C140="","",MAX(min_oil_price,MIN(C155+C155*$L$6,max_oil_price)))</f>
        <v/>
      </c>
      <c r="D156" s="293" t="str">
        <f>IF(IN_DATA!C140="","",MAX(min_gas_price,MIN(D155+D155*$L$7,max_gas_price)))</f>
        <v/>
      </c>
      <c r="E156" s="294" t="str">
        <f>IF(IN_DATA!C140="","",MIN(E155+E155*$L$8,16))</f>
        <v/>
      </c>
      <c r="F156" s="110" t="str">
        <f>IF(O156="", "", IN_DATA!C140*365*OCF*FPF)</f>
        <v/>
      </c>
      <c r="G156" s="184" t="str">
        <f>IF(O156="","",IN_DATA!D140*365*FPF*OCF)</f>
        <v/>
      </c>
      <c r="H156" s="235" t="str">
        <f t="shared" si="39"/>
        <v/>
      </c>
      <c r="I156" s="238" t="str">
        <f t="shared" si="40"/>
        <v/>
      </c>
      <c r="J156" s="236" t="str">
        <f t="shared" si="41"/>
        <v/>
      </c>
      <c r="K156" s="239" t="str">
        <f t="shared" si="42"/>
        <v/>
      </c>
      <c r="L156" s="247" t="str">
        <f t="shared" si="47"/>
        <v/>
      </c>
      <c r="M156" s="244" t="str">
        <f>IF(I156=""," ",IF(IN_DATA!R140=1,"Primary Rec.",IF(IN_DATA!R140=2,"Water Flood",IF(IN_DATA!R140=3,"CO2 Flood",""))))</f>
        <v xml:space="preserve"> </v>
      </c>
      <c r="N156" s="109" t="str">
        <f>IF(I156="","",IF(O156=0, 0, OpCost!AD145))</f>
        <v/>
      </c>
      <c r="O156" s="187" t="str">
        <f>IF(OpCost!AE145="", "", OpCost!AE145)</f>
        <v/>
      </c>
      <c r="P156" s="251" t="str">
        <f>IF(F156="","",((IN_DATA!C140+IN_DATA!D140/10)/IN_DATA!P140))</f>
        <v/>
      </c>
      <c r="Q156" s="248" t="str">
        <f>IF(F156="","",SUM($P$21:P156)*365)</f>
        <v/>
      </c>
      <c r="R156" s="249" t="str">
        <f>IF(F156="", "", HLOOKUP(C156,'Reference-Crown Royalties'!$D$2:$AB$49,MATCH(P156,'Reference-Crown Royalties'!$A$2:$A$49,1),TRUE))</f>
        <v/>
      </c>
      <c r="S156" s="276" t="str">
        <f>IF(F156="", "", IF(IN_DATA!R140=3, CO2_Royalty_Factor, IF('Economics Summary'!A156&lt;2, IF('Economics Summary'!Q156&lt;60000, 0.05, ((60000*0.05+('Economics Summary'!Q156-60000)*R156)/'Economics Summary'!Q156)),R156)))</f>
        <v/>
      </c>
      <c r="T156" s="250" t="str">
        <f t="shared" si="43"/>
        <v/>
      </c>
      <c r="U156" s="250" t="str">
        <f t="shared" si="44"/>
        <v/>
      </c>
      <c r="V156" s="344" t="str">
        <f t="shared" si="36"/>
        <v/>
      </c>
      <c r="W156" s="257" t="str">
        <f>IF(F156="","",SUM($V$21:V156))</f>
        <v/>
      </c>
      <c r="X156" s="260" t="str">
        <f xml:space="preserve"> IF(OR(F156="",SUM(IN_DATA!$H$5:'IN_DATA'!H140)=0), "", 1-SUM(IN_DATA!$F$5:'IN_DATA'!F140)/SUM(IN_DATA!$H$5:'IN_DATA'!H140))</f>
        <v/>
      </c>
      <c r="Y156" s="307" t="str">
        <f>IF(OR(F156="",SUM(IN_DATA!$H$5:'IN_DATA'!H140)=0),"",365*(SUM(IN_DATA!$H$5:'IN_DATA'!H140)-SUM(IN_DATA!$F$5:'IN_DATA'!F140))/1000)</f>
        <v/>
      </c>
      <c r="Z156" s="346" t="str">
        <f t="shared" si="45"/>
        <v/>
      </c>
      <c r="AA156" s="370" t="str">
        <f t="shared" si="37"/>
        <v/>
      </c>
      <c r="AB156" s="373" t="str">
        <f>IF(F156="", "", IF(IN_DATA!R140=3, MAX(CO2_Royalty_Factor-Z156/10000,0), IF('Economics Summary'!A156&lt;2, IF('Economics Summary'!Q156&lt;60000, 0.05, ((60000*0.05+('Economics Summary'!Q156-60000)*R156)/'Economics Summary'!Q156)),R156)))</f>
        <v/>
      </c>
      <c r="AC156" s="377" t="str">
        <f t="shared" si="46"/>
        <v/>
      </c>
      <c r="AD156" s="378" t="str">
        <f t="shared" si="38"/>
        <v/>
      </c>
    </row>
    <row r="157" spans="1:30" x14ac:dyDescent="0.2">
      <c r="A157" s="178">
        <v>136</v>
      </c>
      <c r="B157" s="178">
        <f t="shared" si="35"/>
        <v>2148</v>
      </c>
      <c r="C157" s="292" t="str">
        <f>IF(IN_DATA!C141="","",MAX(min_oil_price,MIN(C156+C156*$L$6,max_oil_price)))</f>
        <v/>
      </c>
      <c r="D157" s="293" t="str">
        <f>IF(IN_DATA!C141="","",MAX(min_gas_price,MIN(D156+D156*$L$7,max_gas_price)))</f>
        <v/>
      </c>
      <c r="E157" s="294" t="str">
        <f>IF(IN_DATA!C141="","",MIN(E156+E156*$L$8,16))</f>
        <v/>
      </c>
      <c r="F157" s="110" t="str">
        <f>IF(O157="", "", IN_DATA!C141*365*OCF*FPF)</f>
        <v/>
      </c>
      <c r="G157" s="184" t="str">
        <f>IF(O157="","",IN_DATA!D141*365*FPF*OCF)</f>
        <v/>
      </c>
      <c r="H157" s="235" t="str">
        <f t="shared" si="39"/>
        <v/>
      </c>
      <c r="I157" s="238" t="str">
        <f t="shared" si="40"/>
        <v/>
      </c>
      <c r="J157" s="236" t="str">
        <f t="shared" si="41"/>
        <v/>
      </c>
      <c r="K157" s="239" t="str">
        <f t="shared" si="42"/>
        <v/>
      </c>
      <c r="L157" s="247" t="str">
        <f t="shared" si="47"/>
        <v/>
      </c>
      <c r="M157" s="244" t="str">
        <f>IF(I157=""," ",IF(IN_DATA!R141=1,"Primary Rec.",IF(IN_DATA!R141=2,"Water Flood",IF(IN_DATA!R141=3,"CO2 Flood",""))))</f>
        <v xml:space="preserve"> </v>
      </c>
      <c r="N157" s="109" t="str">
        <f>IF(I157="","",IF(O157=0, 0, OpCost!AD146))</f>
        <v/>
      </c>
      <c r="O157" s="187" t="str">
        <f>IF(OpCost!AE146="", "", OpCost!AE146)</f>
        <v/>
      </c>
      <c r="P157" s="251" t="str">
        <f>IF(F157="","",((IN_DATA!C141+IN_DATA!D141/10)/IN_DATA!P141))</f>
        <v/>
      </c>
      <c r="Q157" s="248" t="str">
        <f>IF(F157="","",SUM($P$21:P157)*365)</f>
        <v/>
      </c>
      <c r="R157" s="249" t="str">
        <f>IF(F157="", "", HLOOKUP(C157,'Reference-Crown Royalties'!$D$2:$AB$49,MATCH(P157,'Reference-Crown Royalties'!$A$2:$A$49,1),TRUE))</f>
        <v/>
      </c>
      <c r="S157" s="276" t="str">
        <f>IF(F157="", "", IF(IN_DATA!R141=3, CO2_Royalty_Factor, IF('Economics Summary'!A157&lt;2, IF('Economics Summary'!Q157&lt;60000, 0.05, ((60000*0.05+('Economics Summary'!Q157-60000)*R157)/'Economics Summary'!Q157)),R157)))</f>
        <v/>
      </c>
      <c r="T157" s="250" t="str">
        <f t="shared" si="43"/>
        <v/>
      </c>
      <c r="U157" s="250" t="str">
        <f t="shared" si="44"/>
        <v/>
      </c>
      <c r="V157" s="344" t="str">
        <f t="shared" si="36"/>
        <v/>
      </c>
      <c r="W157" s="257" t="str">
        <f>IF(F157="","",SUM($V$21:V157))</f>
        <v/>
      </c>
      <c r="X157" s="260" t="str">
        <f xml:space="preserve"> IF(OR(F157="",SUM(IN_DATA!$H$5:'IN_DATA'!H141)=0), "", 1-SUM(IN_DATA!$F$5:'IN_DATA'!F141)/SUM(IN_DATA!$H$5:'IN_DATA'!H141))</f>
        <v/>
      </c>
      <c r="Y157" s="307" t="str">
        <f>IF(OR(F157="",SUM(IN_DATA!$H$5:'IN_DATA'!H141)=0),"",365*(SUM(IN_DATA!$H$5:'IN_DATA'!H141)-SUM(IN_DATA!$F$5:'IN_DATA'!F141))/1000)</f>
        <v/>
      </c>
      <c r="Z157" s="346" t="str">
        <f t="shared" si="45"/>
        <v/>
      </c>
      <c r="AA157" s="370" t="str">
        <f t="shared" si="37"/>
        <v/>
      </c>
      <c r="AB157" s="373" t="str">
        <f>IF(F157="", "", IF(IN_DATA!R141=3, MAX(CO2_Royalty_Factor-Z157/10000,0), IF('Economics Summary'!A157&lt;2, IF('Economics Summary'!Q157&lt;60000, 0.05, ((60000*0.05+('Economics Summary'!Q157-60000)*R157)/'Economics Summary'!Q157)),R157)))</f>
        <v/>
      </c>
      <c r="AC157" s="377" t="str">
        <f t="shared" si="46"/>
        <v/>
      </c>
      <c r="AD157" s="378" t="str">
        <f t="shared" si="38"/>
        <v/>
      </c>
    </row>
    <row r="158" spans="1:30" x14ac:dyDescent="0.2">
      <c r="A158" s="178">
        <v>137</v>
      </c>
      <c r="B158" s="178">
        <f t="shared" si="35"/>
        <v>2149</v>
      </c>
      <c r="C158" s="292" t="str">
        <f>IF(IN_DATA!C142="","",MAX(min_oil_price,MIN(C157+C157*$L$6,max_oil_price)))</f>
        <v/>
      </c>
      <c r="D158" s="293" t="str">
        <f>IF(IN_DATA!C142="","",MAX(min_gas_price,MIN(D157+D157*$L$7,max_gas_price)))</f>
        <v/>
      </c>
      <c r="E158" s="294" t="str">
        <f>IF(IN_DATA!C142="","",MIN(E157+E157*$L$8,16))</f>
        <v/>
      </c>
      <c r="F158" s="110" t="str">
        <f>IF(O158="", "", IN_DATA!C142*365*OCF*FPF)</f>
        <v/>
      </c>
      <c r="G158" s="184" t="str">
        <f>IF(O158="","",IN_DATA!D142*365*FPF*OCF)</f>
        <v/>
      </c>
      <c r="H158" s="235" t="str">
        <f t="shared" si="39"/>
        <v/>
      </c>
      <c r="I158" s="238" t="str">
        <f t="shared" si="40"/>
        <v/>
      </c>
      <c r="J158" s="236" t="str">
        <f t="shared" si="41"/>
        <v/>
      </c>
      <c r="K158" s="239" t="str">
        <f t="shared" si="42"/>
        <v/>
      </c>
      <c r="L158" s="247" t="str">
        <f t="shared" si="47"/>
        <v/>
      </c>
      <c r="M158" s="244" t="str">
        <f>IF(I158=""," ",IF(IN_DATA!R142=1,"Primary Rec.",IF(IN_DATA!R142=2,"Water Flood",IF(IN_DATA!R142=3,"CO2 Flood",""))))</f>
        <v xml:space="preserve"> </v>
      </c>
      <c r="N158" s="109" t="str">
        <f>IF(I158="","",IF(O158=0, 0, OpCost!AD147))</f>
        <v/>
      </c>
      <c r="O158" s="187" t="str">
        <f>IF(OpCost!AE147="", "", OpCost!AE147)</f>
        <v/>
      </c>
      <c r="P158" s="251" t="str">
        <f>IF(F158="","",((IN_DATA!C142+IN_DATA!D142/10)/IN_DATA!P142))</f>
        <v/>
      </c>
      <c r="Q158" s="248" t="str">
        <f>IF(F158="","",SUM($P$21:P158)*365)</f>
        <v/>
      </c>
      <c r="R158" s="249" t="str">
        <f>IF(F158="", "", HLOOKUP(C158,'Reference-Crown Royalties'!$D$2:$AB$49,MATCH(P158,'Reference-Crown Royalties'!$A$2:$A$49,1),TRUE))</f>
        <v/>
      </c>
      <c r="S158" s="276" t="str">
        <f>IF(F158="", "", IF(IN_DATA!R142=3, CO2_Royalty_Factor, IF('Economics Summary'!A158&lt;2, IF('Economics Summary'!Q158&lt;60000, 0.05, ((60000*0.05+('Economics Summary'!Q158-60000)*R158)/'Economics Summary'!Q158)),R158)))</f>
        <v/>
      </c>
      <c r="T158" s="250" t="str">
        <f t="shared" si="43"/>
        <v/>
      </c>
      <c r="U158" s="250" t="str">
        <f t="shared" si="44"/>
        <v/>
      </c>
      <c r="V158" s="344" t="str">
        <f t="shared" si="36"/>
        <v/>
      </c>
      <c r="W158" s="257" t="str">
        <f>IF(F158="","",SUM($V$21:V158))</f>
        <v/>
      </c>
      <c r="X158" s="260" t="str">
        <f xml:space="preserve"> IF(OR(F158="",SUM(IN_DATA!$H$5:'IN_DATA'!H142)=0), "", 1-SUM(IN_DATA!$F$5:'IN_DATA'!F142)/SUM(IN_DATA!$H$5:'IN_DATA'!H142))</f>
        <v/>
      </c>
      <c r="Y158" s="307" t="str">
        <f>IF(OR(F158="",SUM(IN_DATA!$H$5:'IN_DATA'!H142)=0),"",365*(SUM(IN_DATA!$H$5:'IN_DATA'!H142)-SUM(IN_DATA!$F$5:'IN_DATA'!F142))/1000)</f>
        <v/>
      </c>
      <c r="Z158" s="346" t="str">
        <f t="shared" si="45"/>
        <v/>
      </c>
      <c r="AA158" s="370" t="str">
        <f t="shared" si="37"/>
        <v/>
      </c>
      <c r="AB158" s="373" t="str">
        <f>IF(F158="", "", IF(IN_DATA!R142=3, MAX(CO2_Royalty_Factor-Z158/10000,0), IF('Economics Summary'!A158&lt;2, IF('Economics Summary'!Q158&lt;60000, 0.05, ((60000*0.05+('Economics Summary'!Q158-60000)*R158)/'Economics Summary'!Q158)),R158)))</f>
        <v/>
      </c>
      <c r="AC158" s="377" t="str">
        <f t="shared" si="46"/>
        <v/>
      </c>
      <c r="AD158" s="378" t="str">
        <f t="shared" si="38"/>
        <v/>
      </c>
    </row>
    <row r="159" spans="1:30" x14ac:dyDescent="0.2">
      <c r="A159" s="178">
        <v>138</v>
      </c>
      <c r="B159" s="178">
        <f t="shared" si="35"/>
        <v>2150</v>
      </c>
      <c r="C159" s="292" t="str">
        <f>IF(IN_DATA!C143="","",MAX(min_oil_price,MIN(C158+C158*$L$6,max_oil_price)))</f>
        <v/>
      </c>
      <c r="D159" s="293" t="str">
        <f>IF(IN_DATA!C143="","",MAX(min_gas_price,MIN(D158+D158*$L$7,max_gas_price)))</f>
        <v/>
      </c>
      <c r="E159" s="294" t="str">
        <f>IF(IN_DATA!C143="","",MIN(E158+E158*$L$8,16))</f>
        <v/>
      </c>
      <c r="F159" s="110" t="str">
        <f>IF(O159="", "", IN_DATA!C143*365*OCF*FPF)</f>
        <v/>
      </c>
      <c r="G159" s="184" t="str">
        <f>IF(O159="","",IN_DATA!D143*365*FPF*OCF)</f>
        <v/>
      </c>
      <c r="H159" s="235" t="str">
        <f t="shared" si="39"/>
        <v/>
      </c>
      <c r="I159" s="238" t="str">
        <f t="shared" si="40"/>
        <v/>
      </c>
      <c r="J159" s="236" t="str">
        <f t="shared" si="41"/>
        <v/>
      </c>
      <c r="K159" s="239" t="str">
        <f t="shared" si="42"/>
        <v/>
      </c>
      <c r="L159" s="247" t="str">
        <f t="shared" si="47"/>
        <v/>
      </c>
      <c r="M159" s="244" t="str">
        <f>IF(I159=""," ",IF(IN_DATA!R143=1,"Primary Rec.",IF(IN_DATA!R143=2,"Water Flood",IF(IN_DATA!R143=3,"CO2 Flood",""))))</f>
        <v xml:space="preserve"> </v>
      </c>
      <c r="N159" s="109" t="str">
        <f>IF(I159="","",IF(O159=0, 0, OpCost!AD148))</f>
        <v/>
      </c>
      <c r="O159" s="187" t="str">
        <f>IF(OpCost!AE148="", "", OpCost!AE148)</f>
        <v/>
      </c>
      <c r="P159" s="251" t="str">
        <f>IF(F159="","",((IN_DATA!C143+IN_DATA!D143/10)/IN_DATA!P143))</f>
        <v/>
      </c>
      <c r="Q159" s="248" t="str">
        <f>IF(F159="","",SUM($P$21:P159)*365)</f>
        <v/>
      </c>
      <c r="R159" s="249" t="str">
        <f>IF(F159="", "", HLOOKUP(C159,'Reference-Crown Royalties'!$D$2:$AB$49,MATCH(P159,'Reference-Crown Royalties'!$A$2:$A$49,1),TRUE))</f>
        <v/>
      </c>
      <c r="S159" s="276" t="str">
        <f>IF(F159="", "", IF(IN_DATA!R143=3, CO2_Royalty_Factor, IF('Economics Summary'!A159&lt;2, IF('Economics Summary'!Q159&lt;60000, 0.05, ((60000*0.05+('Economics Summary'!Q159-60000)*R159)/'Economics Summary'!Q159)),R159)))</f>
        <v/>
      </c>
      <c r="T159" s="250" t="str">
        <f t="shared" si="43"/>
        <v/>
      </c>
      <c r="U159" s="250" t="str">
        <f t="shared" si="44"/>
        <v/>
      </c>
      <c r="V159" s="344" t="str">
        <f t="shared" si="36"/>
        <v/>
      </c>
      <c r="W159" s="257" t="str">
        <f>IF(F159="","",SUM($V$21:V159))</f>
        <v/>
      </c>
      <c r="X159" s="260" t="str">
        <f xml:space="preserve"> IF(OR(F159="",SUM(IN_DATA!$H$5:'IN_DATA'!H143)=0), "", 1-SUM(IN_DATA!$F$5:'IN_DATA'!F143)/SUM(IN_DATA!$H$5:'IN_DATA'!H143))</f>
        <v/>
      </c>
      <c r="Y159" s="307" t="str">
        <f>IF(OR(F159="",SUM(IN_DATA!$H$5:'IN_DATA'!H143)=0),"",365*(SUM(IN_DATA!$H$5:'IN_DATA'!H143)-SUM(IN_DATA!$F$5:'IN_DATA'!F143))/1000)</f>
        <v/>
      </c>
      <c r="Z159" s="346" t="str">
        <f t="shared" si="45"/>
        <v/>
      </c>
      <c r="AA159" s="370" t="str">
        <f t="shared" si="37"/>
        <v/>
      </c>
      <c r="AB159" s="373" t="str">
        <f>IF(F159="", "", IF(IN_DATA!R143=3, MAX(CO2_Royalty_Factor-Z159/10000,0), IF('Economics Summary'!A159&lt;2, IF('Economics Summary'!Q159&lt;60000, 0.05, ((60000*0.05+('Economics Summary'!Q159-60000)*R159)/'Economics Summary'!Q159)),R159)))</f>
        <v/>
      </c>
      <c r="AC159" s="377" t="str">
        <f t="shared" si="46"/>
        <v/>
      </c>
      <c r="AD159" s="378" t="str">
        <f t="shared" si="38"/>
        <v/>
      </c>
    </row>
    <row r="160" spans="1:30" x14ac:dyDescent="0.2">
      <c r="A160" s="178">
        <v>139</v>
      </c>
      <c r="B160" s="178">
        <f t="shared" si="35"/>
        <v>2151</v>
      </c>
      <c r="C160" s="292" t="str">
        <f>IF(IN_DATA!C144="","",MAX(min_oil_price,MIN(C159+C159*$L$6,max_oil_price)))</f>
        <v/>
      </c>
      <c r="D160" s="293" t="str">
        <f>IF(IN_DATA!C144="","",MAX(min_gas_price,MIN(D159+D159*$L$7,max_gas_price)))</f>
        <v/>
      </c>
      <c r="E160" s="294" t="str">
        <f>IF(IN_DATA!C144="","",MIN(E159+E159*$L$8,16))</f>
        <v/>
      </c>
      <c r="F160" s="110" t="str">
        <f>IF(O160="", "", IN_DATA!C144*365*OCF*FPF)</f>
        <v/>
      </c>
      <c r="G160" s="184" t="str">
        <f>IF(O160="","",IN_DATA!D144*365*FPF*OCF)</f>
        <v/>
      </c>
      <c r="H160" s="235" t="str">
        <f t="shared" si="39"/>
        <v/>
      </c>
      <c r="I160" s="238" t="str">
        <f t="shared" si="40"/>
        <v/>
      </c>
      <c r="J160" s="236" t="str">
        <f t="shared" si="41"/>
        <v/>
      </c>
      <c r="K160" s="239" t="str">
        <f t="shared" si="42"/>
        <v/>
      </c>
      <c r="L160" s="247" t="str">
        <f t="shared" si="47"/>
        <v/>
      </c>
      <c r="M160" s="244" t="str">
        <f>IF(I160=""," ",IF(IN_DATA!R144=1,"Primary Rec.",IF(IN_DATA!R144=2,"Water Flood",IF(IN_DATA!R144=3,"CO2 Flood",""))))</f>
        <v xml:space="preserve"> </v>
      </c>
      <c r="N160" s="109" t="str">
        <f>IF(I160="","",IF(O160=0, 0, OpCost!AD149))</f>
        <v/>
      </c>
      <c r="O160" s="187" t="str">
        <f>IF(OpCost!AE149="", "", OpCost!AE149)</f>
        <v/>
      </c>
      <c r="P160" s="251" t="str">
        <f>IF(F160="","",((IN_DATA!C144+IN_DATA!D144/10)/IN_DATA!P144))</f>
        <v/>
      </c>
      <c r="Q160" s="248" t="str">
        <f>IF(F160="","",SUM($P$21:P160)*365)</f>
        <v/>
      </c>
      <c r="R160" s="249" t="str">
        <f>IF(F160="", "", HLOOKUP(C160,'Reference-Crown Royalties'!$D$2:$AB$49,MATCH(P160,'Reference-Crown Royalties'!$A$2:$A$49,1),TRUE))</f>
        <v/>
      </c>
      <c r="S160" s="276" t="str">
        <f>IF(F160="", "", IF(IN_DATA!R144=3, CO2_Royalty_Factor, IF('Economics Summary'!A160&lt;2, IF('Economics Summary'!Q160&lt;60000, 0.05, ((60000*0.05+('Economics Summary'!Q160-60000)*R160)/'Economics Summary'!Q160)),R160)))</f>
        <v/>
      </c>
      <c r="T160" s="250" t="str">
        <f t="shared" si="43"/>
        <v/>
      </c>
      <c r="U160" s="250" t="str">
        <f t="shared" si="44"/>
        <v/>
      </c>
      <c r="V160" s="344" t="str">
        <f t="shared" si="36"/>
        <v/>
      </c>
      <c r="W160" s="257" t="str">
        <f>IF(F160="","",SUM($V$21:V160))</f>
        <v/>
      </c>
      <c r="X160" s="260" t="str">
        <f xml:space="preserve"> IF(OR(F160="",SUM(IN_DATA!$H$5:'IN_DATA'!H144)=0), "", 1-SUM(IN_DATA!$F$5:'IN_DATA'!F144)/SUM(IN_DATA!$H$5:'IN_DATA'!H144))</f>
        <v/>
      </c>
      <c r="Y160" s="307" t="str">
        <f>IF(OR(F160="",SUM(IN_DATA!$H$5:'IN_DATA'!H144)=0),"",365*(SUM(IN_DATA!$H$5:'IN_DATA'!H144)-SUM(IN_DATA!$F$5:'IN_DATA'!F144))/1000)</f>
        <v/>
      </c>
      <c r="Z160" s="346" t="str">
        <f t="shared" si="45"/>
        <v/>
      </c>
      <c r="AA160" s="370" t="str">
        <f t="shared" si="37"/>
        <v/>
      </c>
      <c r="AB160" s="373" t="str">
        <f>IF(F160="", "", IF(IN_DATA!R144=3, MAX(CO2_Royalty_Factor-Z160/10000,0), IF('Economics Summary'!A160&lt;2, IF('Economics Summary'!Q160&lt;60000, 0.05, ((60000*0.05+('Economics Summary'!Q160-60000)*R160)/'Economics Summary'!Q160)),R160)))</f>
        <v/>
      </c>
      <c r="AC160" s="377" t="str">
        <f t="shared" si="46"/>
        <v/>
      </c>
      <c r="AD160" s="378" t="str">
        <f t="shared" si="38"/>
        <v/>
      </c>
    </row>
    <row r="161" spans="1:30" x14ac:dyDescent="0.2">
      <c r="A161" s="178">
        <v>140</v>
      </c>
      <c r="B161" s="178">
        <f t="shared" si="35"/>
        <v>2152</v>
      </c>
      <c r="C161" s="292" t="str">
        <f>IF(IN_DATA!C145="","",MAX(min_oil_price,MIN(C160+C160*$L$6,max_oil_price)))</f>
        <v/>
      </c>
      <c r="D161" s="293" t="str">
        <f>IF(IN_DATA!C145="","",MAX(min_gas_price,MIN(D160+D160*$L$7,max_gas_price)))</f>
        <v/>
      </c>
      <c r="E161" s="294" t="str">
        <f>IF(IN_DATA!C145="","",MIN(E160+E160*$L$8,16))</f>
        <v/>
      </c>
      <c r="F161" s="110" t="str">
        <f>IF(O161="", "", IN_DATA!C145*365*OCF*FPF)</f>
        <v/>
      </c>
      <c r="G161" s="184" t="str">
        <f>IF(O161="","",IN_DATA!D145*365*FPF*OCF)</f>
        <v/>
      </c>
      <c r="H161" s="235" t="str">
        <f t="shared" si="39"/>
        <v/>
      </c>
      <c r="I161" s="238" t="str">
        <f t="shared" si="40"/>
        <v/>
      </c>
      <c r="J161" s="236" t="str">
        <f t="shared" si="41"/>
        <v/>
      </c>
      <c r="K161" s="239" t="str">
        <f t="shared" si="42"/>
        <v/>
      </c>
      <c r="L161" s="247" t="str">
        <f t="shared" si="47"/>
        <v/>
      </c>
      <c r="M161" s="244" t="str">
        <f>IF(I161=""," ",IF(IN_DATA!R145=1,"Primary Rec.",IF(IN_DATA!R145=2,"Water Flood",IF(IN_DATA!R145=3,"CO2 Flood",""))))</f>
        <v xml:space="preserve"> </v>
      </c>
      <c r="N161" s="109" t="str">
        <f>IF(I161="","",IF(O161=0, 0, OpCost!AD150))</f>
        <v/>
      </c>
      <c r="O161" s="187" t="str">
        <f>IF(OpCost!AE150="", "", OpCost!AE150)</f>
        <v/>
      </c>
      <c r="P161" s="251" t="str">
        <f>IF(F161="","",((IN_DATA!C145+IN_DATA!D145/10)/IN_DATA!P145))</f>
        <v/>
      </c>
      <c r="Q161" s="248" t="str">
        <f>IF(F161="","",SUM($P$21:P161)*365)</f>
        <v/>
      </c>
      <c r="R161" s="249" t="str">
        <f>IF(F161="", "", HLOOKUP(C161,'Reference-Crown Royalties'!$D$2:$AB$49,MATCH(P161,'Reference-Crown Royalties'!$A$2:$A$49,1),TRUE))</f>
        <v/>
      </c>
      <c r="S161" s="276" t="str">
        <f>IF(F161="", "", IF(IN_DATA!R145=3, CO2_Royalty_Factor, IF('Economics Summary'!A161&lt;2, IF('Economics Summary'!Q161&lt;60000, 0.05, ((60000*0.05+('Economics Summary'!Q161-60000)*R161)/'Economics Summary'!Q161)),R161)))</f>
        <v/>
      </c>
      <c r="T161" s="250" t="str">
        <f t="shared" si="43"/>
        <v/>
      </c>
      <c r="U161" s="250" t="str">
        <f t="shared" si="44"/>
        <v/>
      </c>
      <c r="V161" s="344" t="str">
        <f t="shared" si="36"/>
        <v/>
      </c>
      <c r="W161" s="257" t="str">
        <f>IF(F161="","",SUM($V$21:V161))</f>
        <v/>
      </c>
      <c r="X161" s="260" t="str">
        <f xml:space="preserve"> IF(OR(F161="",SUM(IN_DATA!$H$5:'IN_DATA'!H145)=0), "", 1-SUM(IN_DATA!$F$5:'IN_DATA'!F145)/SUM(IN_DATA!$H$5:'IN_DATA'!H145))</f>
        <v/>
      </c>
      <c r="Y161" s="307" t="str">
        <f>IF(OR(F161="",SUM(IN_DATA!$H$5:'IN_DATA'!H145)=0),"",365*(SUM(IN_DATA!$H$5:'IN_DATA'!H145)-SUM(IN_DATA!$F$5:'IN_DATA'!F145))/1000)</f>
        <v/>
      </c>
      <c r="Z161" s="346" t="str">
        <f t="shared" si="45"/>
        <v/>
      </c>
      <c r="AA161" s="370" t="str">
        <f t="shared" si="37"/>
        <v/>
      </c>
      <c r="AB161" s="373" t="str">
        <f>IF(F161="", "", IF(IN_DATA!R145=3, MAX(CO2_Royalty_Factor-Z161/10000,0), IF('Economics Summary'!A161&lt;2, IF('Economics Summary'!Q161&lt;60000, 0.05, ((60000*0.05+('Economics Summary'!Q161-60000)*R161)/'Economics Summary'!Q161)),R161)))</f>
        <v/>
      </c>
      <c r="AC161" s="377" t="str">
        <f t="shared" si="46"/>
        <v/>
      </c>
      <c r="AD161" s="378" t="str">
        <f t="shared" si="38"/>
        <v/>
      </c>
    </row>
    <row r="162" spans="1:30" x14ac:dyDescent="0.2">
      <c r="A162" s="178">
        <v>141</v>
      </c>
      <c r="B162" s="178">
        <f t="shared" si="35"/>
        <v>2153</v>
      </c>
      <c r="C162" s="292" t="str">
        <f>IF(IN_DATA!C146="","",MAX(min_oil_price,MIN(C161+C161*$L$6,max_oil_price)))</f>
        <v/>
      </c>
      <c r="D162" s="293" t="str">
        <f>IF(IN_DATA!C146="","",MAX(min_gas_price,MIN(D161+D161*$L$7,max_gas_price)))</f>
        <v/>
      </c>
      <c r="E162" s="294" t="str">
        <f>IF(IN_DATA!C146="","",MIN(E161+E161*$L$8,16))</f>
        <v/>
      </c>
      <c r="F162" s="110" t="str">
        <f>IF(O162="", "", IN_DATA!C146*365*OCF*FPF)</f>
        <v/>
      </c>
      <c r="G162" s="184" t="str">
        <f>IF(O162="","",IN_DATA!D146*365*FPF*OCF)</f>
        <v/>
      </c>
      <c r="H162" s="235" t="str">
        <f t="shared" si="39"/>
        <v/>
      </c>
      <c r="I162" s="238" t="str">
        <f t="shared" si="40"/>
        <v/>
      </c>
      <c r="J162" s="236" t="str">
        <f t="shared" si="41"/>
        <v/>
      </c>
      <c r="K162" s="239" t="str">
        <f t="shared" si="42"/>
        <v/>
      </c>
      <c r="L162" s="247" t="str">
        <f t="shared" si="47"/>
        <v/>
      </c>
      <c r="M162" s="244" t="str">
        <f>IF(I162=""," ",IF(IN_DATA!R146=1,"Primary Rec.",IF(IN_DATA!R146=2,"Water Flood",IF(IN_DATA!R146=3,"CO2 Flood",""))))</f>
        <v xml:space="preserve"> </v>
      </c>
      <c r="N162" s="109" t="str">
        <f>IF(I162="","",IF(O162=0, 0, OpCost!AD151))</f>
        <v/>
      </c>
      <c r="O162" s="187" t="str">
        <f>IF(OpCost!AE151="", "", OpCost!AE151)</f>
        <v/>
      </c>
      <c r="P162" s="251" t="str">
        <f>IF(F162="","",((IN_DATA!C146+IN_DATA!D146/10)/IN_DATA!P146))</f>
        <v/>
      </c>
      <c r="Q162" s="248" t="str">
        <f>IF(F162="","",SUM($P$21:P162)*365)</f>
        <v/>
      </c>
      <c r="R162" s="249" t="str">
        <f>IF(F162="", "", HLOOKUP(C162,'Reference-Crown Royalties'!$D$2:$AB$49,MATCH(P162,'Reference-Crown Royalties'!$A$2:$A$49,1),TRUE))</f>
        <v/>
      </c>
      <c r="S162" s="276" t="str">
        <f>IF(F162="", "", IF(IN_DATA!R146=3, CO2_Royalty_Factor, IF('Economics Summary'!A162&lt;2, IF('Economics Summary'!Q162&lt;60000, 0.05, ((60000*0.05+('Economics Summary'!Q162-60000)*R162)/'Economics Summary'!Q162)),R162)))</f>
        <v/>
      </c>
      <c r="T162" s="250" t="str">
        <f t="shared" si="43"/>
        <v/>
      </c>
      <c r="U162" s="250" t="str">
        <f t="shared" si="44"/>
        <v/>
      </c>
      <c r="V162" s="344" t="str">
        <f t="shared" si="36"/>
        <v/>
      </c>
      <c r="W162" s="257" t="str">
        <f>IF(F162="","",SUM($V$21:V162))</f>
        <v/>
      </c>
      <c r="X162" s="260" t="str">
        <f xml:space="preserve"> IF(OR(F162="",SUM(IN_DATA!$H$5:'IN_DATA'!H146)=0), "", 1-SUM(IN_DATA!$F$5:'IN_DATA'!F146)/SUM(IN_DATA!$H$5:'IN_DATA'!H146))</f>
        <v/>
      </c>
      <c r="Y162" s="307" t="str">
        <f>IF(OR(F162="",SUM(IN_DATA!$H$5:'IN_DATA'!H146)=0),"",365*(SUM(IN_DATA!$H$5:'IN_DATA'!H146)-SUM(IN_DATA!$F$5:'IN_DATA'!F146))/1000)</f>
        <v/>
      </c>
      <c r="Z162" s="346" t="str">
        <f t="shared" si="45"/>
        <v/>
      </c>
      <c r="AA162" s="370" t="str">
        <f t="shared" si="37"/>
        <v/>
      </c>
      <c r="AB162" s="373" t="str">
        <f>IF(F162="", "", IF(IN_DATA!R146=3, MAX(CO2_Royalty_Factor-Z162/10000,0), IF('Economics Summary'!A162&lt;2, IF('Economics Summary'!Q162&lt;60000, 0.05, ((60000*0.05+('Economics Summary'!Q162-60000)*R162)/'Economics Summary'!Q162)),R162)))</f>
        <v/>
      </c>
      <c r="AC162" s="377" t="str">
        <f t="shared" si="46"/>
        <v/>
      </c>
      <c r="AD162" s="378" t="str">
        <f t="shared" si="38"/>
        <v/>
      </c>
    </row>
    <row r="163" spans="1:30" x14ac:dyDescent="0.2">
      <c r="A163" s="178">
        <v>142</v>
      </c>
      <c r="B163" s="178">
        <f t="shared" si="35"/>
        <v>2154</v>
      </c>
      <c r="C163" s="292" t="str">
        <f>IF(IN_DATA!C147="","",MAX(min_oil_price,MIN(C162+C162*$L$6,max_oil_price)))</f>
        <v/>
      </c>
      <c r="D163" s="293" t="str">
        <f>IF(IN_DATA!C147="","",MAX(min_gas_price,MIN(D162+D162*$L$7,max_gas_price)))</f>
        <v/>
      </c>
      <c r="E163" s="294" t="str">
        <f>IF(IN_DATA!C147="","",MIN(E162+E162*$L$8,16))</f>
        <v/>
      </c>
      <c r="F163" s="110" t="str">
        <f>IF(O163="", "", IN_DATA!C147*365*OCF*FPF)</f>
        <v/>
      </c>
      <c r="G163" s="184" t="str">
        <f>IF(O163="","",IN_DATA!D147*365*FPF*OCF)</f>
        <v/>
      </c>
      <c r="H163" s="235" t="str">
        <f t="shared" si="39"/>
        <v/>
      </c>
      <c r="I163" s="238" t="str">
        <f t="shared" si="40"/>
        <v/>
      </c>
      <c r="J163" s="236" t="str">
        <f t="shared" si="41"/>
        <v/>
      </c>
      <c r="K163" s="239" t="str">
        <f t="shared" si="42"/>
        <v/>
      </c>
      <c r="L163" s="247" t="str">
        <f t="shared" si="47"/>
        <v/>
      </c>
      <c r="M163" s="244" t="str">
        <f>IF(I163=""," ",IF(IN_DATA!R147=1,"Primary Rec.",IF(IN_DATA!R147=2,"Water Flood",IF(IN_DATA!R147=3,"CO2 Flood",""))))</f>
        <v xml:space="preserve"> </v>
      </c>
      <c r="N163" s="109" t="str">
        <f>IF(I163="","",IF(O163=0, 0, OpCost!AD152))</f>
        <v/>
      </c>
      <c r="O163" s="187" t="str">
        <f>IF(OpCost!AE152="", "", OpCost!AE152)</f>
        <v/>
      </c>
      <c r="P163" s="251" t="str">
        <f>IF(F163="","",((IN_DATA!C147+IN_DATA!D147/10)/IN_DATA!P147))</f>
        <v/>
      </c>
      <c r="Q163" s="248" t="str">
        <f>IF(F163="","",SUM($P$21:P163)*365)</f>
        <v/>
      </c>
      <c r="R163" s="249" t="str">
        <f>IF(F163="", "", HLOOKUP(C163,'Reference-Crown Royalties'!$D$2:$AB$49,MATCH(P163,'Reference-Crown Royalties'!$A$2:$A$49,1),TRUE))</f>
        <v/>
      </c>
      <c r="S163" s="276" t="str">
        <f>IF(F163="", "", IF(IN_DATA!R147=3, CO2_Royalty_Factor, IF('Economics Summary'!A163&lt;2, IF('Economics Summary'!Q163&lt;60000, 0.05, ((60000*0.05+('Economics Summary'!Q163-60000)*R163)/'Economics Summary'!Q163)),R163)))</f>
        <v/>
      </c>
      <c r="T163" s="250" t="str">
        <f t="shared" si="43"/>
        <v/>
      </c>
      <c r="U163" s="250" t="str">
        <f t="shared" si="44"/>
        <v/>
      </c>
      <c r="V163" s="344" t="str">
        <f t="shared" si="36"/>
        <v/>
      </c>
      <c r="W163" s="257" t="str">
        <f>IF(F163="","",SUM($V$21:V163))</f>
        <v/>
      </c>
      <c r="X163" s="260" t="str">
        <f xml:space="preserve"> IF(OR(F163="",SUM(IN_DATA!$H$5:'IN_DATA'!H147)=0), "", 1-SUM(IN_DATA!$F$5:'IN_DATA'!F147)/SUM(IN_DATA!$H$5:'IN_DATA'!H147))</f>
        <v/>
      </c>
      <c r="Y163" s="307" t="str">
        <f>IF(OR(F163="",SUM(IN_DATA!$H$5:'IN_DATA'!H147)=0),"",365*(SUM(IN_DATA!$H$5:'IN_DATA'!H147)-SUM(IN_DATA!$F$5:'IN_DATA'!F147))/1000)</f>
        <v/>
      </c>
      <c r="Z163" s="346" t="str">
        <f t="shared" si="45"/>
        <v/>
      </c>
      <c r="AA163" s="370" t="str">
        <f t="shared" si="37"/>
        <v/>
      </c>
      <c r="AB163" s="373" t="str">
        <f>IF(F163="", "", IF(IN_DATA!R147=3, MAX(CO2_Royalty_Factor-Z163/10000,0), IF('Economics Summary'!A163&lt;2, IF('Economics Summary'!Q163&lt;60000, 0.05, ((60000*0.05+('Economics Summary'!Q163-60000)*R163)/'Economics Summary'!Q163)),R163)))</f>
        <v/>
      </c>
      <c r="AC163" s="377" t="str">
        <f t="shared" si="46"/>
        <v/>
      </c>
      <c r="AD163" s="378" t="str">
        <f t="shared" si="38"/>
        <v/>
      </c>
    </row>
    <row r="164" spans="1:30" x14ac:dyDescent="0.2">
      <c r="A164" s="178">
        <v>143</v>
      </c>
      <c r="B164" s="178">
        <f t="shared" si="35"/>
        <v>2155</v>
      </c>
      <c r="C164" s="292" t="str">
        <f>IF(IN_DATA!C148="","",MAX(min_oil_price,MIN(C163+C163*$L$6,max_oil_price)))</f>
        <v/>
      </c>
      <c r="D164" s="293" t="str">
        <f>IF(IN_DATA!C148="","",MAX(min_gas_price,MIN(D163+D163*$L$7,max_gas_price)))</f>
        <v/>
      </c>
      <c r="E164" s="294" t="str">
        <f>IF(IN_DATA!C148="","",MIN(E163+E163*$L$8,16))</f>
        <v/>
      </c>
      <c r="F164" s="110" t="str">
        <f>IF(O164="", "", IN_DATA!C148*365*OCF*FPF)</f>
        <v/>
      </c>
      <c r="G164" s="184" t="str">
        <f>IF(O164="","",IN_DATA!D148*365*FPF*OCF)</f>
        <v/>
      </c>
      <c r="H164" s="235" t="str">
        <f t="shared" si="39"/>
        <v/>
      </c>
      <c r="I164" s="238" t="str">
        <f t="shared" si="40"/>
        <v/>
      </c>
      <c r="J164" s="236" t="str">
        <f t="shared" si="41"/>
        <v/>
      </c>
      <c r="K164" s="239" t="str">
        <f t="shared" si="42"/>
        <v/>
      </c>
      <c r="L164" s="247" t="str">
        <f t="shared" si="47"/>
        <v/>
      </c>
      <c r="M164" s="244" t="str">
        <f>IF(I164=""," ",IF(IN_DATA!R148=1,"Primary Rec.",IF(IN_DATA!R148=2,"Water Flood",IF(IN_DATA!R148=3,"CO2 Flood",""))))</f>
        <v xml:space="preserve"> </v>
      </c>
      <c r="N164" s="109" t="str">
        <f>IF(I164="","",IF(O164=0, 0, OpCost!AD153))</f>
        <v/>
      </c>
      <c r="O164" s="187" t="str">
        <f>IF(OpCost!AE153="", "", OpCost!AE153)</f>
        <v/>
      </c>
      <c r="P164" s="251" t="str">
        <f>IF(F164="","",((IN_DATA!C148+IN_DATA!D148/10)/IN_DATA!P148))</f>
        <v/>
      </c>
      <c r="Q164" s="248" t="str">
        <f>IF(F164="","",SUM($P$21:P164)*365)</f>
        <v/>
      </c>
      <c r="R164" s="249" t="str">
        <f>IF(F164="", "", HLOOKUP(C164,'Reference-Crown Royalties'!$D$2:$AB$49,MATCH(P164,'Reference-Crown Royalties'!$A$2:$A$49,1),TRUE))</f>
        <v/>
      </c>
      <c r="S164" s="276" t="str">
        <f>IF(F164="", "", IF(IN_DATA!R148=3, CO2_Royalty_Factor, IF('Economics Summary'!A164&lt;2, IF('Economics Summary'!Q164&lt;60000, 0.05, ((60000*0.05+('Economics Summary'!Q164-60000)*R164)/'Economics Summary'!Q164)),R164)))</f>
        <v/>
      </c>
      <c r="T164" s="250" t="str">
        <f t="shared" si="43"/>
        <v/>
      </c>
      <c r="U164" s="250" t="str">
        <f t="shared" si="44"/>
        <v/>
      </c>
      <c r="V164" s="344" t="str">
        <f t="shared" si="36"/>
        <v/>
      </c>
      <c r="W164" s="257" t="str">
        <f>IF(F164="","",SUM($V$21:V164))</f>
        <v/>
      </c>
      <c r="X164" s="260" t="str">
        <f xml:space="preserve"> IF(OR(F164="",SUM(IN_DATA!$H$5:'IN_DATA'!H148)=0), "", 1-SUM(IN_DATA!$F$5:'IN_DATA'!F148)/SUM(IN_DATA!$H$5:'IN_DATA'!H148))</f>
        <v/>
      </c>
      <c r="Y164" s="307" t="str">
        <f>IF(OR(F164="",SUM(IN_DATA!$H$5:'IN_DATA'!H148)=0),"",365*(SUM(IN_DATA!$H$5:'IN_DATA'!H148)-SUM(IN_DATA!$F$5:'IN_DATA'!F148))/1000)</f>
        <v/>
      </c>
      <c r="Z164" s="346" t="str">
        <f t="shared" si="45"/>
        <v/>
      </c>
      <c r="AA164" s="370" t="str">
        <f t="shared" si="37"/>
        <v/>
      </c>
      <c r="AB164" s="373" t="str">
        <f>IF(F164="", "", IF(IN_DATA!R148=3, MAX(CO2_Royalty_Factor-Z164/10000,0), IF('Economics Summary'!A164&lt;2, IF('Economics Summary'!Q164&lt;60000, 0.05, ((60000*0.05+('Economics Summary'!Q164-60000)*R164)/'Economics Summary'!Q164)),R164)))</f>
        <v/>
      </c>
      <c r="AC164" s="377" t="str">
        <f t="shared" si="46"/>
        <v/>
      </c>
      <c r="AD164" s="378" t="str">
        <f t="shared" si="38"/>
        <v/>
      </c>
    </row>
    <row r="165" spans="1:30" x14ac:dyDescent="0.2">
      <c r="A165" s="178">
        <v>144</v>
      </c>
      <c r="B165" s="178">
        <f t="shared" si="35"/>
        <v>2156</v>
      </c>
      <c r="C165" s="292" t="str">
        <f>IF(IN_DATA!C149="","",MAX(min_oil_price,MIN(C164+C164*$L$6,max_oil_price)))</f>
        <v/>
      </c>
      <c r="D165" s="293" t="str">
        <f>IF(IN_DATA!C149="","",MAX(min_gas_price,MIN(D164+D164*$L$7,max_gas_price)))</f>
        <v/>
      </c>
      <c r="E165" s="294" t="str">
        <f>IF(IN_DATA!C149="","",MIN(E164+E164*$L$8,16))</f>
        <v/>
      </c>
      <c r="F165" s="110" t="str">
        <f>IF(O165="", "", IN_DATA!C149*365*OCF*FPF)</f>
        <v/>
      </c>
      <c r="G165" s="184" t="str">
        <f>IF(O165="","",IN_DATA!D149*365*FPF*OCF)</f>
        <v/>
      </c>
      <c r="H165" s="235" t="str">
        <f t="shared" si="39"/>
        <v/>
      </c>
      <c r="I165" s="238" t="str">
        <f t="shared" si="40"/>
        <v/>
      </c>
      <c r="J165" s="236" t="str">
        <f t="shared" si="41"/>
        <v/>
      </c>
      <c r="K165" s="239" t="str">
        <f t="shared" si="42"/>
        <v/>
      </c>
      <c r="L165" s="247" t="str">
        <f t="shared" si="47"/>
        <v/>
      </c>
      <c r="M165" s="244" t="str">
        <f>IF(I165=""," ",IF(IN_DATA!R149=1,"Primary Rec.",IF(IN_DATA!R149=2,"Water Flood",IF(IN_DATA!R149=3,"CO2 Flood",""))))</f>
        <v xml:space="preserve"> </v>
      </c>
      <c r="N165" s="109" t="str">
        <f>IF(I165="","",IF(O165=0, 0, OpCost!AD154))</f>
        <v/>
      </c>
      <c r="O165" s="187" t="str">
        <f>IF(OpCost!AE154="", "", OpCost!AE154)</f>
        <v/>
      </c>
      <c r="P165" s="251" t="str">
        <f>IF(F165="","",((IN_DATA!C149+IN_DATA!D149/10)/IN_DATA!P149))</f>
        <v/>
      </c>
      <c r="Q165" s="248" t="str">
        <f>IF(F165="","",SUM($P$21:P165)*365)</f>
        <v/>
      </c>
      <c r="R165" s="249" t="str">
        <f>IF(F165="", "", HLOOKUP(C165,'Reference-Crown Royalties'!$D$2:$AB$49,MATCH(P165,'Reference-Crown Royalties'!$A$2:$A$49,1),TRUE))</f>
        <v/>
      </c>
      <c r="S165" s="276" t="str">
        <f>IF(F165="", "", IF(IN_DATA!R149=3, CO2_Royalty_Factor, IF('Economics Summary'!A165&lt;2, IF('Economics Summary'!Q165&lt;60000, 0.05, ((60000*0.05+('Economics Summary'!Q165-60000)*R165)/'Economics Summary'!Q165)),R165)))</f>
        <v/>
      </c>
      <c r="T165" s="250" t="str">
        <f t="shared" si="43"/>
        <v/>
      </c>
      <c r="U165" s="250" t="str">
        <f t="shared" si="44"/>
        <v/>
      </c>
      <c r="V165" s="344" t="str">
        <f t="shared" si="36"/>
        <v/>
      </c>
      <c r="W165" s="257" t="str">
        <f>IF(F165="","",SUM($V$21:V165))</f>
        <v/>
      </c>
      <c r="X165" s="260" t="str">
        <f xml:space="preserve"> IF(OR(F165="",SUM(IN_DATA!$H$5:'IN_DATA'!H149)=0), "", 1-SUM(IN_DATA!$F$5:'IN_DATA'!F149)/SUM(IN_DATA!$H$5:'IN_DATA'!H149))</f>
        <v/>
      </c>
      <c r="Y165" s="307" t="str">
        <f>IF(OR(F165="",SUM(IN_DATA!$H$5:'IN_DATA'!H149)=0),"",365*(SUM(IN_DATA!$H$5:'IN_DATA'!H149)-SUM(IN_DATA!$F$5:'IN_DATA'!F149))/1000)</f>
        <v/>
      </c>
      <c r="Z165" s="346" t="str">
        <f t="shared" si="45"/>
        <v/>
      </c>
      <c r="AA165" s="370" t="str">
        <f t="shared" si="37"/>
        <v/>
      </c>
      <c r="AB165" s="373" t="str">
        <f>IF(F165="", "", IF(IN_DATA!R149=3, MAX(CO2_Royalty_Factor-Z165/10000,0), IF('Economics Summary'!A165&lt;2, IF('Economics Summary'!Q165&lt;60000, 0.05, ((60000*0.05+('Economics Summary'!Q165-60000)*R165)/'Economics Summary'!Q165)),R165)))</f>
        <v/>
      </c>
      <c r="AC165" s="377" t="str">
        <f t="shared" si="46"/>
        <v/>
      </c>
      <c r="AD165" s="378" t="str">
        <f t="shared" si="38"/>
        <v/>
      </c>
    </row>
    <row r="166" spans="1:30" x14ac:dyDescent="0.2">
      <c r="A166" s="178">
        <v>145</v>
      </c>
      <c r="B166" s="178">
        <f t="shared" si="35"/>
        <v>2157</v>
      </c>
      <c r="C166" s="292" t="str">
        <f>IF(IN_DATA!C150="","",MAX(min_oil_price,MIN(C165+C165*$L$6,max_oil_price)))</f>
        <v/>
      </c>
      <c r="D166" s="293" t="str">
        <f>IF(IN_DATA!C150="","",MAX(min_gas_price,MIN(D165+D165*$L$7,max_gas_price)))</f>
        <v/>
      </c>
      <c r="E166" s="294" t="str">
        <f>IF(IN_DATA!C150="","",MIN(E165+E165*$L$8,16))</f>
        <v/>
      </c>
      <c r="F166" s="110" t="str">
        <f>IF(O166="", "", IN_DATA!C150*365*OCF*FPF)</f>
        <v/>
      </c>
      <c r="G166" s="184" t="str">
        <f>IF(O166="","",IN_DATA!D150*365*FPF*OCF)</f>
        <v/>
      </c>
      <c r="H166" s="235" t="str">
        <f t="shared" si="39"/>
        <v/>
      </c>
      <c r="I166" s="238" t="str">
        <f t="shared" si="40"/>
        <v/>
      </c>
      <c r="J166" s="236" t="str">
        <f t="shared" si="41"/>
        <v/>
      </c>
      <c r="K166" s="239" t="str">
        <f t="shared" si="42"/>
        <v/>
      </c>
      <c r="L166" s="247" t="str">
        <f t="shared" si="47"/>
        <v/>
      </c>
      <c r="M166" s="244" t="str">
        <f>IF(I166=""," ",IF(IN_DATA!R150=1,"Primary Rec.",IF(IN_DATA!R150=2,"Water Flood",IF(IN_DATA!R150=3,"CO2 Flood",""))))</f>
        <v xml:space="preserve"> </v>
      </c>
      <c r="N166" s="109" t="str">
        <f>IF(I166="","",IF(O166=0, 0, OpCost!AD155))</f>
        <v/>
      </c>
      <c r="O166" s="187" t="str">
        <f>IF(OpCost!AE155="", "", OpCost!AE155)</f>
        <v/>
      </c>
      <c r="P166" s="251" t="str">
        <f>IF(F166="","",((IN_DATA!C150+IN_DATA!D150/10)/IN_DATA!P150))</f>
        <v/>
      </c>
      <c r="Q166" s="248" t="str">
        <f>IF(F166="","",SUM($P$21:P166)*365)</f>
        <v/>
      </c>
      <c r="R166" s="249" t="str">
        <f>IF(F166="", "", HLOOKUP(C166,'Reference-Crown Royalties'!$D$2:$AB$49,MATCH(P166,'Reference-Crown Royalties'!$A$2:$A$49,1),TRUE))</f>
        <v/>
      </c>
      <c r="S166" s="276" t="str">
        <f>IF(F166="", "", IF(IN_DATA!R150=3, CO2_Royalty_Factor, IF('Economics Summary'!A166&lt;2, IF('Economics Summary'!Q166&lt;60000, 0.05, ((60000*0.05+('Economics Summary'!Q166-60000)*R166)/'Economics Summary'!Q166)),R166)))</f>
        <v/>
      </c>
      <c r="T166" s="250" t="str">
        <f t="shared" si="43"/>
        <v/>
      </c>
      <c r="U166" s="250" t="str">
        <f t="shared" si="44"/>
        <v/>
      </c>
      <c r="V166" s="344" t="str">
        <f t="shared" si="36"/>
        <v/>
      </c>
      <c r="W166" s="257" t="str">
        <f>IF(F166="","",SUM($V$21:V166))</f>
        <v/>
      </c>
      <c r="X166" s="260" t="str">
        <f xml:space="preserve"> IF(OR(F166="",SUM(IN_DATA!$H$5:'IN_DATA'!H150)=0), "", 1-SUM(IN_DATA!$F$5:'IN_DATA'!F150)/SUM(IN_DATA!$H$5:'IN_DATA'!H150))</f>
        <v/>
      </c>
      <c r="Y166" s="307" t="str">
        <f>IF(OR(F166="",SUM(IN_DATA!$H$5:'IN_DATA'!H150)=0),"",365*(SUM(IN_DATA!$H$5:'IN_DATA'!H150)-SUM(IN_DATA!$F$5:'IN_DATA'!F150))/1000)</f>
        <v/>
      </c>
      <c r="Z166" s="346" t="str">
        <f t="shared" si="45"/>
        <v/>
      </c>
      <c r="AA166" s="370" t="str">
        <f t="shared" si="37"/>
        <v/>
      </c>
      <c r="AB166" s="373" t="str">
        <f>IF(F166="", "", IF(IN_DATA!R150=3, MAX(CO2_Royalty_Factor-Z166/10000,0), IF('Economics Summary'!A166&lt;2, IF('Economics Summary'!Q166&lt;60000, 0.05, ((60000*0.05+('Economics Summary'!Q166-60000)*R166)/'Economics Summary'!Q166)),R166)))</f>
        <v/>
      </c>
      <c r="AC166" s="377" t="str">
        <f t="shared" si="46"/>
        <v/>
      </c>
      <c r="AD166" s="378" t="str">
        <f t="shared" si="38"/>
        <v/>
      </c>
    </row>
    <row r="167" spans="1:30" x14ac:dyDescent="0.2">
      <c r="A167" s="178">
        <v>146</v>
      </c>
      <c r="B167" s="178">
        <f t="shared" si="35"/>
        <v>2158</v>
      </c>
      <c r="C167" s="292" t="str">
        <f>IF(IN_DATA!C151="","",MAX(min_oil_price,MIN(C166+C166*$L$6,max_oil_price)))</f>
        <v/>
      </c>
      <c r="D167" s="293" t="str">
        <f>IF(IN_DATA!C151="","",MAX(min_gas_price,MIN(D166+D166*$L$7,max_gas_price)))</f>
        <v/>
      </c>
      <c r="E167" s="294" t="str">
        <f>IF(IN_DATA!C151="","",MIN(E166+E166*$L$8,16))</f>
        <v/>
      </c>
      <c r="F167" s="110" t="str">
        <f>IF(O167="", "", IN_DATA!C151*365*OCF*FPF)</f>
        <v/>
      </c>
      <c r="G167" s="184" t="str">
        <f>IF(O167="","",IN_DATA!D151*365*FPF*OCF)</f>
        <v/>
      </c>
      <c r="H167" s="235" t="str">
        <f t="shared" si="39"/>
        <v/>
      </c>
      <c r="I167" s="238" t="str">
        <f t="shared" si="40"/>
        <v/>
      </c>
      <c r="J167" s="236" t="str">
        <f t="shared" si="41"/>
        <v/>
      </c>
      <c r="K167" s="239" t="str">
        <f t="shared" si="42"/>
        <v/>
      </c>
      <c r="L167" s="247" t="str">
        <f t="shared" si="47"/>
        <v/>
      </c>
      <c r="M167" s="244" t="str">
        <f>IF(I167=""," ",IF(IN_DATA!R151=1,"Primary Rec.",IF(IN_DATA!R151=2,"Water Flood",IF(IN_DATA!R151=3,"CO2 Flood",""))))</f>
        <v xml:space="preserve"> </v>
      </c>
      <c r="N167" s="109" t="str">
        <f>IF(I167="","",IF(O167=0, 0, OpCost!AD156))</f>
        <v/>
      </c>
      <c r="O167" s="187" t="str">
        <f>IF(OpCost!AE156="", "", OpCost!AE156)</f>
        <v/>
      </c>
      <c r="P167" s="251" t="str">
        <f>IF(F167="","",((IN_DATA!C151+IN_DATA!D151/10)/IN_DATA!P151))</f>
        <v/>
      </c>
      <c r="Q167" s="248" t="str">
        <f>IF(F167="","",SUM($P$21:P167)*365)</f>
        <v/>
      </c>
      <c r="R167" s="249" t="str">
        <f>IF(F167="", "", HLOOKUP(C167,'Reference-Crown Royalties'!$D$2:$AB$49,MATCH(P167,'Reference-Crown Royalties'!$A$2:$A$49,1),TRUE))</f>
        <v/>
      </c>
      <c r="S167" s="276" t="str">
        <f>IF(F167="", "", IF(IN_DATA!R151=3, CO2_Royalty_Factor, IF('Economics Summary'!A167&lt;2, IF('Economics Summary'!Q167&lt;60000, 0.05, ((60000*0.05+('Economics Summary'!Q167-60000)*R167)/'Economics Summary'!Q167)),R167)))</f>
        <v/>
      </c>
      <c r="T167" s="250" t="str">
        <f t="shared" si="43"/>
        <v/>
      </c>
      <c r="U167" s="250" t="str">
        <f t="shared" si="44"/>
        <v/>
      </c>
      <c r="V167" s="344" t="str">
        <f t="shared" si="36"/>
        <v/>
      </c>
      <c r="W167" s="257" t="str">
        <f>IF(F167="","",SUM($V$21:V167))</f>
        <v/>
      </c>
      <c r="X167" s="260" t="str">
        <f xml:space="preserve"> IF(OR(F167="",SUM(IN_DATA!$H$5:'IN_DATA'!H151)=0), "", 1-SUM(IN_DATA!$F$5:'IN_DATA'!F151)/SUM(IN_DATA!$H$5:'IN_DATA'!H151))</f>
        <v/>
      </c>
      <c r="Y167" s="307" t="str">
        <f>IF(OR(F167="",SUM(IN_DATA!$H$5:'IN_DATA'!H151)=0),"",365*(SUM(IN_DATA!$H$5:'IN_DATA'!H151)-SUM(IN_DATA!$F$5:'IN_DATA'!F151))/1000)</f>
        <v/>
      </c>
      <c r="Z167" s="346" t="str">
        <f t="shared" si="45"/>
        <v/>
      </c>
      <c r="AA167" s="370" t="str">
        <f t="shared" si="37"/>
        <v/>
      </c>
      <c r="AB167" s="373" t="str">
        <f>IF(F167="", "", IF(IN_DATA!R151=3, MAX(CO2_Royalty_Factor-Z167/10000,0), IF('Economics Summary'!A167&lt;2, IF('Economics Summary'!Q167&lt;60000, 0.05, ((60000*0.05+('Economics Summary'!Q167-60000)*R167)/'Economics Summary'!Q167)),R167)))</f>
        <v/>
      </c>
      <c r="AC167" s="377" t="str">
        <f t="shared" si="46"/>
        <v/>
      </c>
      <c r="AD167" s="378" t="str">
        <f t="shared" si="38"/>
        <v/>
      </c>
    </row>
    <row r="168" spans="1:30" x14ac:dyDescent="0.2">
      <c r="A168" s="178">
        <v>147</v>
      </c>
      <c r="B168" s="178">
        <f t="shared" si="35"/>
        <v>2159</v>
      </c>
      <c r="C168" s="292" t="str">
        <f>IF(IN_DATA!C152="","",MAX(min_oil_price,MIN(C167+C167*$L$6,max_oil_price)))</f>
        <v/>
      </c>
      <c r="D168" s="293" t="str">
        <f>IF(IN_DATA!C152="","",MAX(min_gas_price,MIN(D167+D167*$L$7,max_gas_price)))</f>
        <v/>
      </c>
      <c r="E168" s="294" t="str">
        <f>IF(IN_DATA!C152="","",MIN(E167+E167*$L$8,16))</f>
        <v/>
      </c>
      <c r="F168" s="110" t="str">
        <f>IF(O168="", "", IN_DATA!C152*365*OCF*FPF)</f>
        <v/>
      </c>
      <c r="G168" s="184" t="str">
        <f>IF(O168="","",IN_DATA!D152*365*FPF*OCF)</f>
        <v/>
      </c>
      <c r="H168" s="235" t="str">
        <f t="shared" si="39"/>
        <v/>
      </c>
      <c r="I168" s="238" t="str">
        <f t="shared" si="40"/>
        <v/>
      </c>
      <c r="J168" s="236" t="str">
        <f t="shared" si="41"/>
        <v/>
      </c>
      <c r="K168" s="239" t="str">
        <f t="shared" si="42"/>
        <v/>
      </c>
      <c r="L168" s="247" t="str">
        <f t="shared" si="47"/>
        <v/>
      </c>
      <c r="M168" s="244" t="str">
        <f>IF(I168=""," ",IF(IN_DATA!R152=1,"Primary Rec.",IF(IN_DATA!R152=2,"Water Flood",IF(IN_DATA!R152=3,"CO2 Flood",""))))</f>
        <v xml:space="preserve"> </v>
      </c>
      <c r="N168" s="109" t="str">
        <f>IF(I168="","",IF(O168=0, 0, OpCost!AD157))</f>
        <v/>
      </c>
      <c r="O168" s="187" t="str">
        <f>IF(OpCost!AE157="", "", OpCost!AE157)</f>
        <v/>
      </c>
      <c r="P168" s="251" t="str">
        <f>IF(F168="","",((IN_DATA!C152+IN_DATA!D152/10)/IN_DATA!P152))</f>
        <v/>
      </c>
      <c r="Q168" s="248" t="str">
        <f>IF(F168="","",SUM($P$21:P168)*365)</f>
        <v/>
      </c>
      <c r="R168" s="249" t="str">
        <f>IF(F168="", "", HLOOKUP(C168,'Reference-Crown Royalties'!$D$2:$AB$49,MATCH(P168,'Reference-Crown Royalties'!$A$2:$A$49,1),TRUE))</f>
        <v/>
      </c>
      <c r="S168" s="276" t="str">
        <f>IF(F168="", "", IF(IN_DATA!R152=3, CO2_Royalty_Factor, IF('Economics Summary'!A168&lt;2, IF('Economics Summary'!Q168&lt;60000, 0.05, ((60000*0.05+('Economics Summary'!Q168-60000)*R168)/'Economics Summary'!Q168)),R168)))</f>
        <v/>
      </c>
      <c r="T168" s="250" t="str">
        <f t="shared" si="43"/>
        <v/>
      </c>
      <c r="U168" s="250" t="str">
        <f t="shared" si="44"/>
        <v/>
      </c>
      <c r="V168" s="344" t="str">
        <f t="shared" si="36"/>
        <v/>
      </c>
      <c r="W168" s="257" t="str">
        <f>IF(F168="","",SUM($V$21:V168))</f>
        <v/>
      </c>
      <c r="X168" s="260" t="str">
        <f xml:space="preserve"> IF(OR(F168="",SUM(IN_DATA!$H$5:'IN_DATA'!H152)=0), "", 1-SUM(IN_DATA!$F$5:'IN_DATA'!F152)/SUM(IN_DATA!$H$5:'IN_DATA'!H152))</f>
        <v/>
      </c>
      <c r="Y168" s="307" t="str">
        <f>IF(OR(F168="",SUM(IN_DATA!$H$5:'IN_DATA'!H152)=0),"",365*(SUM(IN_DATA!$H$5:'IN_DATA'!H152)-SUM(IN_DATA!$F$5:'IN_DATA'!F152))/1000)</f>
        <v/>
      </c>
      <c r="Z168" s="346" t="str">
        <f t="shared" si="45"/>
        <v/>
      </c>
      <c r="AA168" s="370" t="str">
        <f t="shared" si="37"/>
        <v/>
      </c>
      <c r="AB168" s="373" t="str">
        <f>IF(F168="", "", IF(IN_DATA!R152=3, MAX(CO2_Royalty_Factor-Z168/10000,0), IF('Economics Summary'!A168&lt;2, IF('Economics Summary'!Q168&lt;60000, 0.05, ((60000*0.05+('Economics Summary'!Q168-60000)*R168)/'Economics Summary'!Q168)),R168)))</f>
        <v/>
      </c>
      <c r="AC168" s="377" t="str">
        <f t="shared" si="46"/>
        <v/>
      </c>
      <c r="AD168" s="378" t="str">
        <f t="shared" si="38"/>
        <v/>
      </c>
    </row>
    <row r="169" spans="1:30" x14ac:dyDescent="0.2">
      <c r="A169" s="178">
        <v>148</v>
      </c>
      <c r="B169" s="178">
        <f t="shared" si="35"/>
        <v>2160</v>
      </c>
      <c r="C169" s="292" t="str">
        <f>IF(IN_DATA!C153="","",MAX(min_oil_price,MIN(C168+C168*$L$6,max_oil_price)))</f>
        <v/>
      </c>
      <c r="D169" s="293" t="str">
        <f>IF(IN_DATA!C153="","",MAX(min_gas_price,MIN(D168+D168*$L$7,max_gas_price)))</f>
        <v/>
      </c>
      <c r="E169" s="294" t="str">
        <f>IF(IN_DATA!C153="","",MIN(E168+E168*$L$8,16))</f>
        <v/>
      </c>
      <c r="F169" s="110" t="str">
        <f>IF(O169="", "", IN_DATA!C153*365*OCF*FPF)</f>
        <v/>
      </c>
      <c r="G169" s="184" t="str">
        <f>IF(O169="","",IN_DATA!D153*365*FPF*OCF)</f>
        <v/>
      </c>
      <c r="H169" s="235" t="str">
        <f t="shared" si="39"/>
        <v/>
      </c>
      <c r="I169" s="238" t="str">
        <f t="shared" si="40"/>
        <v/>
      </c>
      <c r="J169" s="236" t="str">
        <f t="shared" si="41"/>
        <v/>
      </c>
      <c r="K169" s="239" t="str">
        <f t="shared" si="42"/>
        <v/>
      </c>
      <c r="L169" s="247" t="str">
        <f t="shared" si="47"/>
        <v/>
      </c>
      <c r="M169" s="244" t="str">
        <f>IF(I169=""," ",IF(IN_DATA!R153=1,"Primary Rec.",IF(IN_DATA!R153=2,"Water Flood",IF(IN_DATA!R153=3,"CO2 Flood",""))))</f>
        <v xml:space="preserve"> </v>
      </c>
      <c r="N169" s="109" t="str">
        <f>IF(I169="","",IF(O169=0, 0, OpCost!AD158))</f>
        <v/>
      </c>
      <c r="O169" s="187" t="str">
        <f>IF(OpCost!AE158="", "", OpCost!AE158)</f>
        <v/>
      </c>
      <c r="P169" s="251" t="str">
        <f>IF(F169="","",((IN_DATA!C153+IN_DATA!D153/10)/IN_DATA!P153))</f>
        <v/>
      </c>
      <c r="Q169" s="248" t="str">
        <f>IF(F169="","",SUM($P$21:P169)*365)</f>
        <v/>
      </c>
      <c r="R169" s="249" t="str">
        <f>IF(F169="", "", HLOOKUP(C169,'Reference-Crown Royalties'!$D$2:$AB$49,MATCH(P169,'Reference-Crown Royalties'!$A$2:$A$49,1),TRUE))</f>
        <v/>
      </c>
      <c r="S169" s="276" t="str">
        <f>IF(F169="", "", IF(IN_DATA!R153=3, CO2_Royalty_Factor, IF('Economics Summary'!A169&lt;2, IF('Economics Summary'!Q169&lt;60000, 0.05, ((60000*0.05+('Economics Summary'!Q169-60000)*R169)/'Economics Summary'!Q169)),R169)))</f>
        <v/>
      </c>
      <c r="T169" s="250" t="str">
        <f t="shared" si="43"/>
        <v/>
      </c>
      <c r="U169" s="250" t="str">
        <f t="shared" si="44"/>
        <v/>
      </c>
      <c r="V169" s="344" t="str">
        <f t="shared" si="36"/>
        <v/>
      </c>
      <c r="W169" s="257" t="str">
        <f>IF(F169="","",SUM($V$21:V169))</f>
        <v/>
      </c>
      <c r="X169" s="260" t="str">
        <f xml:space="preserve"> IF(OR(F169="",SUM(IN_DATA!$H$5:'IN_DATA'!H153)=0), "", 1-SUM(IN_DATA!$F$5:'IN_DATA'!F153)/SUM(IN_DATA!$H$5:'IN_DATA'!H153))</f>
        <v/>
      </c>
      <c r="Y169" s="307" t="str">
        <f>IF(OR(F169="",SUM(IN_DATA!$H$5:'IN_DATA'!H153)=0),"",365*(SUM(IN_DATA!$H$5:'IN_DATA'!H153)-SUM(IN_DATA!$F$5:'IN_DATA'!F153))/1000)</f>
        <v/>
      </c>
      <c r="Z169" s="346" t="str">
        <f t="shared" si="45"/>
        <v/>
      </c>
      <c r="AA169" s="370" t="str">
        <f t="shared" si="37"/>
        <v/>
      </c>
      <c r="AB169" s="373" t="str">
        <f>IF(F169="", "", IF(IN_DATA!R153=3, MAX(CO2_Royalty_Factor-Z169/10000,0), IF('Economics Summary'!A169&lt;2, IF('Economics Summary'!Q169&lt;60000, 0.05, ((60000*0.05+('Economics Summary'!Q169-60000)*R169)/'Economics Summary'!Q169)),R169)))</f>
        <v/>
      </c>
      <c r="AC169" s="377" t="str">
        <f t="shared" si="46"/>
        <v/>
      </c>
      <c r="AD169" s="378" t="str">
        <f t="shared" si="38"/>
        <v/>
      </c>
    </row>
    <row r="170" spans="1:30" x14ac:dyDescent="0.2">
      <c r="A170" s="178">
        <v>149</v>
      </c>
      <c r="B170" s="178">
        <f t="shared" si="35"/>
        <v>2161</v>
      </c>
      <c r="C170" s="292" t="str">
        <f>IF(IN_DATA!C154="","",MAX(min_oil_price,MIN(C169+C169*$L$6,max_oil_price)))</f>
        <v/>
      </c>
      <c r="D170" s="293" t="str">
        <f>IF(IN_DATA!C154="","",MAX(min_gas_price,MIN(D169+D169*$L$7,max_gas_price)))</f>
        <v/>
      </c>
      <c r="E170" s="294" t="str">
        <f>IF(IN_DATA!C154="","",MIN(E169+E169*$L$8,16))</f>
        <v/>
      </c>
      <c r="F170" s="110" t="str">
        <f>IF(O170="", "", IN_DATA!C154*365*OCF*FPF)</f>
        <v/>
      </c>
      <c r="G170" s="184" t="str">
        <f>IF(O170="","",IN_DATA!D154*365*FPF*OCF)</f>
        <v/>
      </c>
      <c r="H170" s="235" t="str">
        <f t="shared" si="39"/>
        <v/>
      </c>
      <c r="I170" s="238" t="str">
        <f t="shared" si="40"/>
        <v/>
      </c>
      <c r="J170" s="236" t="str">
        <f t="shared" si="41"/>
        <v/>
      </c>
      <c r="K170" s="239" t="str">
        <f t="shared" si="42"/>
        <v/>
      </c>
      <c r="L170" s="247" t="str">
        <f t="shared" si="47"/>
        <v/>
      </c>
      <c r="M170" s="244" t="str">
        <f>IF(I170=""," ",IF(IN_DATA!R154=1,"Primary Rec.",IF(IN_DATA!R154=2,"Water Flood",IF(IN_DATA!R154=3,"CO2 Flood",""))))</f>
        <v xml:space="preserve"> </v>
      </c>
      <c r="N170" s="109" t="str">
        <f>IF(I170="","",IF(O170=0, 0, OpCost!AD159))</f>
        <v/>
      </c>
      <c r="O170" s="187" t="str">
        <f>IF(OpCost!AE159="", "", OpCost!AE159)</f>
        <v/>
      </c>
      <c r="P170" s="251" t="str">
        <f>IF(F170="","",((IN_DATA!C154+IN_DATA!D154/10)/IN_DATA!P154))</f>
        <v/>
      </c>
      <c r="Q170" s="248" t="str">
        <f>IF(F170="","",SUM($P$21:P170)*365)</f>
        <v/>
      </c>
      <c r="R170" s="249" t="str">
        <f>IF(F170="", "", HLOOKUP(C170,'Reference-Crown Royalties'!$D$2:$AB$49,MATCH(P170,'Reference-Crown Royalties'!$A$2:$A$49,1),TRUE))</f>
        <v/>
      </c>
      <c r="S170" s="276" t="str">
        <f>IF(F170="", "", IF(IN_DATA!R154=3, CO2_Royalty_Factor, IF('Economics Summary'!A170&lt;2, IF('Economics Summary'!Q170&lt;60000, 0.05, ((60000*0.05+('Economics Summary'!Q170-60000)*R170)/'Economics Summary'!Q170)),R170)))</f>
        <v/>
      </c>
      <c r="T170" s="250" t="str">
        <f t="shared" si="43"/>
        <v/>
      </c>
      <c r="U170" s="250" t="str">
        <f t="shared" si="44"/>
        <v/>
      </c>
      <c r="V170" s="344" t="str">
        <f t="shared" si="36"/>
        <v/>
      </c>
      <c r="W170" s="257" t="str">
        <f>IF(F170="","",SUM($V$21:V170))</f>
        <v/>
      </c>
      <c r="X170" s="260" t="str">
        <f xml:space="preserve"> IF(OR(F170="",SUM(IN_DATA!$H$5:'IN_DATA'!H154)=0), "", 1-SUM(IN_DATA!$F$5:'IN_DATA'!F154)/SUM(IN_DATA!$H$5:'IN_DATA'!H154))</f>
        <v/>
      </c>
      <c r="Y170" s="307" t="str">
        <f>IF(OR(F170="",SUM(IN_DATA!$H$5:'IN_DATA'!H154)=0),"",365*(SUM(IN_DATA!$H$5:'IN_DATA'!H154)-SUM(IN_DATA!$F$5:'IN_DATA'!F154))/1000)</f>
        <v/>
      </c>
      <c r="Z170" s="346" t="str">
        <f t="shared" si="45"/>
        <v/>
      </c>
      <c r="AA170" s="370" t="str">
        <f t="shared" si="37"/>
        <v/>
      </c>
      <c r="AB170" s="373" t="str">
        <f>IF(F170="", "", IF(IN_DATA!R154=3, MAX(CO2_Royalty_Factor-Z170/10000,0), IF('Economics Summary'!A170&lt;2, IF('Economics Summary'!Q170&lt;60000, 0.05, ((60000*0.05+('Economics Summary'!Q170-60000)*R170)/'Economics Summary'!Q170)),R170)))</f>
        <v/>
      </c>
      <c r="AC170" s="377" t="str">
        <f t="shared" si="46"/>
        <v/>
      </c>
      <c r="AD170" s="378" t="str">
        <f t="shared" si="38"/>
        <v/>
      </c>
    </row>
    <row r="171" spans="1:30" x14ac:dyDescent="0.2">
      <c r="A171" s="178">
        <v>150</v>
      </c>
      <c r="B171" s="178">
        <f t="shared" si="35"/>
        <v>2162</v>
      </c>
      <c r="C171" s="292" t="str">
        <f>IF(IN_DATA!C155="","",MAX(min_oil_price,MIN(C170+C170*$L$6,max_oil_price)))</f>
        <v/>
      </c>
      <c r="D171" s="293" t="str">
        <f>IF(IN_DATA!C155="","",MAX(min_gas_price,MIN(D170+D170*$L$7,max_gas_price)))</f>
        <v/>
      </c>
      <c r="E171" s="294" t="str">
        <f>IF(IN_DATA!C155="","",MIN(E170+E170*$L$8,16))</f>
        <v/>
      </c>
      <c r="F171" s="110" t="str">
        <f>IF(O171="", "", IN_DATA!C155*365*OCF*FPF)</f>
        <v/>
      </c>
      <c r="G171" s="184" t="str">
        <f>IF(O171="","",IN_DATA!D155*365*FPF*OCF)</f>
        <v/>
      </c>
      <c r="H171" s="235" t="str">
        <f t="shared" si="39"/>
        <v/>
      </c>
      <c r="I171" s="238" t="str">
        <f t="shared" si="40"/>
        <v/>
      </c>
      <c r="J171" s="236" t="str">
        <f t="shared" si="41"/>
        <v/>
      </c>
      <c r="K171" s="239" t="str">
        <f t="shared" si="42"/>
        <v/>
      </c>
      <c r="L171" s="247" t="str">
        <f t="shared" si="47"/>
        <v/>
      </c>
      <c r="M171" s="244" t="str">
        <f>IF(I171=""," ",IF(IN_DATA!R155=1,"Primary Rec.",IF(IN_DATA!R155=2,"Water Flood",IF(IN_DATA!R155=3,"CO2 Flood",""))))</f>
        <v xml:space="preserve"> </v>
      </c>
      <c r="N171" s="109" t="str">
        <f>IF(I171="","",IF(O171=0, 0, OpCost!AD160))</f>
        <v/>
      </c>
      <c r="O171" s="187" t="str">
        <f>IF(OpCost!AE160="", "", OpCost!AE160)</f>
        <v/>
      </c>
      <c r="P171" s="251" t="str">
        <f>IF(F171="","",((IN_DATA!C155+IN_DATA!D155/10)/IN_DATA!P155))</f>
        <v/>
      </c>
      <c r="Q171" s="248" t="str">
        <f>IF(F171="","",SUM($P$21:P171)*365)</f>
        <v/>
      </c>
      <c r="R171" s="249" t="str">
        <f>IF(F171="", "", HLOOKUP(C171,'Reference-Crown Royalties'!$D$2:$AB$49,MATCH(P171,'Reference-Crown Royalties'!$A$2:$A$49,1),TRUE))</f>
        <v/>
      </c>
      <c r="S171" s="276" t="str">
        <f>IF(F171="", "", IF(IN_DATA!R155=3, CO2_Royalty_Factor, IF('Economics Summary'!A171&lt;2, IF('Economics Summary'!Q171&lt;60000, 0.05, ((60000*0.05+('Economics Summary'!Q171-60000)*R171)/'Economics Summary'!Q171)),R171)))</f>
        <v/>
      </c>
      <c r="T171" s="250" t="str">
        <f t="shared" si="43"/>
        <v/>
      </c>
      <c r="U171" s="250" t="str">
        <f t="shared" si="44"/>
        <v/>
      </c>
      <c r="V171" s="344" t="str">
        <f t="shared" si="36"/>
        <v/>
      </c>
      <c r="W171" s="257" t="str">
        <f>IF(F171="","",SUM($V$21:V171))</f>
        <v/>
      </c>
      <c r="X171" s="260" t="str">
        <f xml:space="preserve"> IF(OR(F171="",SUM(IN_DATA!$H$5:'IN_DATA'!H155)=0), "", 1-SUM(IN_DATA!$F$5:'IN_DATA'!F155)/SUM(IN_DATA!$H$5:'IN_DATA'!H155))</f>
        <v/>
      </c>
      <c r="Y171" s="307" t="str">
        <f>IF(OR(F171="",SUM(IN_DATA!$H$5:'IN_DATA'!H155)=0),"",365*(SUM(IN_DATA!$H$5:'IN_DATA'!H155)-SUM(IN_DATA!$F$5:'IN_DATA'!F155))/1000)</f>
        <v/>
      </c>
      <c r="Z171" s="346" t="str">
        <f t="shared" si="45"/>
        <v/>
      </c>
      <c r="AA171" s="370" t="str">
        <f t="shared" si="37"/>
        <v/>
      </c>
      <c r="AB171" s="373" t="str">
        <f>IF(F171="", "", IF(IN_DATA!R155=3, MAX(CO2_Royalty_Factor-Z171/10000,0), IF('Economics Summary'!A171&lt;2, IF('Economics Summary'!Q171&lt;60000, 0.05, ((60000*0.05+('Economics Summary'!Q171-60000)*R171)/'Economics Summary'!Q171)),R171)))</f>
        <v/>
      </c>
      <c r="AC171" s="377" t="str">
        <f t="shared" si="46"/>
        <v/>
      </c>
      <c r="AD171" s="378" t="str">
        <f t="shared" si="38"/>
        <v/>
      </c>
    </row>
    <row r="172" spans="1:30" x14ac:dyDescent="0.2">
      <c r="A172" s="178">
        <v>151</v>
      </c>
      <c r="B172" s="178">
        <f t="shared" si="35"/>
        <v>2163</v>
      </c>
      <c r="C172" s="292" t="str">
        <f>IF(IN_DATA!C156="","",MAX(min_oil_price,MIN(C171+C171*$L$6,max_oil_price)))</f>
        <v/>
      </c>
      <c r="D172" s="293" t="str">
        <f>IF(IN_DATA!C156="","",MAX(min_gas_price,MIN(D171+D171*$L$7,max_gas_price)))</f>
        <v/>
      </c>
      <c r="E172" s="294" t="str">
        <f>IF(IN_DATA!C156="","",MIN(E171+E171*$L$8,16))</f>
        <v/>
      </c>
      <c r="F172" s="110" t="str">
        <f>IF(O172="", "", IN_DATA!C156*365*OCF*FPF)</f>
        <v/>
      </c>
      <c r="G172" s="184" t="str">
        <f>IF(O172="","",IN_DATA!D156*365*FPF*OCF)</f>
        <v/>
      </c>
      <c r="H172" s="235" t="str">
        <f t="shared" si="39"/>
        <v/>
      </c>
      <c r="I172" s="238" t="str">
        <f t="shared" si="40"/>
        <v/>
      </c>
      <c r="J172" s="236" t="str">
        <f t="shared" si="41"/>
        <v/>
      </c>
      <c r="K172" s="239" t="str">
        <f t="shared" si="42"/>
        <v/>
      </c>
      <c r="L172" s="247" t="str">
        <f t="shared" si="47"/>
        <v/>
      </c>
      <c r="M172" s="244" t="str">
        <f>IF(I172=""," ",IF(IN_DATA!R156=1,"Primary Rec.",IF(IN_DATA!R156=2,"Water Flood",IF(IN_DATA!R156=3,"CO2 Flood",""))))</f>
        <v xml:space="preserve"> </v>
      </c>
      <c r="N172" s="109" t="str">
        <f>IF(I172="","",IF(O172=0, 0, OpCost!AD161))</f>
        <v/>
      </c>
      <c r="O172" s="187" t="str">
        <f>IF(OpCost!AE161="", "", OpCost!AE161)</f>
        <v/>
      </c>
      <c r="P172" s="251" t="str">
        <f>IF(F172="","",((IN_DATA!C156+IN_DATA!D156/10)/IN_DATA!P156))</f>
        <v/>
      </c>
      <c r="Q172" s="248" t="str">
        <f>IF(F172="","",SUM($P$21:P172)*365)</f>
        <v/>
      </c>
      <c r="R172" s="249" t="str">
        <f>IF(F172="", "", HLOOKUP(C172,'Reference-Crown Royalties'!$D$2:$AB$49,MATCH(P172,'Reference-Crown Royalties'!$A$2:$A$49,1),TRUE))</f>
        <v/>
      </c>
      <c r="S172" s="276" t="str">
        <f>IF(F172="", "", IF(IN_DATA!R156=3, CO2_Royalty_Factor, IF('Economics Summary'!A172&lt;2, IF('Economics Summary'!Q172&lt;60000, 0.05, ((60000*0.05+('Economics Summary'!Q172-60000)*R172)/'Economics Summary'!Q172)),R172)))</f>
        <v/>
      </c>
      <c r="T172" s="250" t="str">
        <f t="shared" si="43"/>
        <v/>
      </c>
      <c r="U172" s="250" t="str">
        <f t="shared" si="44"/>
        <v/>
      </c>
      <c r="V172" s="344" t="str">
        <f t="shared" si="36"/>
        <v/>
      </c>
      <c r="W172" s="257" t="str">
        <f>IF(F172="","",SUM($V$21:V172))</f>
        <v/>
      </c>
      <c r="X172" s="260" t="str">
        <f xml:space="preserve"> IF(OR(F172="",SUM(IN_DATA!$H$5:'IN_DATA'!H156)=0), "", 1-SUM(IN_DATA!$F$5:'IN_DATA'!F156)/SUM(IN_DATA!$H$5:'IN_DATA'!H156))</f>
        <v/>
      </c>
      <c r="Y172" s="307" t="str">
        <f>IF(OR(F172="",SUM(IN_DATA!$H$5:'IN_DATA'!H156)=0),"",365*(SUM(IN_DATA!$H$5:'IN_DATA'!H156)-SUM(IN_DATA!$F$5:'IN_DATA'!F156))/1000)</f>
        <v/>
      </c>
      <c r="Z172" s="346" t="str">
        <f t="shared" si="45"/>
        <v/>
      </c>
      <c r="AA172" s="370" t="str">
        <f t="shared" si="37"/>
        <v/>
      </c>
      <c r="AB172" s="373" t="str">
        <f>IF(F172="", "", IF(IN_DATA!R156=3, MAX(CO2_Royalty_Factor-Z172/10000,0), IF('Economics Summary'!A172&lt;2, IF('Economics Summary'!Q172&lt;60000, 0.05, ((60000*0.05+('Economics Summary'!Q172-60000)*R172)/'Economics Summary'!Q172)),R172)))</f>
        <v/>
      </c>
      <c r="AC172" s="377" t="str">
        <f t="shared" si="46"/>
        <v/>
      </c>
      <c r="AD172" s="378" t="str">
        <f t="shared" si="38"/>
        <v/>
      </c>
    </row>
    <row r="173" spans="1:30" x14ac:dyDescent="0.2">
      <c r="A173" s="178">
        <v>152</v>
      </c>
      <c r="B173" s="178">
        <f t="shared" si="35"/>
        <v>2164</v>
      </c>
      <c r="C173" s="292" t="str">
        <f>IF(IN_DATA!C157="","",MAX(min_oil_price,MIN(C172+C172*$L$6,max_oil_price)))</f>
        <v/>
      </c>
      <c r="D173" s="293" t="str">
        <f>IF(IN_DATA!C157="","",MAX(min_gas_price,MIN(D172+D172*$L$7,max_gas_price)))</f>
        <v/>
      </c>
      <c r="E173" s="294" t="str">
        <f>IF(IN_DATA!C157="","",MIN(E172+E172*$L$8,16))</f>
        <v/>
      </c>
      <c r="F173" s="110" t="str">
        <f>IF(O173="", "", IN_DATA!C157*365*OCF*FPF)</f>
        <v/>
      </c>
      <c r="G173" s="184" t="str">
        <f>IF(O173="","",IN_DATA!D157*365*FPF*OCF)</f>
        <v/>
      </c>
      <c r="H173" s="235" t="str">
        <f t="shared" si="39"/>
        <v/>
      </c>
      <c r="I173" s="238" t="str">
        <f t="shared" si="40"/>
        <v/>
      </c>
      <c r="J173" s="236" t="str">
        <f t="shared" si="41"/>
        <v/>
      </c>
      <c r="K173" s="239" t="str">
        <f t="shared" si="42"/>
        <v/>
      </c>
      <c r="L173" s="247" t="str">
        <f t="shared" si="47"/>
        <v/>
      </c>
      <c r="M173" s="244" t="str">
        <f>IF(I173=""," ",IF(IN_DATA!R157=1,"Primary Rec.",IF(IN_DATA!R157=2,"Water Flood",IF(IN_DATA!R157=3,"CO2 Flood",""))))</f>
        <v xml:space="preserve"> </v>
      </c>
      <c r="N173" s="109" t="str">
        <f>IF(I173="","",IF(O173=0, 0, OpCost!AD162))</f>
        <v/>
      </c>
      <c r="O173" s="187" t="str">
        <f>IF(OpCost!AE162="", "", OpCost!AE162)</f>
        <v/>
      </c>
      <c r="P173" s="251" t="str">
        <f>IF(F173="","",((IN_DATA!C157+IN_DATA!D157/10)/IN_DATA!P157))</f>
        <v/>
      </c>
      <c r="Q173" s="248" t="str">
        <f>IF(F173="","",SUM($P$21:P173)*365)</f>
        <v/>
      </c>
      <c r="R173" s="249" t="str">
        <f>IF(F173="", "", HLOOKUP(C173,'Reference-Crown Royalties'!$D$2:$AB$49,MATCH(P173,'Reference-Crown Royalties'!$A$2:$A$49,1),TRUE))</f>
        <v/>
      </c>
      <c r="S173" s="276" t="str">
        <f>IF(F173="", "", IF(IN_DATA!R157=3, CO2_Royalty_Factor, IF('Economics Summary'!A173&lt;2, IF('Economics Summary'!Q173&lt;60000, 0.05, ((60000*0.05+('Economics Summary'!Q173-60000)*R173)/'Economics Summary'!Q173)),R173)))</f>
        <v/>
      </c>
      <c r="T173" s="250" t="str">
        <f t="shared" si="43"/>
        <v/>
      </c>
      <c r="U173" s="250" t="str">
        <f t="shared" si="44"/>
        <v/>
      </c>
      <c r="V173" s="344" t="str">
        <f t="shared" si="36"/>
        <v/>
      </c>
      <c r="W173" s="257" t="str">
        <f>IF(F173="","",SUM($V$21:V173))</f>
        <v/>
      </c>
      <c r="X173" s="260" t="str">
        <f xml:space="preserve"> IF(OR(F173="",SUM(IN_DATA!$H$5:'IN_DATA'!H157)=0), "", 1-SUM(IN_DATA!$F$5:'IN_DATA'!F157)/SUM(IN_DATA!$H$5:'IN_DATA'!H157))</f>
        <v/>
      </c>
      <c r="Y173" s="307" t="str">
        <f>IF(OR(F173="",SUM(IN_DATA!$H$5:'IN_DATA'!H157)=0),"",365*(SUM(IN_DATA!$H$5:'IN_DATA'!H157)-SUM(IN_DATA!$F$5:'IN_DATA'!F157))/1000)</f>
        <v/>
      </c>
      <c r="Z173" s="346" t="str">
        <f t="shared" si="45"/>
        <v/>
      </c>
      <c r="AA173" s="370" t="str">
        <f t="shared" si="37"/>
        <v/>
      </c>
      <c r="AB173" s="373" t="str">
        <f>IF(F173="", "", IF(IN_DATA!R157=3, MAX(CO2_Royalty_Factor-Z173/10000,0), IF('Economics Summary'!A173&lt;2, IF('Economics Summary'!Q173&lt;60000, 0.05, ((60000*0.05+('Economics Summary'!Q173-60000)*R173)/'Economics Summary'!Q173)),R173)))</f>
        <v/>
      </c>
      <c r="AC173" s="377" t="str">
        <f t="shared" si="46"/>
        <v/>
      </c>
      <c r="AD173" s="378" t="str">
        <f t="shared" si="38"/>
        <v/>
      </c>
    </row>
    <row r="174" spans="1:30" x14ac:dyDescent="0.2">
      <c r="A174" s="178">
        <v>153</v>
      </c>
      <c r="B174" s="178">
        <f t="shared" si="35"/>
        <v>2165</v>
      </c>
      <c r="C174" s="292" t="str">
        <f>IF(IN_DATA!C158="","",MAX(min_oil_price,MIN(C173+C173*$L$6,max_oil_price)))</f>
        <v/>
      </c>
      <c r="D174" s="293" t="str">
        <f>IF(IN_DATA!C158="","",MAX(min_gas_price,MIN(D173+D173*$L$7,max_gas_price)))</f>
        <v/>
      </c>
      <c r="E174" s="294" t="str">
        <f>IF(IN_DATA!C158="","",MIN(E173+E173*$L$8,16))</f>
        <v/>
      </c>
      <c r="F174" s="110" t="str">
        <f>IF(O174="", "", IN_DATA!C158*365*OCF*FPF)</f>
        <v/>
      </c>
      <c r="G174" s="184" t="str">
        <f>IF(O174="","",IN_DATA!D158*365*FPF*OCF)</f>
        <v/>
      </c>
      <c r="H174" s="235" t="str">
        <f t="shared" si="39"/>
        <v/>
      </c>
      <c r="I174" s="238" t="str">
        <f t="shared" si="40"/>
        <v/>
      </c>
      <c r="J174" s="236" t="str">
        <f t="shared" si="41"/>
        <v/>
      </c>
      <c r="K174" s="239" t="str">
        <f t="shared" si="42"/>
        <v/>
      </c>
      <c r="L174" s="247" t="str">
        <f t="shared" si="47"/>
        <v/>
      </c>
      <c r="M174" s="244" t="str">
        <f>IF(I174=""," ",IF(IN_DATA!R158=1,"Primary Rec.",IF(IN_DATA!R158=2,"Water Flood",IF(IN_DATA!R158=3,"CO2 Flood",""))))</f>
        <v xml:space="preserve"> </v>
      </c>
      <c r="N174" s="109" t="str">
        <f>IF(I174="","",IF(O174=0, 0, OpCost!AD163))</f>
        <v/>
      </c>
      <c r="O174" s="187" t="str">
        <f>IF(OpCost!AE163="", "", OpCost!AE163)</f>
        <v/>
      </c>
      <c r="P174" s="251" t="str">
        <f>IF(F174="","",((IN_DATA!C158+IN_DATA!D158/10)/IN_DATA!P158))</f>
        <v/>
      </c>
      <c r="Q174" s="248" t="str">
        <f>IF(F174="","",SUM($P$21:P174)*365)</f>
        <v/>
      </c>
      <c r="R174" s="249" t="str">
        <f>IF(F174="", "", HLOOKUP(C174,'Reference-Crown Royalties'!$D$2:$AB$49,MATCH(P174,'Reference-Crown Royalties'!$A$2:$A$49,1),TRUE))</f>
        <v/>
      </c>
      <c r="S174" s="276" t="str">
        <f>IF(F174="", "", IF(IN_DATA!R158=3, CO2_Royalty_Factor, IF('Economics Summary'!A174&lt;2, IF('Economics Summary'!Q174&lt;60000, 0.05, ((60000*0.05+('Economics Summary'!Q174-60000)*R174)/'Economics Summary'!Q174)),R174)))</f>
        <v/>
      </c>
      <c r="T174" s="250" t="str">
        <f t="shared" si="43"/>
        <v/>
      </c>
      <c r="U174" s="250" t="str">
        <f t="shared" si="44"/>
        <v/>
      </c>
      <c r="V174" s="344" t="str">
        <f t="shared" si="36"/>
        <v/>
      </c>
      <c r="W174" s="257" t="str">
        <f>IF(F174="","",SUM($V$21:V174))</f>
        <v/>
      </c>
      <c r="X174" s="260" t="str">
        <f xml:space="preserve"> IF(OR(F174="",SUM(IN_DATA!$H$5:'IN_DATA'!H158)=0), "", 1-SUM(IN_DATA!$F$5:'IN_DATA'!F158)/SUM(IN_DATA!$H$5:'IN_DATA'!H158))</f>
        <v/>
      </c>
      <c r="Y174" s="307" t="str">
        <f>IF(OR(F174="",SUM(IN_DATA!$H$5:'IN_DATA'!H158)=0),"",365*(SUM(IN_DATA!$H$5:'IN_DATA'!H158)-SUM(IN_DATA!$F$5:'IN_DATA'!F158))/1000)</f>
        <v/>
      </c>
      <c r="Z174" s="346" t="str">
        <f t="shared" si="45"/>
        <v/>
      </c>
      <c r="AA174" s="370" t="str">
        <f t="shared" si="37"/>
        <v/>
      </c>
      <c r="AB174" s="373" t="str">
        <f>IF(F174="", "", IF(IN_DATA!R158=3, MAX(CO2_Royalty_Factor-Z174/10000,0), IF('Economics Summary'!A174&lt;2, IF('Economics Summary'!Q174&lt;60000, 0.05, ((60000*0.05+('Economics Summary'!Q174-60000)*R174)/'Economics Summary'!Q174)),R174)))</f>
        <v/>
      </c>
      <c r="AC174" s="377" t="str">
        <f t="shared" si="46"/>
        <v/>
      </c>
      <c r="AD174" s="378" t="str">
        <f t="shared" si="38"/>
        <v/>
      </c>
    </row>
    <row r="175" spans="1:30" x14ac:dyDescent="0.2">
      <c r="A175" s="178">
        <v>154</v>
      </c>
      <c r="B175" s="178">
        <f t="shared" si="35"/>
        <v>2166</v>
      </c>
      <c r="C175" s="292" t="str">
        <f>IF(IN_DATA!C159="","",MAX(min_oil_price,MIN(C174+C174*$L$6,max_oil_price)))</f>
        <v/>
      </c>
      <c r="D175" s="293" t="str">
        <f>IF(IN_DATA!C159="","",MAX(min_gas_price,MIN(D174+D174*$L$7,max_gas_price)))</f>
        <v/>
      </c>
      <c r="E175" s="294" t="str">
        <f>IF(IN_DATA!C159="","",MIN(E174+E174*$L$8,16))</f>
        <v/>
      </c>
      <c r="F175" s="110" t="str">
        <f>IF(O175="", "", IN_DATA!C159*365*OCF*FPF)</f>
        <v/>
      </c>
      <c r="G175" s="184" t="str">
        <f>IF(O175="","",IN_DATA!D159*365*FPF*OCF)</f>
        <v/>
      </c>
      <c r="H175" s="235" t="str">
        <f t="shared" si="39"/>
        <v/>
      </c>
      <c r="I175" s="238" t="str">
        <f t="shared" si="40"/>
        <v/>
      </c>
      <c r="J175" s="236" t="str">
        <f t="shared" si="41"/>
        <v/>
      </c>
      <c r="K175" s="239" t="str">
        <f t="shared" si="42"/>
        <v/>
      </c>
      <c r="L175" s="247" t="str">
        <f t="shared" si="47"/>
        <v/>
      </c>
      <c r="M175" s="244" t="str">
        <f>IF(I175=""," ",IF(IN_DATA!R159=1,"Primary Rec.",IF(IN_DATA!R159=2,"Water Flood",IF(IN_DATA!R159=3,"CO2 Flood",""))))</f>
        <v xml:space="preserve"> </v>
      </c>
      <c r="N175" s="109" t="str">
        <f>IF(I175="","",IF(O175=0, 0, OpCost!AD164))</f>
        <v/>
      </c>
      <c r="O175" s="187" t="str">
        <f>IF(OpCost!AE164="", "", OpCost!AE164)</f>
        <v/>
      </c>
      <c r="P175" s="251" t="str">
        <f>IF(F175="","",((IN_DATA!C159+IN_DATA!D159/10)/IN_DATA!P159))</f>
        <v/>
      </c>
      <c r="Q175" s="248" t="str">
        <f>IF(F175="","",SUM($P$21:P175)*365)</f>
        <v/>
      </c>
      <c r="R175" s="249" t="str">
        <f>IF(F175="", "", HLOOKUP(C175,'Reference-Crown Royalties'!$D$2:$AB$49,MATCH(P175,'Reference-Crown Royalties'!$A$2:$A$49,1),TRUE))</f>
        <v/>
      </c>
      <c r="S175" s="276" t="str">
        <f>IF(F175="", "", IF(IN_DATA!R159=3, CO2_Royalty_Factor, IF('Economics Summary'!A175&lt;2, IF('Economics Summary'!Q175&lt;60000, 0.05, ((60000*0.05+('Economics Summary'!Q175-60000)*R175)/'Economics Summary'!Q175)),R175)))</f>
        <v/>
      </c>
      <c r="T175" s="250" t="str">
        <f t="shared" si="43"/>
        <v/>
      </c>
      <c r="U175" s="250" t="str">
        <f t="shared" si="44"/>
        <v/>
      </c>
      <c r="V175" s="344" t="str">
        <f t="shared" si="36"/>
        <v/>
      </c>
      <c r="W175" s="257" t="str">
        <f>IF(F175="","",SUM($V$21:V175))</f>
        <v/>
      </c>
      <c r="X175" s="260" t="str">
        <f xml:space="preserve"> IF(OR(F175="",SUM(IN_DATA!$H$5:'IN_DATA'!H159)=0), "", 1-SUM(IN_DATA!$F$5:'IN_DATA'!F159)/SUM(IN_DATA!$H$5:'IN_DATA'!H159))</f>
        <v/>
      </c>
      <c r="Y175" s="307" t="str">
        <f>IF(OR(F175="",SUM(IN_DATA!$H$5:'IN_DATA'!H159)=0),"",365*(SUM(IN_DATA!$H$5:'IN_DATA'!H159)-SUM(IN_DATA!$F$5:'IN_DATA'!F159))/1000)</f>
        <v/>
      </c>
      <c r="Z175" s="346" t="str">
        <f t="shared" si="45"/>
        <v/>
      </c>
      <c r="AA175" s="370" t="str">
        <f t="shared" si="37"/>
        <v/>
      </c>
      <c r="AB175" s="373" t="str">
        <f>IF(F175="", "", IF(IN_DATA!R159=3, MAX(CO2_Royalty_Factor-Z175/10000,0), IF('Economics Summary'!A175&lt;2, IF('Economics Summary'!Q175&lt;60000, 0.05, ((60000*0.05+('Economics Summary'!Q175-60000)*R175)/'Economics Summary'!Q175)),R175)))</f>
        <v/>
      </c>
      <c r="AC175" s="377" t="str">
        <f t="shared" si="46"/>
        <v/>
      </c>
      <c r="AD175" s="378" t="str">
        <f t="shared" si="38"/>
        <v/>
      </c>
    </row>
    <row r="176" spans="1:30" x14ac:dyDescent="0.2">
      <c r="A176" s="178">
        <v>155</v>
      </c>
      <c r="B176" s="178">
        <f t="shared" si="35"/>
        <v>2167</v>
      </c>
      <c r="C176" s="292" t="str">
        <f>IF(IN_DATA!C160="","",MAX(min_oil_price,MIN(C175+C175*$L$6,max_oil_price)))</f>
        <v/>
      </c>
      <c r="D176" s="293" t="str">
        <f>IF(IN_DATA!C160="","",MAX(min_gas_price,MIN(D175+D175*$L$7,max_gas_price)))</f>
        <v/>
      </c>
      <c r="E176" s="294" t="str">
        <f>IF(IN_DATA!C160="","",MIN(E175+E175*$L$8,16))</f>
        <v/>
      </c>
      <c r="F176" s="110" t="str">
        <f>IF(O176="", "", IN_DATA!C160*365*OCF*FPF)</f>
        <v/>
      </c>
      <c r="G176" s="184" t="str">
        <f>IF(O176="","",IN_DATA!D160*365*FPF*OCF)</f>
        <v/>
      </c>
      <c r="H176" s="235" t="str">
        <f t="shared" si="39"/>
        <v/>
      </c>
      <c r="I176" s="238" t="str">
        <f t="shared" si="40"/>
        <v/>
      </c>
      <c r="J176" s="236" t="str">
        <f t="shared" si="41"/>
        <v/>
      </c>
      <c r="K176" s="239" t="str">
        <f t="shared" si="42"/>
        <v/>
      </c>
      <c r="L176" s="247" t="str">
        <f t="shared" si="47"/>
        <v/>
      </c>
      <c r="M176" s="244" t="str">
        <f>IF(I176=""," ",IF(IN_DATA!R160=1,"Primary Rec.",IF(IN_DATA!R160=2,"Water Flood",IF(IN_DATA!R160=3,"CO2 Flood",""))))</f>
        <v xml:space="preserve"> </v>
      </c>
      <c r="N176" s="109" t="str">
        <f>IF(I176="","",IF(O176=0, 0, OpCost!AD165))</f>
        <v/>
      </c>
      <c r="O176" s="187" t="str">
        <f>IF(OpCost!AE165="", "", OpCost!AE165)</f>
        <v/>
      </c>
      <c r="P176" s="251" t="str">
        <f>IF(F176="","",((IN_DATA!C160+IN_DATA!D160/10)/IN_DATA!P160))</f>
        <v/>
      </c>
      <c r="Q176" s="248" t="str">
        <f>IF(F176="","",SUM($P$21:P176)*365)</f>
        <v/>
      </c>
      <c r="R176" s="249" t="str">
        <f>IF(F176="", "", HLOOKUP(C176,'Reference-Crown Royalties'!$D$2:$AB$49,MATCH(P176,'Reference-Crown Royalties'!$A$2:$A$49,1),TRUE))</f>
        <v/>
      </c>
      <c r="S176" s="276" t="str">
        <f>IF(F176="", "", IF(IN_DATA!R160=3, CO2_Royalty_Factor, IF('Economics Summary'!A176&lt;2, IF('Economics Summary'!Q176&lt;60000, 0.05, ((60000*0.05+('Economics Summary'!Q176-60000)*R176)/'Economics Summary'!Q176)),R176)))</f>
        <v/>
      </c>
      <c r="T176" s="250" t="str">
        <f t="shared" si="43"/>
        <v/>
      </c>
      <c r="U176" s="250" t="str">
        <f t="shared" si="44"/>
        <v/>
      </c>
      <c r="V176" s="344" t="str">
        <f t="shared" si="36"/>
        <v/>
      </c>
      <c r="W176" s="257" t="str">
        <f>IF(F176="","",SUM($V$21:V176))</f>
        <v/>
      </c>
      <c r="X176" s="260" t="str">
        <f xml:space="preserve"> IF(OR(F176="",SUM(IN_DATA!$H$5:'IN_DATA'!H160)=0), "", 1-SUM(IN_DATA!$F$5:'IN_DATA'!F160)/SUM(IN_DATA!$H$5:'IN_DATA'!H160))</f>
        <v/>
      </c>
      <c r="Y176" s="307" t="str">
        <f>IF(OR(F176="",SUM(IN_DATA!$H$5:'IN_DATA'!H160)=0),"",365*(SUM(IN_DATA!$H$5:'IN_DATA'!H160)-SUM(IN_DATA!$F$5:'IN_DATA'!F160))/1000)</f>
        <v/>
      </c>
      <c r="Z176" s="346" t="str">
        <f t="shared" si="45"/>
        <v/>
      </c>
      <c r="AA176" s="370" t="str">
        <f t="shared" si="37"/>
        <v/>
      </c>
      <c r="AB176" s="373" t="str">
        <f>IF(F176="", "", IF(IN_DATA!R160=3, MAX(CO2_Royalty_Factor-Z176/10000,0), IF('Economics Summary'!A176&lt;2, IF('Economics Summary'!Q176&lt;60000, 0.05, ((60000*0.05+('Economics Summary'!Q176-60000)*R176)/'Economics Summary'!Q176)),R176)))</f>
        <v/>
      </c>
      <c r="AC176" s="377" t="str">
        <f t="shared" si="46"/>
        <v/>
      </c>
      <c r="AD176" s="378" t="str">
        <f t="shared" si="38"/>
        <v/>
      </c>
    </row>
    <row r="177" spans="1:30" x14ac:dyDescent="0.2">
      <c r="A177" s="178">
        <v>156</v>
      </c>
      <c r="B177" s="178">
        <f t="shared" si="35"/>
        <v>2168</v>
      </c>
      <c r="C177" s="292" t="str">
        <f>IF(IN_DATA!C161="","",MAX(min_oil_price,MIN(C176+C176*$L$6,max_oil_price)))</f>
        <v/>
      </c>
      <c r="D177" s="293" t="str">
        <f>IF(IN_DATA!C161="","",MAX(min_gas_price,MIN(D176+D176*$L$7,max_gas_price)))</f>
        <v/>
      </c>
      <c r="E177" s="294" t="str">
        <f>IF(IN_DATA!C161="","",MIN(E176+E176*$L$8,16))</f>
        <v/>
      </c>
      <c r="F177" s="110" t="str">
        <f>IF(O177="", "", IN_DATA!C161*365*OCF*FPF)</f>
        <v/>
      </c>
      <c r="G177" s="184" t="str">
        <f>IF(O177="","",IN_DATA!D161*365*FPF*OCF)</f>
        <v/>
      </c>
      <c r="H177" s="235" t="str">
        <f t="shared" si="39"/>
        <v/>
      </c>
      <c r="I177" s="238" t="str">
        <f t="shared" si="40"/>
        <v/>
      </c>
      <c r="J177" s="236" t="str">
        <f t="shared" si="41"/>
        <v/>
      </c>
      <c r="K177" s="239" t="str">
        <f t="shared" si="42"/>
        <v/>
      </c>
      <c r="L177" s="247" t="str">
        <f t="shared" si="47"/>
        <v/>
      </c>
      <c r="M177" s="244" t="str">
        <f>IF(I177=""," ",IF(IN_DATA!R161=1,"Primary Rec.",IF(IN_DATA!R161=2,"Water Flood",IF(IN_DATA!R161=3,"CO2 Flood",""))))</f>
        <v xml:space="preserve"> </v>
      </c>
      <c r="N177" s="109" t="str">
        <f>IF(I177="","",IF(O177=0, 0, OpCost!AD166))</f>
        <v/>
      </c>
      <c r="O177" s="187" t="str">
        <f>IF(OpCost!AE166="", "", OpCost!AE166)</f>
        <v/>
      </c>
      <c r="P177" s="251" t="str">
        <f>IF(F177="","",((IN_DATA!C161+IN_DATA!D161/10)/IN_DATA!P161))</f>
        <v/>
      </c>
      <c r="Q177" s="248" t="str">
        <f>IF(F177="","",SUM($P$21:P177)*365)</f>
        <v/>
      </c>
      <c r="R177" s="249" t="str">
        <f>IF(F177="", "", HLOOKUP(C177,'Reference-Crown Royalties'!$D$2:$AB$49,MATCH(P177,'Reference-Crown Royalties'!$A$2:$A$49,1),TRUE))</f>
        <v/>
      </c>
      <c r="S177" s="276" t="str">
        <f>IF(F177="", "", IF(IN_DATA!R161=3, CO2_Royalty_Factor, IF('Economics Summary'!A177&lt;2, IF('Economics Summary'!Q177&lt;60000, 0.05, ((60000*0.05+('Economics Summary'!Q177-60000)*R177)/'Economics Summary'!Q177)),R177)))</f>
        <v/>
      </c>
      <c r="T177" s="250" t="str">
        <f t="shared" si="43"/>
        <v/>
      </c>
      <c r="U177" s="250" t="str">
        <f t="shared" si="44"/>
        <v/>
      </c>
      <c r="V177" s="344" t="str">
        <f t="shared" si="36"/>
        <v/>
      </c>
      <c r="W177" s="257" t="str">
        <f>IF(F177="","",SUM($V$21:V177))</f>
        <v/>
      </c>
      <c r="X177" s="260" t="str">
        <f xml:space="preserve"> IF(OR(F177="",SUM(IN_DATA!$H$5:'IN_DATA'!H161)=0), "", 1-SUM(IN_DATA!$F$5:'IN_DATA'!F161)/SUM(IN_DATA!$H$5:'IN_DATA'!H161))</f>
        <v/>
      </c>
      <c r="Y177" s="307" t="str">
        <f>IF(OR(F177="",SUM(IN_DATA!$H$5:'IN_DATA'!H161)=0),"",365*(SUM(IN_DATA!$H$5:'IN_DATA'!H161)-SUM(IN_DATA!$F$5:'IN_DATA'!F161))/1000)</f>
        <v/>
      </c>
      <c r="Z177" s="346" t="str">
        <f t="shared" si="45"/>
        <v/>
      </c>
      <c r="AA177" s="370" t="str">
        <f t="shared" si="37"/>
        <v/>
      </c>
      <c r="AB177" s="373" t="str">
        <f>IF(F177="", "", IF(IN_DATA!R161=3, MAX(CO2_Royalty_Factor-Z177/10000,0), IF('Economics Summary'!A177&lt;2, IF('Economics Summary'!Q177&lt;60000, 0.05, ((60000*0.05+('Economics Summary'!Q177-60000)*R177)/'Economics Summary'!Q177)),R177)))</f>
        <v/>
      </c>
      <c r="AC177" s="377" t="str">
        <f t="shared" si="46"/>
        <v/>
      </c>
      <c r="AD177" s="378" t="str">
        <f t="shared" si="38"/>
        <v/>
      </c>
    </row>
    <row r="178" spans="1:30" x14ac:dyDescent="0.2">
      <c r="A178" s="178">
        <v>157</v>
      </c>
      <c r="B178" s="178">
        <f t="shared" si="35"/>
        <v>2169</v>
      </c>
      <c r="C178" s="292" t="str">
        <f>IF(IN_DATA!C162="","",MAX(min_oil_price,MIN(C177+C177*$L$6,max_oil_price)))</f>
        <v/>
      </c>
      <c r="D178" s="293" t="str">
        <f>IF(IN_DATA!C162="","",MAX(min_gas_price,MIN(D177+D177*$L$7,max_gas_price)))</f>
        <v/>
      </c>
      <c r="E178" s="294" t="str">
        <f>IF(IN_DATA!C162="","",MIN(E177+E177*$L$8,16))</f>
        <v/>
      </c>
      <c r="F178" s="110" t="str">
        <f>IF(O178="", "", IN_DATA!C162*365*OCF*FPF)</f>
        <v/>
      </c>
      <c r="G178" s="184" t="str">
        <f>IF(O178="","",IN_DATA!D162*365*FPF*OCF)</f>
        <v/>
      </c>
      <c r="H178" s="235" t="str">
        <f t="shared" si="39"/>
        <v/>
      </c>
      <c r="I178" s="238" t="str">
        <f t="shared" si="40"/>
        <v/>
      </c>
      <c r="J178" s="236" t="str">
        <f t="shared" si="41"/>
        <v/>
      </c>
      <c r="K178" s="239" t="str">
        <f t="shared" si="42"/>
        <v/>
      </c>
      <c r="L178" s="247" t="str">
        <f t="shared" si="47"/>
        <v/>
      </c>
      <c r="M178" s="244" t="str">
        <f>IF(I178=""," ",IF(IN_DATA!R162=1,"Primary Rec.",IF(IN_DATA!R162=2,"Water Flood",IF(IN_DATA!R162=3,"CO2 Flood",""))))</f>
        <v xml:space="preserve"> </v>
      </c>
      <c r="N178" s="109" t="str">
        <f>IF(I178="","",IF(O178=0, 0, OpCost!AD167))</f>
        <v/>
      </c>
      <c r="O178" s="187" t="str">
        <f>IF(OpCost!AE167="", "", OpCost!AE167)</f>
        <v/>
      </c>
      <c r="P178" s="251" t="str">
        <f>IF(F178="","",((IN_DATA!C162+IN_DATA!D162/10)/IN_DATA!P162))</f>
        <v/>
      </c>
      <c r="Q178" s="248" t="str">
        <f>IF(F178="","",SUM($P$21:P178)*365)</f>
        <v/>
      </c>
      <c r="R178" s="249" t="str">
        <f>IF(F178="", "", HLOOKUP(C178,'Reference-Crown Royalties'!$D$2:$AB$49,MATCH(P178,'Reference-Crown Royalties'!$A$2:$A$49,1),TRUE))</f>
        <v/>
      </c>
      <c r="S178" s="276" t="str">
        <f>IF(F178="", "", IF(IN_DATA!R162=3, CO2_Royalty_Factor, IF('Economics Summary'!A178&lt;2, IF('Economics Summary'!Q178&lt;60000, 0.05, ((60000*0.05+('Economics Summary'!Q178-60000)*R178)/'Economics Summary'!Q178)),R178)))</f>
        <v/>
      </c>
      <c r="T178" s="250" t="str">
        <f t="shared" si="43"/>
        <v/>
      </c>
      <c r="U178" s="250" t="str">
        <f t="shared" si="44"/>
        <v/>
      </c>
      <c r="V178" s="344" t="str">
        <f t="shared" si="36"/>
        <v/>
      </c>
      <c r="W178" s="257" t="str">
        <f>IF(F178="","",SUM($V$21:V178))</f>
        <v/>
      </c>
      <c r="X178" s="260" t="str">
        <f xml:space="preserve"> IF(OR(F178="",SUM(IN_DATA!$H$5:'IN_DATA'!H162)=0), "", 1-SUM(IN_DATA!$F$5:'IN_DATA'!F162)/SUM(IN_DATA!$H$5:'IN_DATA'!H162))</f>
        <v/>
      </c>
      <c r="Y178" s="307" t="str">
        <f>IF(OR(F178="",SUM(IN_DATA!$H$5:'IN_DATA'!H162)=0),"",365*(SUM(IN_DATA!$H$5:'IN_DATA'!H162)-SUM(IN_DATA!$F$5:'IN_DATA'!F162))/1000)</f>
        <v/>
      </c>
      <c r="Z178" s="346" t="str">
        <f t="shared" si="45"/>
        <v/>
      </c>
      <c r="AA178" s="370" t="str">
        <f t="shared" si="37"/>
        <v/>
      </c>
      <c r="AB178" s="373" t="str">
        <f>IF(F178="", "", IF(IN_DATA!R162=3, MAX(CO2_Royalty_Factor-Z178/10000,0), IF('Economics Summary'!A178&lt;2, IF('Economics Summary'!Q178&lt;60000, 0.05, ((60000*0.05+('Economics Summary'!Q178-60000)*R178)/'Economics Summary'!Q178)),R178)))</f>
        <v/>
      </c>
      <c r="AC178" s="377" t="str">
        <f t="shared" si="46"/>
        <v/>
      </c>
      <c r="AD178" s="378" t="str">
        <f t="shared" si="38"/>
        <v/>
      </c>
    </row>
    <row r="179" spans="1:30" x14ac:dyDescent="0.2">
      <c r="A179" s="178">
        <v>158</v>
      </c>
      <c r="B179" s="178">
        <f t="shared" si="35"/>
        <v>2170</v>
      </c>
      <c r="C179" s="292" t="str">
        <f>IF(IN_DATA!C163="","",MAX(min_oil_price,MIN(C178+C178*$L$6,max_oil_price)))</f>
        <v/>
      </c>
      <c r="D179" s="293" t="str">
        <f>IF(IN_DATA!C163="","",MAX(min_gas_price,MIN(D178+D178*$L$7,max_gas_price)))</f>
        <v/>
      </c>
      <c r="E179" s="294" t="str">
        <f>IF(IN_DATA!C163="","",MIN(E178+E178*$L$8,16))</f>
        <v/>
      </c>
      <c r="F179" s="110" t="str">
        <f>IF(O179="", "", IN_DATA!C163*365*OCF*FPF)</f>
        <v/>
      </c>
      <c r="G179" s="184" t="str">
        <f>IF(O179="","",IN_DATA!D163*365*FPF*OCF)</f>
        <v/>
      </c>
      <c r="H179" s="235" t="str">
        <f t="shared" si="39"/>
        <v/>
      </c>
      <c r="I179" s="238" t="str">
        <f t="shared" si="40"/>
        <v/>
      </c>
      <c r="J179" s="236" t="str">
        <f t="shared" si="41"/>
        <v/>
      </c>
      <c r="K179" s="239" t="str">
        <f t="shared" si="42"/>
        <v/>
      </c>
      <c r="L179" s="247" t="str">
        <f t="shared" si="47"/>
        <v/>
      </c>
      <c r="M179" s="244" t="str">
        <f>IF(I179=""," ",IF(IN_DATA!R163=1,"Primary Rec.",IF(IN_DATA!R163=2,"Water Flood",IF(IN_DATA!R163=3,"CO2 Flood",""))))</f>
        <v xml:space="preserve"> </v>
      </c>
      <c r="N179" s="109" t="str">
        <f>IF(I179="","",IF(O179=0, 0, OpCost!AD168))</f>
        <v/>
      </c>
      <c r="O179" s="187" t="str">
        <f>IF(OpCost!AE168="", "", OpCost!AE168)</f>
        <v/>
      </c>
      <c r="P179" s="251" t="str">
        <f>IF(F179="","",((IN_DATA!C163+IN_DATA!D163/10)/IN_DATA!P163))</f>
        <v/>
      </c>
      <c r="Q179" s="248" t="str">
        <f>IF(F179="","",SUM($P$21:P179)*365)</f>
        <v/>
      </c>
      <c r="R179" s="249" t="str">
        <f>IF(F179="", "", HLOOKUP(C179,'Reference-Crown Royalties'!$D$2:$AB$49,MATCH(P179,'Reference-Crown Royalties'!$A$2:$A$49,1),TRUE))</f>
        <v/>
      </c>
      <c r="S179" s="276" t="str">
        <f>IF(F179="", "", IF(IN_DATA!R163=3, CO2_Royalty_Factor, IF('Economics Summary'!A179&lt;2, IF('Economics Summary'!Q179&lt;60000, 0.05, ((60000*0.05+('Economics Summary'!Q179-60000)*R179)/'Economics Summary'!Q179)),R179)))</f>
        <v/>
      </c>
      <c r="T179" s="250" t="str">
        <f t="shared" si="43"/>
        <v/>
      </c>
      <c r="U179" s="250" t="str">
        <f t="shared" si="44"/>
        <v/>
      </c>
      <c r="V179" s="344" t="str">
        <f t="shared" si="36"/>
        <v/>
      </c>
      <c r="W179" s="257" t="str">
        <f>IF(F179="","",SUM($V$21:V179))</f>
        <v/>
      </c>
      <c r="X179" s="260" t="str">
        <f xml:space="preserve"> IF(OR(F179="",SUM(IN_DATA!$H$5:'IN_DATA'!H163)=0), "", 1-SUM(IN_DATA!$F$5:'IN_DATA'!F163)/SUM(IN_DATA!$H$5:'IN_DATA'!H163))</f>
        <v/>
      </c>
      <c r="Y179" s="307" t="str">
        <f>IF(OR(F179="",SUM(IN_DATA!$H$5:'IN_DATA'!H163)=0),"",365*(SUM(IN_DATA!$H$5:'IN_DATA'!H163)-SUM(IN_DATA!$F$5:'IN_DATA'!F163))/1000)</f>
        <v/>
      </c>
      <c r="Z179" s="346" t="str">
        <f t="shared" si="45"/>
        <v/>
      </c>
      <c r="AA179" s="370" t="str">
        <f t="shared" si="37"/>
        <v/>
      </c>
      <c r="AB179" s="373" t="str">
        <f>IF(F179="", "", IF(IN_DATA!R163=3, MAX(CO2_Royalty_Factor-Z179/10000,0), IF('Economics Summary'!A179&lt;2, IF('Economics Summary'!Q179&lt;60000, 0.05, ((60000*0.05+('Economics Summary'!Q179-60000)*R179)/'Economics Summary'!Q179)),R179)))</f>
        <v/>
      </c>
      <c r="AC179" s="377" t="str">
        <f t="shared" si="46"/>
        <v/>
      </c>
      <c r="AD179" s="378" t="str">
        <f t="shared" si="38"/>
        <v/>
      </c>
    </row>
    <row r="180" spans="1:30" x14ac:dyDescent="0.2">
      <c r="A180" s="178">
        <v>159</v>
      </c>
      <c r="B180" s="178">
        <f t="shared" si="35"/>
        <v>2171</v>
      </c>
      <c r="C180" s="292" t="str">
        <f>IF(IN_DATA!C164="","",MAX(min_oil_price,MIN(C179+C179*$L$6,max_oil_price)))</f>
        <v/>
      </c>
      <c r="D180" s="293" t="str">
        <f>IF(IN_DATA!C164="","",MAX(min_gas_price,MIN(D179+D179*$L$7,max_gas_price)))</f>
        <v/>
      </c>
      <c r="E180" s="294" t="str">
        <f>IF(IN_DATA!C164="","",MIN(E179+E179*$L$8,16))</f>
        <v/>
      </c>
      <c r="F180" s="110" t="str">
        <f>IF(O180="", "", IN_DATA!C164*365*OCF*FPF)</f>
        <v/>
      </c>
      <c r="G180" s="184" t="str">
        <f>IF(O180="","",IN_DATA!D164*365*FPF*OCF)</f>
        <v/>
      </c>
      <c r="H180" s="235" t="str">
        <f t="shared" si="39"/>
        <v/>
      </c>
      <c r="I180" s="238" t="str">
        <f t="shared" si="40"/>
        <v/>
      </c>
      <c r="J180" s="236" t="str">
        <f t="shared" si="41"/>
        <v/>
      </c>
      <c r="K180" s="239" t="str">
        <f t="shared" si="42"/>
        <v/>
      </c>
      <c r="L180" s="247" t="str">
        <f t="shared" si="47"/>
        <v/>
      </c>
      <c r="M180" s="244" t="str">
        <f>IF(I180=""," ",IF(IN_DATA!R164=1,"Primary Rec.",IF(IN_DATA!R164=2,"Water Flood",IF(IN_DATA!R164=3,"CO2 Flood",""))))</f>
        <v xml:space="preserve"> </v>
      </c>
      <c r="N180" s="109" t="str">
        <f>IF(I180="","",IF(O180=0, 0, OpCost!AD169))</f>
        <v/>
      </c>
      <c r="O180" s="187" t="str">
        <f>IF(OpCost!AE169="", "", OpCost!AE169)</f>
        <v/>
      </c>
      <c r="P180" s="251" t="str">
        <f>IF(F180="","",((IN_DATA!C164+IN_DATA!D164/10)/IN_DATA!P164))</f>
        <v/>
      </c>
      <c r="Q180" s="248" t="str">
        <f>IF(F180="","",SUM($P$21:P180)*365)</f>
        <v/>
      </c>
      <c r="R180" s="249" t="str">
        <f>IF(F180="", "", HLOOKUP(C180,'Reference-Crown Royalties'!$D$2:$AB$49,MATCH(P180,'Reference-Crown Royalties'!$A$2:$A$49,1),TRUE))</f>
        <v/>
      </c>
      <c r="S180" s="276" t="str">
        <f>IF(F180="", "", IF(IN_DATA!R164=3, CO2_Royalty_Factor, IF('Economics Summary'!A180&lt;2, IF('Economics Summary'!Q180&lt;60000, 0.05, ((60000*0.05+('Economics Summary'!Q180-60000)*R180)/'Economics Summary'!Q180)),R180)))</f>
        <v/>
      </c>
      <c r="T180" s="250" t="str">
        <f t="shared" si="43"/>
        <v/>
      </c>
      <c r="U180" s="250" t="str">
        <f t="shared" si="44"/>
        <v/>
      </c>
      <c r="V180" s="344" t="str">
        <f t="shared" si="36"/>
        <v/>
      </c>
      <c r="W180" s="257" t="str">
        <f>IF(F180="","",SUM($V$21:V180))</f>
        <v/>
      </c>
      <c r="X180" s="260" t="str">
        <f xml:space="preserve"> IF(OR(F180="",SUM(IN_DATA!$H$5:'IN_DATA'!H164)=0), "", 1-SUM(IN_DATA!$F$5:'IN_DATA'!F164)/SUM(IN_DATA!$H$5:'IN_DATA'!H164))</f>
        <v/>
      </c>
      <c r="Y180" s="307" t="str">
        <f>IF(OR(F180="",SUM(IN_DATA!$H$5:'IN_DATA'!H164)=0),"",365*(SUM(IN_DATA!$H$5:'IN_DATA'!H164)-SUM(IN_DATA!$F$5:'IN_DATA'!F164))/1000)</f>
        <v/>
      </c>
      <c r="Z180" s="346" t="str">
        <f t="shared" si="45"/>
        <v/>
      </c>
      <c r="AA180" s="370" t="str">
        <f t="shared" si="37"/>
        <v/>
      </c>
      <c r="AB180" s="373" t="str">
        <f>IF(F180="", "", IF(IN_DATA!R164=3, MAX(CO2_Royalty_Factor-Z180/10000,0), IF('Economics Summary'!A180&lt;2, IF('Economics Summary'!Q180&lt;60000, 0.05, ((60000*0.05+('Economics Summary'!Q180-60000)*R180)/'Economics Summary'!Q180)),R180)))</f>
        <v/>
      </c>
      <c r="AC180" s="377" t="str">
        <f t="shared" si="46"/>
        <v/>
      </c>
      <c r="AD180" s="378" t="str">
        <f t="shared" si="38"/>
        <v/>
      </c>
    </row>
    <row r="181" spans="1:30" x14ac:dyDescent="0.2">
      <c r="A181" s="178">
        <v>160</v>
      </c>
      <c r="B181" s="178">
        <f t="shared" si="35"/>
        <v>2172</v>
      </c>
      <c r="C181" s="292" t="str">
        <f>IF(IN_DATA!C165="","",MAX(min_oil_price,MIN(C180+C180*$L$6,max_oil_price)))</f>
        <v/>
      </c>
      <c r="D181" s="293" t="str">
        <f>IF(IN_DATA!C165="","",MAX(min_gas_price,MIN(D180+D180*$L$7,max_gas_price)))</f>
        <v/>
      </c>
      <c r="E181" s="294" t="str">
        <f>IF(IN_DATA!C165="","",MIN(E180+E180*$L$8,16))</f>
        <v/>
      </c>
      <c r="F181" s="110" t="str">
        <f>IF(O181="", "", IN_DATA!C165*365*OCF*FPF)</f>
        <v/>
      </c>
      <c r="G181" s="184" t="str">
        <f>IF(O181="","",IN_DATA!D165*365*FPF*OCF)</f>
        <v/>
      </c>
      <c r="H181" s="235" t="str">
        <f t="shared" si="39"/>
        <v/>
      </c>
      <c r="I181" s="238" t="str">
        <f t="shared" si="40"/>
        <v/>
      </c>
      <c r="J181" s="236" t="str">
        <f t="shared" si="41"/>
        <v/>
      </c>
      <c r="K181" s="239" t="str">
        <f t="shared" si="42"/>
        <v/>
      </c>
      <c r="L181" s="247" t="str">
        <f t="shared" si="47"/>
        <v/>
      </c>
      <c r="M181" s="244" t="str">
        <f>IF(I181=""," ",IF(IN_DATA!R165=1,"Primary Rec.",IF(IN_DATA!R165=2,"Water Flood",IF(IN_DATA!R165=3,"CO2 Flood",""))))</f>
        <v xml:space="preserve"> </v>
      </c>
      <c r="N181" s="109" t="str">
        <f>IF(I181="","",IF(O181=0, 0, OpCost!AD170))</f>
        <v/>
      </c>
      <c r="O181" s="187" t="str">
        <f>IF(OpCost!AE170="", "", OpCost!AE170)</f>
        <v/>
      </c>
      <c r="P181" s="251" t="str">
        <f>IF(F181="","",((IN_DATA!C165+IN_DATA!D165/10)/IN_DATA!P165))</f>
        <v/>
      </c>
      <c r="Q181" s="248" t="str">
        <f>IF(F181="","",SUM($P$21:P181)*365)</f>
        <v/>
      </c>
      <c r="R181" s="249" t="str">
        <f>IF(F181="", "", HLOOKUP(C181,'Reference-Crown Royalties'!$D$2:$AB$49,MATCH(P181,'Reference-Crown Royalties'!$A$2:$A$49,1),TRUE))</f>
        <v/>
      </c>
      <c r="S181" s="276" t="str">
        <f>IF(F181="", "", IF(IN_DATA!R165=3, CO2_Royalty_Factor, IF('Economics Summary'!A181&lt;2, IF('Economics Summary'!Q181&lt;60000, 0.05, ((60000*0.05+('Economics Summary'!Q181-60000)*R181)/'Economics Summary'!Q181)),R181)))</f>
        <v/>
      </c>
      <c r="T181" s="250" t="str">
        <f t="shared" si="43"/>
        <v/>
      </c>
      <c r="U181" s="250" t="str">
        <f t="shared" si="44"/>
        <v/>
      </c>
      <c r="V181" s="344" t="str">
        <f t="shared" ref="V181:V212" si="48">IF(F181="","",IF(T181-L181&lt;0,T181-L181,(T181-L181)*(1-Tax_Rate)))</f>
        <v/>
      </c>
      <c r="W181" s="257" t="str">
        <f>IF(F181="","",SUM($V$21:V181))</f>
        <v/>
      </c>
      <c r="X181" s="260" t="str">
        <f xml:space="preserve"> IF(OR(F181="",SUM(IN_DATA!$H$5:'IN_DATA'!H165)=0), "", 1-SUM(IN_DATA!$F$5:'IN_DATA'!F165)/SUM(IN_DATA!$H$5:'IN_DATA'!H165))</f>
        <v/>
      </c>
      <c r="Y181" s="307" t="str">
        <f>IF(OR(F181="",SUM(IN_DATA!$H$5:'IN_DATA'!H165)=0),"",365*(SUM(IN_DATA!$H$5:'IN_DATA'!H165)-SUM(IN_DATA!$F$5:'IN_DATA'!F165))/1000)</f>
        <v/>
      </c>
      <c r="Z181" s="346" t="str">
        <f t="shared" si="45"/>
        <v/>
      </c>
      <c r="AA181" s="370" t="str">
        <f t="shared" ref="AA181:AA212" si="49">IF(F181="","",IF(T181-L181+(Z181*CO2_Incentive)&lt;0,T181-L181+(Z181*CO2_Incentive),(T181-L181+(Z181*CO2_Incentive))*(1-Tax_Rate)))</f>
        <v/>
      </c>
      <c r="AB181" s="373" t="str">
        <f>IF(F181="", "", IF(IN_DATA!R165=3, MAX(CO2_Royalty_Factor-Z181/10000,0), IF('Economics Summary'!A181&lt;2, IF('Economics Summary'!Q181&lt;60000, 0.05, ((60000*0.05+('Economics Summary'!Q181-60000)*R181)/'Economics Summary'!Q181)),R181)))</f>
        <v/>
      </c>
      <c r="AC181" s="377" t="str">
        <f t="shared" si="46"/>
        <v/>
      </c>
      <c r="AD181" s="378" t="str">
        <f t="shared" ref="AD181:AD212" si="50">IF(F181="","",IF(AC181-L181&lt;0,AC181-L181,(AC181-L181)*(1-Tax_Rate)))</f>
        <v/>
      </c>
    </row>
    <row r="182" spans="1:30" x14ac:dyDescent="0.2">
      <c r="A182" s="178">
        <v>161</v>
      </c>
      <c r="B182" s="178">
        <f t="shared" si="35"/>
        <v>2173</v>
      </c>
      <c r="C182" s="292" t="str">
        <f>IF(IN_DATA!C166="","",MAX(min_oil_price,MIN(C181+C181*$L$6,max_oil_price)))</f>
        <v/>
      </c>
      <c r="D182" s="293" t="str">
        <f>IF(IN_DATA!C166="","",MAX(min_gas_price,MIN(D181+D181*$L$7,max_gas_price)))</f>
        <v/>
      </c>
      <c r="E182" s="294" t="str">
        <f>IF(IN_DATA!C166="","",MIN(E181+E181*$L$8,16))</f>
        <v/>
      </c>
      <c r="F182" s="110" t="str">
        <f>IF(O182="", "", IN_DATA!C166*365*OCF*FPF)</f>
        <v/>
      </c>
      <c r="G182" s="184" t="str">
        <f>IF(O182="","",IN_DATA!D166*365*FPF*OCF)</f>
        <v/>
      </c>
      <c r="H182" s="235" t="str">
        <f t="shared" si="39"/>
        <v/>
      </c>
      <c r="I182" s="238" t="str">
        <f t="shared" si="40"/>
        <v/>
      </c>
      <c r="J182" s="236" t="str">
        <f t="shared" si="41"/>
        <v/>
      </c>
      <c r="K182" s="239" t="str">
        <f t="shared" si="42"/>
        <v/>
      </c>
      <c r="L182" s="247" t="str">
        <f t="shared" si="47"/>
        <v/>
      </c>
      <c r="M182" s="244" t="str">
        <f>IF(I182=""," ",IF(IN_DATA!R166=1,"Primary Rec.",IF(IN_DATA!R166=2,"Water Flood",IF(IN_DATA!R166=3,"CO2 Flood",""))))</f>
        <v xml:space="preserve"> </v>
      </c>
      <c r="N182" s="109" t="str">
        <f>IF(I182="","",IF(O182=0, 0, OpCost!AD171))</f>
        <v/>
      </c>
      <c r="O182" s="187" t="str">
        <f>IF(OpCost!AE171="", "", OpCost!AE171)</f>
        <v/>
      </c>
      <c r="P182" s="251" t="str">
        <f>IF(F182="","",((IN_DATA!C166+IN_DATA!D166/10)/IN_DATA!P166))</f>
        <v/>
      </c>
      <c r="Q182" s="248" t="str">
        <f>IF(F182="","",SUM($P$21:P182)*365)</f>
        <v/>
      </c>
      <c r="R182" s="249" t="str">
        <f>IF(F182="", "", HLOOKUP(C182,'Reference-Crown Royalties'!$D$2:$AB$49,MATCH(P182,'Reference-Crown Royalties'!$A$2:$A$49,1),TRUE))</f>
        <v/>
      </c>
      <c r="S182" s="276" t="str">
        <f>IF(F182="", "", IF(IN_DATA!R166=3, CO2_Royalty_Factor, IF('Economics Summary'!A182&lt;2, IF('Economics Summary'!Q182&lt;60000, 0.05, ((60000*0.05+('Economics Summary'!Q182-60000)*R182)/'Economics Summary'!Q182)),R182)))</f>
        <v/>
      </c>
      <c r="T182" s="250" t="str">
        <f t="shared" si="43"/>
        <v/>
      </c>
      <c r="U182" s="250" t="str">
        <f t="shared" si="44"/>
        <v/>
      </c>
      <c r="V182" s="344" t="str">
        <f t="shared" si="48"/>
        <v/>
      </c>
      <c r="W182" s="257" t="str">
        <f>IF(F182="","",SUM($V$21:V182))</f>
        <v/>
      </c>
      <c r="X182" s="260" t="str">
        <f xml:space="preserve"> IF(OR(F182="",SUM(IN_DATA!$H$5:'IN_DATA'!H166)=0), "", 1-SUM(IN_DATA!$F$5:'IN_DATA'!F166)/SUM(IN_DATA!$H$5:'IN_DATA'!H166))</f>
        <v/>
      </c>
      <c r="Y182" s="307" t="str">
        <f>IF(OR(F182="",SUM(IN_DATA!$H$5:'IN_DATA'!H166)=0),"",365*(SUM(IN_DATA!$H$5:'IN_DATA'!H166)-SUM(IN_DATA!$F$5:'IN_DATA'!F166))/1000)</f>
        <v/>
      </c>
      <c r="Z182" s="346" t="str">
        <f t="shared" si="45"/>
        <v/>
      </c>
      <c r="AA182" s="370" t="str">
        <f t="shared" si="49"/>
        <v/>
      </c>
      <c r="AB182" s="373" t="str">
        <f>IF(F182="", "", IF(IN_DATA!R166=3, MAX(CO2_Royalty_Factor-Z182/10000,0), IF('Economics Summary'!A182&lt;2, IF('Economics Summary'!Q182&lt;60000, 0.05, ((60000*0.05+('Economics Summary'!Q182-60000)*R182)/'Economics Summary'!Q182)),R182)))</f>
        <v/>
      </c>
      <c r="AC182" s="377" t="str">
        <f t="shared" si="46"/>
        <v/>
      </c>
      <c r="AD182" s="378" t="str">
        <f t="shared" si="50"/>
        <v/>
      </c>
    </row>
    <row r="183" spans="1:30" x14ac:dyDescent="0.2">
      <c r="A183" s="178">
        <v>162</v>
      </c>
      <c r="B183" s="178">
        <f t="shared" si="35"/>
        <v>2174</v>
      </c>
      <c r="C183" s="292" t="str">
        <f>IF(IN_DATA!C167="","",MAX(min_oil_price,MIN(C182+C182*$L$6,max_oil_price)))</f>
        <v/>
      </c>
      <c r="D183" s="293" t="str">
        <f>IF(IN_DATA!C167="","",MAX(min_gas_price,MIN(D182+D182*$L$7,max_gas_price)))</f>
        <v/>
      </c>
      <c r="E183" s="294" t="str">
        <f>IF(IN_DATA!C167="","",MIN(E182+E182*$L$8,16))</f>
        <v/>
      </c>
      <c r="F183" s="110" t="str">
        <f>IF(O183="", "", IN_DATA!C167*365*OCF*FPF)</f>
        <v/>
      </c>
      <c r="G183" s="184" t="str">
        <f>IF(O183="","",IN_DATA!D167*365*FPF*OCF)</f>
        <v/>
      </c>
      <c r="H183" s="235" t="str">
        <f t="shared" si="39"/>
        <v/>
      </c>
      <c r="I183" s="238" t="str">
        <f t="shared" si="40"/>
        <v/>
      </c>
      <c r="J183" s="236" t="str">
        <f t="shared" si="41"/>
        <v/>
      </c>
      <c r="K183" s="239" t="str">
        <f t="shared" si="42"/>
        <v/>
      </c>
      <c r="L183" s="247" t="str">
        <f t="shared" si="47"/>
        <v/>
      </c>
      <c r="M183" s="244" t="str">
        <f>IF(I183=""," ",IF(IN_DATA!R167=1,"Primary Rec.",IF(IN_DATA!R167=2,"Water Flood",IF(IN_DATA!R167=3,"CO2 Flood",""))))</f>
        <v xml:space="preserve"> </v>
      </c>
      <c r="N183" s="109" t="str">
        <f>IF(I183="","",IF(O183=0, 0, OpCost!AD172))</f>
        <v/>
      </c>
      <c r="O183" s="187" t="str">
        <f>IF(OpCost!AE172="", "", OpCost!AE172)</f>
        <v/>
      </c>
      <c r="P183" s="251" t="str">
        <f>IF(F183="","",((IN_DATA!C167+IN_DATA!D167/10)/IN_DATA!P167))</f>
        <v/>
      </c>
      <c r="Q183" s="248" t="str">
        <f>IF(F183="","",SUM($P$21:P183)*365)</f>
        <v/>
      </c>
      <c r="R183" s="249" t="str">
        <f>IF(F183="", "", HLOOKUP(C183,'Reference-Crown Royalties'!$D$2:$AB$49,MATCH(P183,'Reference-Crown Royalties'!$A$2:$A$49,1),TRUE))</f>
        <v/>
      </c>
      <c r="S183" s="276" t="str">
        <f>IF(F183="", "", IF(IN_DATA!R167=3, CO2_Royalty_Factor, IF('Economics Summary'!A183&lt;2, IF('Economics Summary'!Q183&lt;60000, 0.05, ((60000*0.05+('Economics Summary'!Q183-60000)*R183)/'Economics Summary'!Q183)),R183)))</f>
        <v/>
      </c>
      <c r="T183" s="250" t="str">
        <f t="shared" si="43"/>
        <v/>
      </c>
      <c r="U183" s="250" t="str">
        <f t="shared" si="44"/>
        <v/>
      </c>
      <c r="V183" s="344" t="str">
        <f t="shared" si="48"/>
        <v/>
      </c>
      <c r="W183" s="257" t="str">
        <f>IF(F183="","",SUM($V$21:V183))</f>
        <v/>
      </c>
      <c r="X183" s="260" t="str">
        <f xml:space="preserve"> IF(OR(F183="",SUM(IN_DATA!$H$5:'IN_DATA'!H167)=0), "", 1-SUM(IN_DATA!$F$5:'IN_DATA'!F167)/SUM(IN_DATA!$H$5:'IN_DATA'!H167))</f>
        <v/>
      </c>
      <c r="Y183" s="307" t="str">
        <f>IF(OR(F183="",SUM(IN_DATA!$H$5:'IN_DATA'!H167)=0),"",365*(SUM(IN_DATA!$H$5:'IN_DATA'!H167)-SUM(IN_DATA!$F$5:'IN_DATA'!F167))/1000)</f>
        <v/>
      </c>
      <c r="Z183" s="346" t="str">
        <f t="shared" si="45"/>
        <v/>
      </c>
      <c r="AA183" s="370" t="str">
        <f t="shared" si="49"/>
        <v/>
      </c>
      <c r="AB183" s="373" t="str">
        <f>IF(F183="", "", IF(IN_DATA!R167=3, MAX(CO2_Royalty_Factor-Z183/10000,0), IF('Economics Summary'!A183&lt;2, IF('Economics Summary'!Q183&lt;60000, 0.05, ((60000*0.05+('Economics Summary'!Q183-60000)*R183)/'Economics Summary'!Q183)),R183)))</f>
        <v/>
      </c>
      <c r="AC183" s="377" t="str">
        <f t="shared" si="46"/>
        <v/>
      </c>
      <c r="AD183" s="378" t="str">
        <f t="shared" si="50"/>
        <v/>
      </c>
    </row>
    <row r="184" spans="1:30" x14ac:dyDescent="0.2">
      <c r="A184" s="178">
        <v>163</v>
      </c>
      <c r="B184" s="178">
        <f t="shared" si="35"/>
        <v>2175</v>
      </c>
      <c r="C184" s="292" t="str">
        <f>IF(IN_DATA!C168="","",MAX(min_oil_price,MIN(C183+C183*$L$6,max_oil_price)))</f>
        <v/>
      </c>
      <c r="D184" s="293" t="str">
        <f>IF(IN_DATA!C168="","",MAX(min_gas_price,MIN(D183+D183*$L$7,max_gas_price)))</f>
        <v/>
      </c>
      <c r="E184" s="294" t="str">
        <f>IF(IN_DATA!C168="","",MIN(E183+E183*$L$8,16))</f>
        <v/>
      </c>
      <c r="F184" s="110" t="str">
        <f>IF(O184="", "", IN_DATA!C168*365*OCF*FPF)</f>
        <v/>
      </c>
      <c r="G184" s="184" t="str">
        <f>IF(O184="","",IN_DATA!D168*365*FPF*OCF)</f>
        <v/>
      </c>
      <c r="H184" s="235" t="str">
        <f t="shared" si="39"/>
        <v/>
      </c>
      <c r="I184" s="238" t="str">
        <f t="shared" si="40"/>
        <v/>
      </c>
      <c r="J184" s="236" t="str">
        <f t="shared" si="41"/>
        <v/>
      </c>
      <c r="K184" s="239" t="str">
        <f t="shared" si="42"/>
        <v/>
      </c>
      <c r="L184" s="247" t="str">
        <f t="shared" si="47"/>
        <v/>
      </c>
      <c r="M184" s="244" t="str">
        <f>IF(I184=""," ",IF(IN_DATA!R168=1,"Primary Rec.",IF(IN_DATA!R168=2,"Water Flood",IF(IN_DATA!R168=3,"CO2 Flood",""))))</f>
        <v xml:space="preserve"> </v>
      </c>
      <c r="N184" s="109" t="str">
        <f>IF(I184="","",IF(O184=0, 0, OpCost!AD173))</f>
        <v/>
      </c>
      <c r="O184" s="187" t="str">
        <f>IF(OpCost!AE173="", "", OpCost!AE173)</f>
        <v/>
      </c>
      <c r="P184" s="251" t="str">
        <f>IF(F184="","",((IN_DATA!C168+IN_DATA!D168/10)/IN_DATA!P168))</f>
        <v/>
      </c>
      <c r="Q184" s="248" t="str">
        <f>IF(F184="","",SUM($P$21:P184)*365)</f>
        <v/>
      </c>
      <c r="R184" s="249" t="str">
        <f>IF(F184="", "", HLOOKUP(C184,'Reference-Crown Royalties'!$D$2:$AB$49,MATCH(P184,'Reference-Crown Royalties'!$A$2:$A$49,1),TRUE))</f>
        <v/>
      </c>
      <c r="S184" s="276" t="str">
        <f>IF(F184="", "", IF(IN_DATA!R168=3, CO2_Royalty_Factor, IF('Economics Summary'!A184&lt;2, IF('Economics Summary'!Q184&lt;60000, 0.05, ((60000*0.05+('Economics Summary'!Q184-60000)*R184)/'Economics Summary'!Q184)),R184)))</f>
        <v/>
      </c>
      <c r="T184" s="250" t="str">
        <f t="shared" si="43"/>
        <v/>
      </c>
      <c r="U184" s="250" t="str">
        <f t="shared" si="44"/>
        <v/>
      </c>
      <c r="V184" s="344" t="str">
        <f t="shared" si="48"/>
        <v/>
      </c>
      <c r="W184" s="257" t="str">
        <f>IF(F184="","",SUM($V$21:V184))</f>
        <v/>
      </c>
      <c r="X184" s="260" t="str">
        <f xml:space="preserve"> IF(OR(F184="",SUM(IN_DATA!$H$5:'IN_DATA'!H168)=0), "", 1-SUM(IN_DATA!$F$5:'IN_DATA'!F168)/SUM(IN_DATA!$H$5:'IN_DATA'!H168))</f>
        <v/>
      </c>
      <c r="Y184" s="307" t="str">
        <f>IF(OR(F184="",SUM(IN_DATA!$H$5:'IN_DATA'!H168)=0),"",365*(SUM(IN_DATA!$H$5:'IN_DATA'!H168)-SUM(IN_DATA!$F$5:'IN_DATA'!F168))/1000)</f>
        <v/>
      </c>
      <c r="Z184" s="346" t="str">
        <f t="shared" si="45"/>
        <v/>
      </c>
      <c r="AA184" s="370" t="str">
        <f t="shared" si="49"/>
        <v/>
      </c>
      <c r="AB184" s="373" t="str">
        <f>IF(F184="", "", IF(IN_DATA!R168=3, MAX(CO2_Royalty_Factor-Z184/10000,0), IF('Economics Summary'!A184&lt;2, IF('Economics Summary'!Q184&lt;60000, 0.05, ((60000*0.05+('Economics Summary'!Q184-60000)*R184)/'Economics Summary'!Q184)),R184)))</f>
        <v/>
      </c>
      <c r="AC184" s="377" t="str">
        <f t="shared" si="46"/>
        <v/>
      </c>
      <c r="AD184" s="378" t="str">
        <f t="shared" si="50"/>
        <v/>
      </c>
    </row>
    <row r="185" spans="1:30" x14ac:dyDescent="0.2">
      <c r="A185" s="178">
        <v>164</v>
      </c>
      <c r="B185" s="178">
        <f t="shared" ref="B185:B220" si="51">A185+$B$16</f>
        <v>2176</v>
      </c>
      <c r="C185" s="292" t="str">
        <f>IF(IN_DATA!C169="","",MAX(min_oil_price,MIN(C184+C184*$L$6,max_oil_price)))</f>
        <v/>
      </c>
      <c r="D185" s="293" t="str">
        <f>IF(IN_DATA!C169="","",MAX(min_gas_price,MIN(D184+D184*$L$7,max_gas_price)))</f>
        <v/>
      </c>
      <c r="E185" s="294" t="str">
        <f>IF(IN_DATA!C169="","",MIN(E184+E184*$L$8,16))</f>
        <v/>
      </c>
      <c r="F185" s="110" t="str">
        <f>IF(O185="", "", IN_DATA!C169*365*OCF*FPF)</f>
        <v/>
      </c>
      <c r="G185" s="184" t="str">
        <f>IF(O185="","",IN_DATA!D169*365*FPF*OCF)</f>
        <v/>
      </c>
      <c r="H185" s="235" t="str">
        <f t="shared" si="39"/>
        <v/>
      </c>
      <c r="I185" s="238" t="str">
        <f t="shared" si="40"/>
        <v/>
      </c>
      <c r="J185" s="236" t="str">
        <f t="shared" si="41"/>
        <v/>
      </c>
      <c r="K185" s="239" t="str">
        <f t="shared" si="42"/>
        <v/>
      </c>
      <c r="L185" s="247" t="str">
        <f t="shared" si="47"/>
        <v/>
      </c>
      <c r="M185" s="244" t="str">
        <f>IF(I185=""," ",IF(IN_DATA!R169=1,"Primary Rec.",IF(IN_DATA!R169=2,"Water Flood",IF(IN_DATA!R169=3,"CO2 Flood",""))))</f>
        <v xml:space="preserve"> </v>
      </c>
      <c r="N185" s="109" t="str">
        <f>IF(I185="","",IF(O185=0, 0, OpCost!AD174))</f>
        <v/>
      </c>
      <c r="O185" s="187" t="str">
        <f>IF(OpCost!AE174="", "", OpCost!AE174)</f>
        <v/>
      </c>
      <c r="P185" s="251" t="str">
        <f>IF(F185="","",((IN_DATA!C169+IN_DATA!D169/10)/IN_DATA!P169))</f>
        <v/>
      </c>
      <c r="Q185" s="248" t="str">
        <f>IF(F185="","",SUM($P$21:P185)*365)</f>
        <v/>
      </c>
      <c r="R185" s="249" t="str">
        <f>IF(F185="", "", HLOOKUP(C185,'Reference-Crown Royalties'!$D$2:$AB$49,MATCH(P185,'Reference-Crown Royalties'!$A$2:$A$49,1),TRUE))</f>
        <v/>
      </c>
      <c r="S185" s="276" t="str">
        <f>IF(F185="", "", IF(IN_DATA!R169=3, CO2_Royalty_Factor, IF('Economics Summary'!A185&lt;2, IF('Economics Summary'!Q185&lt;60000, 0.05, ((60000*0.05+('Economics Summary'!Q185-60000)*R185)/'Economics Summary'!Q185)),R185)))</f>
        <v/>
      </c>
      <c r="T185" s="250" t="str">
        <f t="shared" si="43"/>
        <v/>
      </c>
      <c r="U185" s="250" t="str">
        <f t="shared" si="44"/>
        <v/>
      </c>
      <c r="V185" s="344" t="str">
        <f t="shared" si="48"/>
        <v/>
      </c>
      <c r="W185" s="257" t="str">
        <f>IF(F185="","",SUM($V$21:V185))</f>
        <v/>
      </c>
      <c r="X185" s="260" t="str">
        <f xml:space="preserve"> IF(OR(F185="",SUM(IN_DATA!$H$5:'IN_DATA'!H169)=0), "", 1-SUM(IN_DATA!$F$5:'IN_DATA'!F169)/SUM(IN_DATA!$H$5:'IN_DATA'!H169))</f>
        <v/>
      </c>
      <c r="Y185" s="307" t="str">
        <f>IF(OR(F185="",SUM(IN_DATA!$H$5:'IN_DATA'!H169)=0),"",365*(SUM(IN_DATA!$H$5:'IN_DATA'!H169)-SUM(IN_DATA!$F$5:'IN_DATA'!F169))/1000)</f>
        <v/>
      </c>
      <c r="Z185" s="346" t="str">
        <f t="shared" si="45"/>
        <v/>
      </c>
      <c r="AA185" s="370" t="str">
        <f t="shared" si="49"/>
        <v/>
      </c>
      <c r="AB185" s="373" t="str">
        <f>IF(F185="", "", IF(IN_DATA!R169=3, MAX(CO2_Royalty_Factor-Z185/10000,0), IF('Economics Summary'!A185&lt;2, IF('Economics Summary'!Q185&lt;60000, 0.05, ((60000*0.05+('Economics Summary'!Q185-60000)*R185)/'Economics Summary'!Q185)),R185)))</f>
        <v/>
      </c>
      <c r="AC185" s="377" t="str">
        <f t="shared" si="46"/>
        <v/>
      </c>
      <c r="AD185" s="378" t="str">
        <f t="shared" si="50"/>
        <v/>
      </c>
    </row>
    <row r="186" spans="1:30" x14ac:dyDescent="0.2">
      <c r="A186" s="178">
        <v>165</v>
      </c>
      <c r="B186" s="178">
        <f t="shared" si="51"/>
        <v>2177</v>
      </c>
      <c r="C186" s="292" t="str">
        <f>IF(IN_DATA!C170="","",MAX(min_oil_price,MIN(C185+C185*$L$6,max_oil_price)))</f>
        <v/>
      </c>
      <c r="D186" s="293" t="str">
        <f>IF(IN_DATA!C170="","",MAX(min_gas_price,MIN(D185+D185*$L$7,max_gas_price)))</f>
        <v/>
      </c>
      <c r="E186" s="294" t="str">
        <f>IF(IN_DATA!C170="","",MIN(E185+E185*$L$8,16))</f>
        <v/>
      </c>
      <c r="F186" s="110" t="str">
        <f>IF(O186="", "", IN_DATA!C170*365*OCF*FPF)</f>
        <v/>
      </c>
      <c r="G186" s="184" t="str">
        <f>IF(O186="","",IN_DATA!D170*365*FPF*OCF)</f>
        <v/>
      </c>
      <c r="H186" s="235" t="str">
        <f t="shared" si="39"/>
        <v/>
      </c>
      <c r="I186" s="238" t="str">
        <f t="shared" si="40"/>
        <v/>
      </c>
      <c r="J186" s="236" t="str">
        <f t="shared" si="41"/>
        <v/>
      </c>
      <c r="K186" s="239" t="str">
        <f t="shared" si="42"/>
        <v/>
      </c>
      <c r="L186" s="247" t="str">
        <f t="shared" si="47"/>
        <v/>
      </c>
      <c r="M186" s="244" t="str">
        <f>IF(I186=""," ",IF(IN_DATA!R170=1,"Primary Rec.",IF(IN_DATA!R170=2,"Water Flood",IF(IN_DATA!R170=3,"CO2 Flood",""))))</f>
        <v xml:space="preserve"> </v>
      </c>
      <c r="N186" s="109" t="str">
        <f>IF(I186="","",IF(O186=0, 0, OpCost!AD175))</f>
        <v/>
      </c>
      <c r="O186" s="187" t="str">
        <f>IF(OpCost!AE175="", "", OpCost!AE175)</f>
        <v/>
      </c>
      <c r="P186" s="251" t="str">
        <f>IF(F186="","",((IN_DATA!C170+IN_DATA!D170/10)/IN_DATA!P170))</f>
        <v/>
      </c>
      <c r="Q186" s="248" t="str">
        <f>IF(F186="","",SUM($P$21:P186)*365)</f>
        <v/>
      </c>
      <c r="R186" s="249" t="str">
        <f>IF(F186="", "", HLOOKUP(C186,'Reference-Crown Royalties'!$D$2:$AB$49,MATCH(P186,'Reference-Crown Royalties'!$A$2:$A$49,1),TRUE))</f>
        <v/>
      </c>
      <c r="S186" s="276" t="str">
        <f>IF(F186="", "", IF(IN_DATA!R170=3, CO2_Royalty_Factor, IF('Economics Summary'!A186&lt;2, IF('Economics Summary'!Q186&lt;60000, 0.05, ((60000*0.05+('Economics Summary'!Q186-60000)*R186)/'Economics Summary'!Q186)),R186)))</f>
        <v/>
      </c>
      <c r="T186" s="250" t="str">
        <f t="shared" si="43"/>
        <v/>
      </c>
      <c r="U186" s="250" t="str">
        <f t="shared" si="44"/>
        <v/>
      </c>
      <c r="V186" s="344" t="str">
        <f t="shared" si="48"/>
        <v/>
      </c>
      <c r="W186" s="257" t="str">
        <f>IF(F186="","",SUM($V$21:V186))</f>
        <v/>
      </c>
      <c r="X186" s="260" t="str">
        <f xml:space="preserve"> IF(OR(F186="",SUM(IN_DATA!$H$5:'IN_DATA'!H170)=0), "", 1-SUM(IN_DATA!$F$5:'IN_DATA'!F170)/SUM(IN_DATA!$H$5:'IN_DATA'!H170))</f>
        <v/>
      </c>
      <c r="Y186" s="307" t="str">
        <f>IF(OR(F186="",SUM(IN_DATA!$H$5:'IN_DATA'!H170)=0),"",365*(SUM(IN_DATA!$H$5:'IN_DATA'!H170)-SUM(IN_DATA!$F$5:'IN_DATA'!F170))/1000)</f>
        <v/>
      </c>
      <c r="Z186" s="346" t="str">
        <f t="shared" si="45"/>
        <v/>
      </c>
      <c r="AA186" s="370" t="str">
        <f t="shared" si="49"/>
        <v/>
      </c>
      <c r="AB186" s="373" t="str">
        <f>IF(F186="", "", IF(IN_DATA!R170=3, MAX(CO2_Royalty_Factor-Z186/10000,0), IF('Economics Summary'!A186&lt;2, IF('Economics Summary'!Q186&lt;60000, 0.05, ((60000*0.05+('Economics Summary'!Q186-60000)*R186)/'Economics Summary'!Q186)),R186)))</f>
        <v/>
      </c>
      <c r="AC186" s="377" t="str">
        <f t="shared" si="46"/>
        <v/>
      </c>
      <c r="AD186" s="378" t="str">
        <f t="shared" si="50"/>
        <v/>
      </c>
    </row>
    <row r="187" spans="1:30" x14ac:dyDescent="0.2">
      <c r="A187" s="178">
        <v>166</v>
      </c>
      <c r="B187" s="178">
        <f t="shared" si="51"/>
        <v>2178</v>
      </c>
      <c r="C187" s="292" t="str">
        <f>IF(IN_DATA!C171="","",MAX(min_oil_price,MIN(C186+C186*$L$6,max_oil_price)))</f>
        <v/>
      </c>
      <c r="D187" s="293" t="str">
        <f>IF(IN_DATA!C171="","",MAX(min_gas_price,MIN(D186+D186*$L$7,max_gas_price)))</f>
        <v/>
      </c>
      <c r="E187" s="294" t="str">
        <f>IF(IN_DATA!C171="","",MIN(E186+E186*$L$8,16))</f>
        <v/>
      </c>
      <c r="F187" s="110" t="str">
        <f>IF(O187="", "", IN_DATA!C171*365*OCF*FPF)</f>
        <v/>
      </c>
      <c r="G187" s="184" t="str">
        <f>IF(O187="","",IN_DATA!D171*365*FPF*OCF)</f>
        <v/>
      </c>
      <c r="H187" s="235" t="str">
        <f t="shared" si="39"/>
        <v/>
      </c>
      <c r="I187" s="238" t="str">
        <f t="shared" si="40"/>
        <v/>
      </c>
      <c r="J187" s="236" t="str">
        <f t="shared" si="41"/>
        <v/>
      </c>
      <c r="K187" s="239" t="str">
        <f t="shared" si="42"/>
        <v/>
      </c>
      <c r="L187" s="247" t="str">
        <f t="shared" si="47"/>
        <v/>
      </c>
      <c r="M187" s="244" t="str">
        <f>IF(I187=""," ",IF(IN_DATA!R171=1,"Primary Rec.",IF(IN_DATA!R171=2,"Water Flood",IF(IN_DATA!R171=3,"CO2 Flood",""))))</f>
        <v xml:space="preserve"> </v>
      </c>
      <c r="N187" s="109" t="str">
        <f>IF(I187="","",IF(O187=0, 0, OpCost!AD176))</f>
        <v/>
      </c>
      <c r="O187" s="187" t="str">
        <f>IF(OpCost!AE176="", "", OpCost!AE176)</f>
        <v/>
      </c>
      <c r="P187" s="251" t="str">
        <f>IF(F187="","",((IN_DATA!C171+IN_DATA!D171/10)/IN_DATA!P171))</f>
        <v/>
      </c>
      <c r="Q187" s="248" t="str">
        <f>IF(F187="","",SUM($P$21:P187)*365)</f>
        <v/>
      </c>
      <c r="R187" s="249" t="str">
        <f>IF(F187="", "", HLOOKUP(C187,'Reference-Crown Royalties'!$D$2:$AB$49,MATCH(P187,'Reference-Crown Royalties'!$A$2:$A$49,1),TRUE))</f>
        <v/>
      </c>
      <c r="S187" s="276" t="str">
        <f>IF(F187="", "", IF(IN_DATA!R171=3, CO2_Royalty_Factor, IF('Economics Summary'!A187&lt;2, IF('Economics Summary'!Q187&lt;60000, 0.05, ((60000*0.05+('Economics Summary'!Q187-60000)*R187)/'Economics Summary'!Q187)),R187)))</f>
        <v/>
      </c>
      <c r="T187" s="250" t="str">
        <f t="shared" si="43"/>
        <v/>
      </c>
      <c r="U187" s="250" t="str">
        <f t="shared" si="44"/>
        <v/>
      </c>
      <c r="V187" s="344" t="str">
        <f t="shared" si="48"/>
        <v/>
      </c>
      <c r="W187" s="257" t="str">
        <f>IF(F187="","",SUM($V$21:V187))</f>
        <v/>
      </c>
      <c r="X187" s="260" t="str">
        <f xml:space="preserve"> IF(OR(F187="",SUM(IN_DATA!$H$5:'IN_DATA'!H171)=0), "", 1-SUM(IN_DATA!$F$5:'IN_DATA'!F171)/SUM(IN_DATA!$H$5:'IN_DATA'!H171))</f>
        <v/>
      </c>
      <c r="Y187" s="307" t="str">
        <f>IF(OR(F187="",SUM(IN_DATA!$H$5:'IN_DATA'!H171)=0),"",365*(SUM(IN_DATA!$H$5:'IN_DATA'!H171)-SUM(IN_DATA!$F$5:'IN_DATA'!F171))/1000)</f>
        <v/>
      </c>
      <c r="Z187" s="346" t="str">
        <f t="shared" si="45"/>
        <v/>
      </c>
      <c r="AA187" s="370" t="str">
        <f t="shared" si="49"/>
        <v/>
      </c>
      <c r="AB187" s="373" t="str">
        <f>IF(F187="", "", IF(IN_DATA!R171=3, MAX(CO2_Royalty_Factor-Z187/10000,0), IF('Economics Summary'!A187&lt;2, IF('Economics Summary'!Q187&lt;60000, 0.05, ((60000*0.05+('Economics Summary'!Q187-60000)*R187)/'Economics Summary'!Q187)),R187)))</f>
        <v/>
      </c>
      <c r="AC187" s="377" t="str">
        <f t="shared" si="46"/>
        <v/>
      </c>
      <c r="AD187" s="378" t="str">
        <f t="shared" si="50"/>
        <v/>
      </c>
    </row>
    <row r="188" spans="1:30" x14ac:dyDescent="0.2">
      <c r="A188" s="178">
        <v>167</v>
      </c>
      <c r="B188" s="178">
        <f t="shared" si="51"/>
        <v>2179</v>
      </c>
      <c r="C188" s="292" t="str">
        <f>IF(IN_DATA!C172="","",MAX(min_oil_price,MIN(C187+C187*$L$6,max_oil_price)))</f>
        <v/>
      </c>
      <c r="D188" s="293" t="str">
        <f>IF(IN_DATA!C172="","",MAX(min_gas_price,MIN(D187+D187*$L$7,max_gas_price)))</f>
        <v/>
      </c>
      <c r="E188" s="294" t="str">
        <f>IF(IN_DATA!C172="","",MIN(E187+E187*$L$8,16))</f>
        <v/>
      </c>
      <c r="F188" s="110" t="str">
        <f>IF(O188="", "", IN_DATA!C172*365*OCF*FPF)</f>
        <v/>
      </c>
      <c r="G188" s="184" t="str">
        <f>IF(O188="","",IN_DATA!D172*365*FPF*OCF)</f>
        <v/>
      </c>
      <c r="H188" s="235" t="str">
        <f t="shared" si="39"/>
        <v/>
      </c>
      <c r="I188" s="238" t="str">
        <f t="shared" si="40"/>
        <v/>
      </c>
      <c r="J188" s="236" t="str">
        <f t="shared" si="41"/>
        <v/>
      </c>
      <c r="K188" s="239" t="str">
        <f t="shared" si="42"/>
        <v/>
      </c>
      <c r="L188" s="247" t="str">
        <f t="shared" si="47"/>
        <v/>
      </c>
      <c r="M188" s="244" t="str">
        <f>IF(I188=""," ",IF(IN_DATA!R172=1,"Primary Rec.",IF(IN_DATA!R172=2,"Water Flood",IF(IN_DATA!R172=3,"CO2 Flood",""))))</f>
        <v xml:space="preserve"> </v>
      </c>
      <c r="N188" s="109" t="str">
        <f>IF(I188="","",IF(O188=0, 0, OpCost!AD177))</f>
        <v/>
      </c>
      <c r="O188" s="187" t="str">
        <f>IF(OpCost!AE177="", "", OpCost!AE177)</f>
        <v/>
      </c>
      <c r="P188" s="251" t="str">
        <f>IF(F188="","",((IN_DATA!C172+IN_DATA!D172/10)/IN_DATA!P172))</f>
        <v/>
      </c>
      <c r="Q188" s="248" t="str">
        <f>IF(F188="","",SUM($P$21:P188)*365)</f>
        <v/>
      </c>
      <c r="R188" s="249" t="str">
        <f>IF(F188="", "", HLOOKUP(C188,'Reference-Crown Royalties'!$D$2:$AB$49,MATCH(P188,'Reference-Crown Royalties'!$A$2:$A$49,1),TRUE))</f>
        <v/>
      </c>
      <c r="S188" s="276" t="str">
        <f>IF(F188="", "", IF(IN_DATA!R172=3, CO2_Royalty_Factor, IF('Economics Summary'!A188&lt;2, IF('Economics Summary'!Q188&lt;60000, 0.05, ((60000*0.05+('Economics Summary'!Q188-60000)*R188)/'Economics Summary'!Q188)),R188)))</f>
        <v/>
      </c>
      <c r="T188" s="250" t="str">
        <f t="shared" si="43"/>
        <v/>
      </c>
      <c r="U188" s="250" t="str">
        <f t="shared" si="44"/>
        <v/>
      </c>
      <c r="V188" s="344" t="str">
        <f t="shared" si="48"/>
        <v/>
      </c>
      <c r="W188" s="257" t="str">
        <f>IF(F188="","",SUM($V$21:V188))</f>
        <v/>
      </c>
      <c r="X188" s="260" t="str">
        <f xml:space="preserve"> IF(OR(F188="",SUM(IN_DATA!$H$5:'IN_DATA'!H172)=0), "", 1-SUM(IN_DATA!$F$5:'IN_DATA'!F172)/SUM(IN_DATA!$H$5:'IN_DATA'!H172))</f>
        <v/>
      </c>
      <c r="Y188" s="307" t="str">
        <f>IF(OR(F188="",SUM(IN_DATA!$H$5:'IN_DATA'!H172)=0),"",365*(SUM(IN_DATA!$H$5:'IN_DATA'!H172)-SUM(IN_DATA!$F$5:'IN_DATA'!F172))/1000)</f>
        <v/>
      </c>
      <c r="Z188" s="346" t="str">
        <f t="shared" si="45"/>
        <v/>
      </c>
      <c r="AA188" s="370" t="str">
        <f t="shared" si="49"/>
        <v/>
      </c>
      <c r="AB188" s="373" t="str">
        <f>IF(F188="", "", IF(IN_DATA!R172=3, MAX(CO2_Royalty_Factor-Z188/10000,0), IF('Economics Summary'!A188&lt;2, IF('Economics Summary'!Q188&lt;60000, 0.05, ((60000*0.05+('Economics Summary'!Q188-60000)*R188)/'Economics Summary'!Q188)),R188)))</f>
        <v/>
      </c>
      <c r="AC188" s="377" t="str">
        <f t="shared" si="46"/>
        <v/>
      </c>
      <c r="AD188" s="378" t="str">
        <f t="shared" si="50"/>
        <v/>
      </c>
    </row>
    <row r="189" spans="1:30" x14ac:dyDescent="0.2">
      <c r="A189" s="178">
        <v>168</v>
      </c>
      <c r="B189" s="178">
        <f t="shared" si="51"/>
        <v>2180</v>
      </c>
      <c r="C189" s="292" t="str">
        <f>IF(IN_DATA!C173="","",MAX(min_oil_price,MIN(C188+C188*$L$6,max_oil_price)))</f>
        <v/>
      </c>
      <c r="D189" s="293" t="str">
        <f>IF(IN_DATA!C173="","",MAX(min_gas_price,MIN(D188+D188*$L$7,max_gas_price)))</f>
        <v/>
      </c>
      <c r="E189" s="294" t="str">
        <f>IF(IN_DATA!C173="","",MIN(E188+E188*$L$8,16))</f>
        <v/>
      </c>
      <c r="F189" s="110" t="str">
        <f>IF(O189="", "", IN_DATA!C173*365*OCF*FPF)</f>
        <v/>
      </c>
      <c r="G189" s="184" t="str">
        <f>IF(O189="","",IN_DATA!D173*365*FPF*OCF)</f>
        <v/>
      </c>
      <c r="H189" s="235" t="str">
        <f t="shared" si="39"/>
        <v/>
      </c>
      <c r="I189" s="238" t="str">
        <f t="shared" si="40"/>
        <v/>
      </c>
      <c r="J189" s="236" t="str">
        <f t="shared" si="41"/>
        <v/>
      </c>
      <c r="K189" s="239" t="str">
        <f t="shared" si="42"/>
        <v/>
      </c>
      <c r="L189" s="247" t="str">
        <f t="shared" si="47"/>
        <v/>
      </c>
      <c r="M189" s="244" t="str">
        <f>IF(I189=""," ",IF(IN_DATA!R173=1,"Primary Rec.",IF(IN_DATA!R173=2,"Water Flood",IF(IN_DATA!R173=3,"CO2 Flood",""))))</f>
        <v xml:space="preserve"> </v>
      </c>
      <c r="N189" s="109" t="str">
        <f>IF(I189="","",IF(O189=0, 0, OpCost!AD178))</f>
        <v/>
      </c>
      <c r="O189" s="187" t="str">
        <f>IF(OpCost!AE178="", "", OpCost!AE178)</f>
        <v/>
      </c>
      <c r="P189" s="251" t="str">
        <f>IF(F189="","",((IN_DATA!C173+IN_DATA!D173/10)/IN_DATA!P173))</f>
        <v/>
      </c>
      <c r="Q189" s="248" t="str">
        <f>IF(F189="","",SUM($P$21:P189)*365)</f>
        <v/>
      </c>
      <c r="R189" s="249" t="str">
        <f>IF(F189="", "", HLOOKUP(C189,'Reference-Crown Royalties'!$D$2:$AB$49,MATCH(P189,'Reference-Crown Royalties'!$A$2:$A$49,1),TRUE))</f>
        <v/>
      </c>
      <c r="S189" s="276" t="str">
        <f>IF(F189="", "", IF(IN_DATA!R173=3, CO2_Royalty_Factor, IF('Economics Summary'!A189&lt;2, IF('Economics Summary'!Q189&lt;60000, 0.05, ((60000*0.05+('Economics Summary'!Q189-60000)*R189)/'Economics Summary'!Q189)),R189)))</f>
        <v/>
      </c>
      <c r="T189" s="250" t="str">
        <f t="shared" si="43"/>
        <v/>
      </c>
      <c r="U189" s="250" t="str">
        <f t="shared" si="44"/>
        <v/>
      </c>
      <c r="V189" s="344" t="str">
        <f t="shared" si="48"/>
        <v/>
      </c>
      <c r="W189" s="257" t="str">
        <f>IF(F189="","",SUM($V$21:V189))</f>
        <v/>
      </c>
      <c r="X189" s="260" t="str">
        <f xml:space="preserve"> IF(OR(F189="",SUM(IN_DATA!$H$5:'IN_DATA'!H173)=0), "", 1-SUM(IN_DATA!$F$5:'IN_DATA'!F173)/SUM(IN_DATA!$H$5:'IN_DATA'!H173))</f>
        <v/>
      </c>
      <c r="Y189" s="307" t="str">
        <f>IF(OR(F189="",SUM(IN_DATA!$H$5:'IN_DATA'!H173)=0),"",365*(SUM(IN_DATA!$H$5:'IN_DATA'!H173)-SUM(IN_DATA!$F$5:'IN_DATA'!F173))/1000)</f>
        <v/>
      </c>
      <c r="Z189" s="346" t="str">
        <f t="shared" si="45"/>
        <v/>
      </c>
      <c r="AA189" s="370" t="str">
        <f t="shared" si="49"/>
        <v/>
      </c>
      <c r="AB189" s="373" t="str">
        <f>IF(F189="", "", IF(IN_DATA!R173=3, MAX(CO2_Royalty_Factor-Z189/10000,0), IF('Economics Summary'!A189&lt;2, IF('Economics Summary'!Q189&lt;60000, 0.05, ((60000*0.05+('Economics Summary'!Q189-60000)*R189)/'Economics Summary'!Q189)),R189)))</f>
        <v/>
      </c>
      <c r="AC189" s="377" t="str">
        <f t="shared" si="46"/>
        <v/>
      </c>
      <c r="AD189" s="378" t="str">
        <f t="shared" si="50"/>
        <v/>
      </c>
    </row>
    <row r="190" spans="1:30" x14ac:dyDescent="0.2">
      <c r="A190" s="178">
        <v>169</v>
      </c>
      <c r="B190" s="178">
        <f t="shared" si="51"/>
        <v>2181</v>
      </c>
      <c r="C190" s="292" t="str">
        <f>IF(IN_DATA!C174="","",MAX(min_oil_price,MIN(C189+C189*$L$6,max_oil_price)))</f>
        <v/>
      </c>
      <c r="D190" s="293" t="str">
        <f>IF(IN_DATA!C174="","",MAX(min_gas_price,MIN(D189+D189*$L$7,max_gas_price)))</f>
        <v/>
      </c>
      <c r="E190" s="294" t="str">
        <f>IF(IN_DATA!C174="","",MIN(E189+E189*$L$8,16))</f>
        <v/>
      </c>
      <c r="F190" s="110" t="str">
        <f>IF(O190="", "", IN_DATA!C174*365*OCF*FPF)</f>
        <v/>
      </c>
      <c r="G190" s="184" t="str">
        <f>IF(O190="","",IN_DATA!D174*365*FPF*OCF)</f>
        <v/>
      </c>
      <c r="H190" s="235" t="str">
        <f t="shared" si="39"/>
        <v/>
      </c>
      <c r="I190" s="238" t="str">
        <f t="shared" si="40"/>
        <v/>
      </c>
      <c r="J190" s="236" t="str">
        <f t="shared" si="41"/>
        <v/>
      </c>
      <c r="K190" s="239" t="str">
        <f t="shared" si="42"/>
        <v/>
      </c>
      <c r="L190" s="247" t="str">
        <f t="shared" si="47"/>
        <v/>
      </c>
      <c r="M190" s="244" t="str">
        <f>IF(I190=""," ",IF(IN_DATA!R174=1,"Primary Rec.",IF(IN_DATA!R174=2,"Water Flood",IF(IN_DATA!R174=3,"CO2 Flood",""))))</f>
        <v xml:space="preserve"> </v>
      </c>
      <c r="N190" s="109" t="str">
        <f>IF(I190="","",IF(O190=0, 0, OpCost!AD179))</f>
        <v/>
      </c>
      <c r="O190" s="187" t="str">
        <f>IF(OpCost!AE179="", "", OpCost!AE179)</f>
        <v/>
      </c>
      <c r="P190" s="251" t="str">
        <f>IF(F190="","",((IN_DATA!C174+IN_DATA!D174/10)/IN_DATA!P174))</f>
        <v/>
      </c>
      <c r="Q190" s="248" t="str">
        <f>IF(F190="","",SUM($P$21:P190)*365)</f>
        <v/>
      </c>
      <c r="R190" s="249" t="str">
        <f>IF(F190="", "", HLOOKUP(C190,'Reference-Crown Royalties'!$D$2:$AB$49,MATCH(P190,'Reference-Crown Royalties'!$A$2:$A$49,1),TRUE))</f>
        <v/>
      </c>
      <c r="S190" s="276" t="str">
        <f>IF(F190="", "", IF(IN_DATA!R174=3, CO2_Royalty_Factor, IF('Economics Summary'!A190&lt;2, IF('Economics Summary'!Q190&lt;60000, 0.05, ((60000*0.05+('Economics Summary'!Q190-60000)*R190)/'Economics Summary'!Q190)),R190)))</f>
        <v/>
      </c>
      <c r="T190" s="250" t="str">
        <f t="shared" si="43"/>
        <v/>
      </c>
      <c r="U190" s="250" t="str">
        <f t="shared" si="44"/>
        <v/>
      </c>
      <c r="V190" s="344" t="str">
        <f t="shared" si="48"/>
        <v/>
      </c>
      <c r="W190" s="257" t="str">
        <f>IF(F190="","",SUM($V$21:V190))</f>
        <v/>
      </c>
      <c r="X190" s="260" t="str">
        <f xml:space="preserve"> IF(OR(F190="",SUM(IN_DATA!$H$5:'IN_DATA'!H174)=0), "", 1-SUM(IN_DATA!$F$5:'IN_DATA'!F174)/SUM(IN_DATA!$H$5:'IN_DATA'!H174))</f>
        <v/>
      </c>
      <c r="Y190" s="307" t="str">
        <f>IF(OR(F190="",SUM(IN_DATA!$H$5:'IN_DATA'!H174)=0),"",365*(SUM(IN_DATA!$H$5:'IN_DATA'!H174)-SUM(IN_DATA!$F$5:'IN_DATA'!F174))/1000)</f>
        <v/>
      </c>
      <c r="Z190" s="346" t="str">
        <f t="shared" si="45"/>
        <v/>
      </c>
      <c r="AA190" s="370" t="str">
        <f t="shared" si="49"/>
        <v/>
      </c>
      <c r="AB190" s="373" t="str">
        <f>IF(F190="", "", IF(IN_DATA!R174=3, MAX(CO2_Royalty_Factor-Z190/10000,0), IF('Economics Summary'!A190&lt;2, IF('Economics Summary'!Q190&lt;60000, 0.05, ((60000*0.05+('Economics Summary'!Q190-60000)*R190)/'Economics Summary'!Q190)),R190)))</f>
        <v/>
      </c>
      <c r="AC190" s="377" t="str">
        <f t="shared" si="46"/>
        <v/>
      </c>
      <c r="AD190" s="378" t="str">
        <f t="shared" si="50"/>
        <v/>
      </c>
    </row>
    <row r="191" spans="1:30" x14ac:dyDescent="0.2">
      <c r="A191" s="178">
        <v>170</v>
      </c>
      <c r="B191" s="178">
        <f t="shared" si="51"/>
        <v>2182</v>
      </c>
      <c r="C191" s="292" t="str">
        <f>IF(IN_DATA!C175="","",MAX(min_oil_price,MIN(C190+C190*$L$6,max_oil_price)))</f>
        <v/>
      </c>
      <c r="D191" s="293" t="str">
        <f>IF(IN_DATA!C175="","",MAX(min_gas_price,MIN(D190+D190*$L$7,max_gas_price)))</f>
        <v/>
      </c>
      <c r="E191" s="294" t="str">
        <f>IF(IN_DATA!C175="","",MIN(E190+E190*$L$8,16))</f>
        <v/>
      </c>
      <c r="F191" s="110" t="str">
        <f>IF(O191="", "", IN_DATA!C175*365*OCF*FPF)</f>
        <v/>
      </c>
      <c r="G191" s="184" t="str">
        <f>IF(O191="","",IN_DATA!D175*365*FPF*OCF)</f>
        <v/>
      </c>
      <c r="H191" s="235" t="str">
        <f t="shared" si="39"/>
        <v/>
      </c>
      <c r="I191" s="238" t="str">
        <f t="shared" si="40"/>
        <v/>
      </c>
      <c r="J191" s="236" t="str">
        <f t="shared" si="41"/>
        <v/>
      </c>
      <c r="K191" s="239" t="str">
        <f t="shared" si="42"/>
        <v/>
      </c>
      <c r="L191" s="247" t="str">
        <f t="shared" si="47"/>
        <v/>
      </c>
      <c r="M191" s="244" t="str">
        <f>IF(I191=""," ",IF(IN_DATA!R175=1,"Primary Rec.",IF(IN_DATA!R175=2,"Water Flood",IF(IN_DATA!R175=3,"CO2 Flood",""))))</f>
        <v xml:space="preserve"> </v>
      </c>
      <c r="N191" s="109" t="str">
        <f>IF(I191="","",IF(O191=0, 0, OpCost!AD180))</f>
        <v/>
      </c>
      <c r="O191" s="187" t="str">
        <f>IF(OpCost!AE180="", "", OpCost!AE180)</f>
        <v/>
      </c>
      <c r="P191" s="251" t="str">
        <f>IF(F191="","",((IN_DATA!C175+IN_DATA!D175/10)/IN_DATA!P175))</f>
        <v/>
      </c>
      <c r="Q191" s="248" t="str">
        <f>IF(F191="","",SUM($P$21:P191)*365)</f>
        <v/>
      </c>
      <c r="R191" s="249" t="str">
        <f>IF(F191="", "", HLOOKUP(C191,'Reference-Crown Royalties'!$D$2:$AB$49,MATCH(P191,'Reference-Crown Royalties'!$A$2:$A$49,1),TRUE))</f>
        <v/>
      </c>
      <c r="S191" s="276" t="str">
        <f>IF(F191="", "", IF(IN_DATA!R175=3, CO2_Royalty_Factor, IF('Economics Summary'!A191&lt;2, IF('Economics Summary'!Q191&lt;60000, 0.05, ((60000*0.05+('Economics Summary'!Q191-60000)*R191)/'Economics Summary'!Q191)),R191)))</f>
        <v/>
      </c>
      <c r="T191" s="250" t="str">
        <f t="shared" si="43"/>
        <v/>
      </c>
      <c r="U191" s="250" t="str">
        <f t="shared" si="44"/>
        <v/>
      </c>
      <c r="V191" s="344" t="str">
        <f t="shared" si="48"/>
        <v/>
      </c>
      <c r="W191" s="257" t="str">
        <f>IF(F191="","",SUM($V$21:V191))</f>
        <v/>
      </c>
      <c r="X191" s="260" t="str">
        <f xml:space="preserve"> IF(OR(F191="",SUM(IN_DATA!$H$5:'IN_DATA'!H175)=0), "", 1-SUM(IN_DATA!$F$5:'IN_DATA'!F175)/SUM(IN_DATA!$H$5:'IN_DATA'!H175))</f>
        <v/>
      </c>
      <c r="Y191" s="307" t="str">
        <f>IF(OR(F191="",SUM(IN_DATA!$H$5:'IN_DATA'!H175)=0),"",365*(SUM(IN_DATA!$H$5:'IN_DATA'!H175)-SUM(IN_DATA!$F$5:'IN_DATA'!F175))/1000)</f>
        <v/>
      </c>
      <c r="Z191" s="346" t="str">
        <f t="shared" si="45"/>
        <v/>
      </c>
      <c r="AA191" s="370" t="str">
        <f t="shared" si="49"/>
        <v/>
      </c>
      <c r="AB191" s="373" t="str">
        <f>IF(F191="", "", IF(IN_DATA!R175=3, MAX(CO2_Royalty_Factor-Z191/10000,0), IF('Economics Summary'!A191&lt;2, IF('Economics Summary'!Q191&lt;60000, 0.05, ((60000*0.05+('Economics Summary'!Q191-60000)*R191)/'Economics Summary'!Q191)),R191)))</f>
        <v/>
      </c>
      <c r="AC191" s="377" t="str">
        <f t="shared" si="46"/>
        <v/>
      </c>
      <c r="AD191" s="378" t="str">
        <f t="shared" si="50"/>
        <v/>
      </c>
    </row>
    <row r="192" spans="1:30" x14ac:dyDescent="0.2">
      <c r="A192" s="178">
        <v>171</v>
      </c>
      <c r="B192" s="178">
        <f t="shared" si="51"/>
        <v>2183</v>
      </c>
      <c r="C192" s="292" t="str">
        <f>IF(IN_DATA!C176="","",MAX(min_oil_price,MIN(C191+C191*$L$6,max_oil_price)))</f>
        <v/>
      </c>
      <c r="D192" s="293" t="str">
        <f>IF(IN_DATA!C176="","",MAX(min_gas_price,MIN(D191+D191*$L$7,max_gas_price)))</f>
        <v/>
      </c>
      <c r="E192" s="294" t="str">
        <f>IF(IN_DATA!C176="","",MIN(E191+E191*$L$8,16))</f>
        <v/>
      </c>
      <c r="F192" s="110" t="str">
        <f>IF(O192="", "", IN_DATA!C176*365*OCF*FPF)</f>
        <v/>
      </c>
      <c r="G192" s="184" t="str">
        <f>IF(O192="","",IN_DATA!D176*365*FPF*OCF)</f>
        <v/>
      </c>
      <c r="H192" s="235" t="str">
        <f t="shared" si="39"/>
        <v/>
      </c>
      <c r="I192" s="238" t="str">
        <f t="shared" si="40"/>
        <v/>
      </c>
      <c r="J192" s="236" t="str">
        <f t="shared" si="41"/>
        <v/>
      </c>
      <c r="K192" s="239" t="str">
        <f t="shared" si="42"/>
        <v/>
      </c>
      <c r="L192" s="247" t="str">
        <f t="shared" si="47"/>
        <v/>
      </c>
      <c r="M192" s="244" t="str">
        <f>IF(I192=""," ",IF(IN_DATA!R176=1,"Primary Rec.",IF(IN_DATA!R176=2,"Water Flood",IF(IN_DATA!R176=3,"CO2 Flood",""))))</f>
        <v xml:space="preserve"> </v>
      </c>
      <c r="N192" s="109" t="str">
        <f>IF(I192="","",IF(O192=0, 0, OpCost!AD181))</f>
        <v/>
      </c>
      <c r="O192" s="187" t="str">
        <f>IF(OpCost!AE181="", "", OpCost!AE181)</f>
        <v/>
      </c>
      <c r="P192" s="251" t="str">
        <f>IF(F192="","",((IN_DATA!C176+IN_DATA!D176/10)/IN_DATA!P176))</f>
        <v/>
      </c>
      <c r="Q192" s="248" t="str">
        <f>IF(F192="","",SUM($P$21:P192)*365)</f>
        <v/>
      </c>
      <c r="R192" s="249" t="str">
        <f>IF(F192="", "", HLOOKUP(C192,'Reference-Crown Royalties'!$D$2:$AB$49,MATCH(P192,'Reference-Crown Royalties'!$A$2:$A$49,1),TRUE))</f>
        <v/>
      </c>
      <c r="S192" s="276" t="str">
        <f>IF(F192="", "", IF(IN_DATA!R176=3, CO2_Royalty_Factor, IF('Economics Summary'!A192&lt;2, IF('Economics Summary'!Q192&lt;60000, 0.05, ((60000*0.05+('Economics Summary'!Q192-60000)*R192)/'Economics Summary'!Q192)),R192)))</f>
        <v/>
      </c>
      <c r="T192" s="250" t="str">
        <f t="shared" si="43"/>
        <v/>
      </c>
      <c r="U192" s="250" t="str">
        <f t="shared" si="44"/>
        <v/>
      </c>
      <c r="V192" s="344" t="str">
        <f t="shared" si="48"/>
        <v/>
      </c>
      <c r="W192" s="257" t="str">
        <f>IF(F192="","",SUM($V$21:V192))</f>
        <v/>
      </c>
      <c r="X192" s="260" t="str">
        <f xml:space="preserve"> IF(OR(F192="",SUM(IN_DATA!$H$5:'IN_DATA'!H176)=0), "", 1-SUM(IN_DATA!$F$5:'IN_DATA'!F176)/SUM(IN_DATA!$H$5:'IN_DATA'!H176))</f>
        <v/>
      </c>
      <c r="Y192" s="307" t="str">
        <f>IF(OR(F192="",SUM(IN_DATA!$H$5:'IN_DATA'!H176)=0),"",365*(SUM(IN_DATA!$H$5:'IN_DATA'!H176)-SUM(IN_DATA!$F$5:'IN_DATA'!F176))/1000)</f>
        <v/>
      </c>
      <c r="Z192" s="346" t="str">
        <f t="shared" si="45"/>
        <v/>
      </c>
      <c r="AA192" s="370" t="str">
        <f t="shared" si="49"/>
        <v/>
      </c>
      <c r="AB192" s="373" t="str">
        <f>IF(F192="", "", IF(IN_DATA!R176=3, MAX(CO2_Royalty_Factor-Z192/10000,0), IF('Economics Summary'!A192&lt;2, IF('Economics Summary'!Q192&lt;60000, 0.05, ((60000*0.05+('Economics Summary'!Q192-60000)*R192)/'Economics Summary'!Q192)),R192)))</f>
        <v/>
      </c>
      <c r="AC192" s="377" t="str">
        <f t="shared" si="46"/>
        <v/>
      </c>
      <c r="AD192" s="378" t="str">
        <f t="shared" si="50"/>
        <v/>
      </c>
    </row>
    <row r="193" spans="1:30" x14ac:dyDescent="0.2">
      <c r="A193" s="178">
        <v>172</v>
      </c>
      <c r="B193" s="178">
        <f t="shared" si="51"/>
        <v>2184</v>
      </c>
      <c r="C193" s="292" t="str">
        <f>IF(IN_DATA!C177="","",MAX(min_oil_price,MIN(C192+C192*$L$6,max_oil_price)))</f>
        <v/>
      </c>
      <c r="D193" s="293" t="str">
        <f>IF(IN_DATA!C177="","",MAX(min_gas_price,MIN(D192+D192*$L$7,max_gas_price)))</f>
        <v/>
      </c>
      <c r="E193" s="294" t="str">
        <f>IF(IN_DATA!C177="","",MIN(E192+E192*$L$8,16))</f>
        <v/>
      </c>
      <c r="F193" s="110" t="str">
        <f>IF(O193="", "", IN_DATA!C177*365*OCF*FPF)</f>
        <v/>
      </c>
      <c r="G193" s="184" t="str">
        <f>IF(O193="","",IN_DATA!D177*365*FPF*OCF)</f>
        <v/>
      </c>
      <c r="H193" s="235" t="str">
        <f t="shared" si="39"/>
        <v/>
      </c>
      <c r="I193" s="238" t="str">
        <f t="shared" si="40"/>
        <v/>
      </c>
      <c r="J193" s="236" t="str">
        <f t="shared" si="41"/>
        <v/>
      </c>
      <c r="K193" s="239" t="str">
        <f t="shared" si="42"/>
        <v/>
      </c>
      <c r="L193" s="247" t="str">
        <f t="shared" si="47"/>
        <v/>
      </c>
      <c r="M193" s="244" t="str">
        <f>IF(I193=""," ",IF(IN_DATA!R177=1,"Primary Rec.",IF(IN_DATA!R177=2,"Water Flood",IF(IN_DATA!R177=3,"CO2 Flood",""))))</f>
        <v xml:space="preserve"> </v>
      </c>
      <c r="N193" s="109" t="str">
        <f>IF(I193="","",IF(O193=0, 0, OpCost!AD182))</f>
        <v/>
      </c>
      <c r="O193" s="187" t="str">
        <f>IF(OpCost!AE182="", "", OpCost!AE182)</f>
        <v/>
      </c>
      <c r="P193" s="251" t="str">
        <f>IF(F193="","",((IN_DATA!C177+IN_DATA!D177/10)/IN_DATA!P177))</f>
        <v/>
      </c>
      <c r="Q193" s="248" t="str">
        <f>IF(F193="","",SUM($P$21:P193)*365)</f>
        <v/>
      </c>
      <c r="R193" s="249" t="str">
        <f>IF(F193="", "", HLOOKUP(C193,'Reference-Crown Royalties'!$D$2:$AB$49,MATCH(P193,'Reference-Crown Royalties'!$A$2:$A$49,1),TRUE))</f>
        <v/>
      </c>
      <c r="S193" s="276" t="str">
        <f>IF(F193="", "", IF(IN_DATA!R177=3, CO2_Royalty_Factor, IF('Economics Summary'!A193&lt;2, IF('Economics Summary'!Q193&lt;60000, 0.05, ((60000*0.05+('Economics Summary'!Q193-60000)*R193)/'Economics Summary'!Q193)),R193)))</f>
        <v/>
      </c>
      <c r="T193" s="250" t="str">
        <f t="shared" si="43"/>
        <v/>
      </c>
      <c r="U193" s="250" t="str">
        <f t="shared" si="44"/>
        <v/>
      </c>
      <c r="V193" s="344" t="str">
        <f t="shared" si="48"/>
        <v/>
      </c>
      <c r="W193" s="257" t="str">
        <f>IF(F193="","",SUM($V$21:V193))</f>
        <v/>
      </c>
      <c r="X193" s="260" t="str">
        <f xml:space="preserve"> IF(OR(F193="",SUM(IN_DATA!$H$5:'IN_DATA'!H177)=0), "", 1-SUM(IN_DATA!$F$5:'IN_DATA'!F177)/SUM(IN_DATA!$H$5:'IN_DATA'!H177))</f>
        <v/>
      </c>
      <c r="Y193" s="307" t="str">
        <f>IF(OR(F193="",SUM(IN_DATA!$H$5:'IN_DATA'!H177)=0),"",365*(SUM(IN_DATA!$H$5:'IN_DATA'!H177)-SUM(IN_DATA!$F$5:'IN_DATA'!F177))/1000)</f>
        <v/>
      </c>
      <c r="Z193" s="346" t="str">
        <f t="shared" si="45"/>
        <v/>
      </c>
      <c r="AA193" s="370" t="str">
        <f t="shared" si="49"/>
        <v/>
      </c>
      <c r="AB193" s="373" t="str">
        <f>IF(F193="", "", IF(IN_DATA!R177=3, MAX(CO2_Royalty_Factor-Z193/10000,0), IF('Economics Summary'!A193&lt;2, IF('Economics Summary'!Q193&lt;60000, 0.05, ((60000*0.05+('Economics Summary'!Q193-60000)*R193)/'Economics Summary'!Q193)),R193)))</f>
        <v/>
      </c>
      <c r="AC193" s="377" t="str">
        <f t="shared" si="46"/>
        <v/>
      </c>
      <c r="AD193" s="378" t="str">
        <f t="shared" si="50"/>
        <v/>
      </c>
    </row>
    <row r="194" spans="1:30" x14ac:dyDescent="0.2">
      <c r="A194" s="178">
        <v>173</v>
      </c>
      <c r="B194" s="178">
        <f t="shared" si="51"/>
        <v>2185</v>
      </c>
      <c r="C194" s="292" t="str">
        <f>IF(IN_DATA!C178="","",MAX(min_oil_price,MIN(C193+C193*$L$6,max_oil_price)))</f>
        <v/>
      </c>
      <c r="D194" s="293" t="str">
        <f>IF(IN_DATA!C178="","",MAX(min_gas_price,MIN(D193+D193*$L$7,max_gas_price)))</f>
        <v/>
      </c>
      <c r="E194" s="294" t="str">
        <f>IF(IN_DATA!C178="","",MIN(E193+E193*$L$8,16))</f>
        <v/>
      </c>
      <c r="F194" s="110" t="str">
        <f>IF(O194="", "", IN_DATA!C178*365*OCF*FPF)</f>
        <v/>
      </c>
      <c r="G194" s="184" t="str">
        <f>IF(O194="","",IN_DATA!D178*365*FPF*OCF)</f>
        <v/>
      </c>
      <c r="H194" s="235" t="str">
        <f t="shared" si="39"/>
        <v/>
      </c>
      <c r="I194" s="238" t="str">
        <f t="shared" si="40"/>
        <v/>
      </c>
      <c r="J194" s="236" t="str">
        <f t="shared" si="41"/>
        <v/>
      </c>
      <c r="K194" s="239" t="str">
        <f t="shared" si="42"/>
        <v/>
      </c>
      <c r="L194" s="247" t="str">
        <f t="shared" si="47"/>
        <v/>
      </c>
      <c r="M194" s="244" t="str">
        <f>IF(I194=""," ",IF(IN_DATA!R178=1,"Primary Rec.",IF(IN_DATA!R178=2,"Water Flood",IF(IN_DATA!R178=3,"CO2 Flood",""))))</f>
        <v xml:space="preserve"> </v>
      </c>
      <c r="N194" s="109" t="str">
        <f>IF(I194="","",IF(O194=0, 0, OpCost!AD183))</f>
        <v/>
      </c>
      <c r="O194" s="187" t="str">
        <f>IF(OpCost!AE183="", "", OpCost!AE183)</f>
        <v/>
      </c>
      <c r="P194" s="251" t="str">
        <f>IF(F194="","",((IN_DATA!C178+IN_DATA!D178/10)/IN_DATA!P178))</f>
        <v/>
      </c>
      <c r="Q194" s="248" t="str">
        <f>IF(F194="","",SUM($P$21:P194)*365)</f>
        <v/>
      </c>
      <c r="R194" s="249" t="str">
        <f>IF(F194="", "", HLOOKUP(C194,'Reference-Crown Royalties'!$D$2:$AB$49,MATCH(P194,'Reference-Crown Royalties'!$A$2:$A$49,1),TRUE))</f>
        <v/>
      </c>
      <c r="S194" s="276" t="str">
        <f>IF(F194="", "", IF(IN_DATA!R178=3, CO2_Royalty_Factor, IF('Economics Summary'!A194&lt;2, IF('Economics Summary'!Q194&lt;60000, 0.05, ((60000*0.05+('Economics Summary'!Q194-60000)*R194)/'Economics Summary'!Q194)),R194)))</f>
        <v/>
      </c>
      <c r="T194" s="250" t="str">
        <f t="shared" si="43"/>
        <v/>
      </c>
      <c r="U194" s="250" t="str">
        <f t="shared" si="44"/>
        <v/>
      </c>
      <c r="V194" s="344" t="str">
        <f t="shared" si="48"/>
        <v/>
      </c>
      <c r="W194" s="257" t="str">
        <f>IF(F194="","",SUM($V$21:V194))</f>
        <v/>
      </c>
      <c r="X194" s="260" t="str">
        <f xml:space="preserve"> IF(OR(F194="",SUM(IN_DATA!$H$5:'IN_DATA'!H178)=0), "", 1-SUM(IN_DATA!$F$5:'IN_DATA'!F178)/SUM(IN_DATA!$H$5:'IN_DATA'!H178))</f>
        <v/>
      </c>
      <c r="Y194" s="307" t="str">
        <f>IF(OR(F194="",SUM(IN_DATA!$H$5:'IN_DATA'!H178)=0),"",365*(SUM(IN_DATA!$H$5:'IN_DATA'!H178)-SUM(IN_DATA!$F$5:'IN_DATA'!F178))/1000)</f>
        <v/>
      </c>
      <c r="Z194" s="346" t="str">
        <f t="shared" si="45"/>
        <v/>
      </c>
      <c r="AA194" s="370" t="str">
        <f t="shared" si="49"/>
        <v/>
      </c>
      <c r="AB194" s="373" t="str">
        <f>IF(F194="", "", IF(IN_DATA!R178=3, MAX(CO2_Royalty_Factor-Z194/10000,0), IF('Economics Summary'!A194&lt;2, IF('Economics Summary'!Q194&lt;60000, 0.05, ((60000*0.05+('Economics Summary'!Q194-60000)*R194)/'Economics Summary'!Q194)),R194)))</f>
        <v/>
      </c>
      <c r="AC194" s="377" t="str">
        <f t="shared" si="46"/>
        <v/>
      </c>
      <c r="AD194" s="378" t="str">
        <f t="shared" si="50"/>
        <v/>
      </c>
    </row>
    <row r="195" spans="1:30" x14ac:dyDescent="0.2">
      <c r="A195" s="178">
        <v>174</v>
      </c>
      <c r="B195" s="178">
        <f t="shared" si="51"/>
        <v>2186</v>
      </c>
      <c r="C195" s="292" t="str">
        <f>IF(IN_DATA!C179="","",MAX(min_oil_price,MIN(C194+C194*$L$6,max_oil_price)))</f>
        <v/>
      </c>
      <c r="D195" s="293" t="str">
        <f>IF(IN_DATA!C179="","",MAX(min_gas_price,MIN(D194+D194*$L$7,max_gas_price)))</f>
        <v/>
      </c>
      <c r="E195" s="294" t="str">
        <f>IF(IN_DATA!C179="","",MIN(E194+E194*$L$8,16))</f>
        <v/>
      </c>
      <c r="F195" s="110" t="str">
        <f>IF(O195="", "", IN_DATA!C179*365*OCF*FPF)</f>
        <v/>
      </c>
      <c r="G195" s="184" t="str">
        <f>IF(O195="","",IN_DATA!D179*365*FPF*OCF)</f>
        <v/>
      </c>
      <c r="H195" s="235" t="str">
        <f t="shared" si="39"/>
        <v/>
      </c>
      <c r="I195" s="238" t="str">
        <f t="shared" si="40"/>
        <v/>
      </c>
      <c r="J195" s="236" t="str">
        <f t="shared" si="41"/>
        <v/>
      </c>
      <c r="K195" s="239" t="str">
        <f t="shared" si="42"/>
        <v/>
      </c>
      <c r="L195" s="247" t="str">
        <f t="shared" si="47"/>
        <v/>
      </c>
      <c r="M195" s="244" t="str">
        <f>IF(I195=""," ",IF(IN_DATA!R179=1,"Primary Rec.",IF(IN_DATA!R179=2,"Water Flood",IF(IN_DATA!R179=3,"CO2 Flood",""))))</f>
        <v xml:space="preserve"> </v>
      </c>
      <c r="N195" s="109" t="str">
        <f>IF(I195="","",IF(O195=0, 0, OpCost!AD184))</f>
        <v/>
      </c>
      <c r="O195" s="187" t="str">
        <f>IF(OpCost!AE184="", "", OpCost!AE184)</f>
        <v/>
      </c>
      <c r="P195" s="251" t="str">
        <f>IF(F195="","",((IN_DATA!C179+IN_DATA!D179/10)/IN_DATA!P179))</f>
        <v/>
      </c>
      <c r="Q195" s="248" t="str">
        <f>IF(F195="","",SUM($P$21:P195)*365)</f>
        <v/>
      </c>
      <c r="R195" s="249" t="str">
        <f>IF(F195="", "", HLOOKUP(C195,'Reference-Crown Royalties'!$D$2:$AB$49,MATCH(P195,'Reference-Crown Royalties'!$A$2:$A$49,1),TRUE))</f>
        <v/>
      </c>
      <c r="S195" s="276" t="str">
        <f>IF(F195="", "", IF(IN_DATA!R179=3, CO2_Royalty_Factor, IF('Economics Summary'!A195&lt;2, IF('Economics Summary'!Q195&lt;60000, 0.05, ((60000*0.05+('Economics Summary'!Q195-60000)*R195)/'Economics Summary'!Q195)),R195)))</f>
        <v/>
      </c>
      <c r="T195" s="250" t="str">
        <f t="shared" si="43"/>
        <v/>
      </c>
      <c r="U195" s="250" t="str">
        <f t="shared" si="44"/>
        <v/>
      </c>
      <c r="V195" s="344" t="str">
        <f t="shared" si="48"/>
        <v/>
      </c>
      <c r="W195" s="257" t="str">
        <f>IF(F195="","",SUM($V$21:V195))</f>
        <v/>
      </c>
      <c r="X195" s="260" t="str">
        <f xml:space="preserve"> IF(OR(F195="",SUM(IN_DATA!$H$5:'IN_DATA'!H179)=0), "", 1-SUM(IN_DATA!$F$5:'IN_DATA'!F179)/SUM(IN_DATA!$H$5:'IN_DATA'!H179))</f>
        <v/>
      </c>
      <c r="Y195" s="307" t="str">
        <f>IF(OR(F195="",SUM(IN_DATA!$H$5:'IN_DATA'!H179)=0),"",365*(SUM(IN_DATA!$H$5:'IN_DATA'!H179)-SUM(IN_DATA!$F$5:'IN_DATA'!F179))/1000)</f>
        <v/>
      </c>
      <c r="Z195" s="346" t="str">
        <f t="shared" si="45"/>
        <v/>
      </c>
      <c r="AA195" s="370" t="str">
        <f t="shared" si="49"/>
        <v/>
      </c>
      <c r="AB195" s="373" t="str">
        <f>IF(F195="", "", IF(IN_DATA!R179=3, MAX(CO2_Royalty_Factor-Z195/10000,0), IF('Economics Summary'!A195&lt;2, IF('Economics Summary'!Q195&lt;60000, 0.05, ((60000*0.05+('Economics Summary'!Q195-60000)*R195)/'Economics Summary'!Q195)),R195)))</f>
        <v/>
      </c>
      <c r="AC195" s="377" t="str">
        <f t="shared" si="46"/>
        <v/>
      </c>
      <c r="AD195" s="378" t="str">
        <f t="shared" si="50"/>
        <v/>
      </c>
    </row>
    <row r="196" spans="1:30" x14ac:dyDescent="0.2">
      <c r="A196" s="178">
        <v>175</v>
      </c>
      <c r="B196" s="178">
        <f t="shared" si="51"/>
        <v>2187</v>
      </c>
      <c r="C196" s="292" t="str">
        <f>IF(IN_DATA!C180="","",MAX(min_oil_price,MIN(C195+C195*$L$6,max_oil_price)))</f>
        <v/>
      </c>
      <c r="D196" s="293" t="str">
        <f>IF(IN_DATA!C180="","",MAX(min_gas_price,MIN(D195+D195*$L$7,max_gas_price)))</f>
        <v/>
      </c>
      <c r="E196" s="294" t="str">
        <f>IF(IN_DATA!C180="","",MIN(E195+E195*$L$8,16))</f>
        <v/>
      </c>
      <c r="F196" s="110" t="str">
        <f>IF(O196="", "", IN_DATA!C180*365*OCF*FPF)</f>
        <v/>
      </c>
      <c r="G196" s="184" t="str">
        <f>IF(O196="","",IN_DATA!D180*365*FPF*OCF)</f>
        <v/>
      </c>
      <c r="H196" s="235" t="str">
        <f t="shared" si="39"/>
        <v/>
      </c>
      <c r="I196" s="238" t="str">
        <f t="shared" si="40"/>
        <v/>
      </c>
      <c r="J196" s="236" t="str">
        <f t="shared" si="41"/>
        <v/>
      </c>
      <c r="K196" s="239" t="str">
        <f t="shared" si="42"/>
        <v/>
      </c>
      <c r="L196" s="247" t="str">
        <f t="shared" si="47"/>
        <v/>
      </c>
      <c r="M196" s="244" t="str">
        <f>IF(I196=""," ",IF(IN_DATA!R180=1,"Primary Rec.",IF(IN_DATA!R180=2,"Water Flood",IF(IN_DATA!R180=3,"CO2 Flood",""))))</f>
        <v xml:space="preserve"> </v>
      </c>
      <c r="N196" s="109" t="str">
        <f>IF(I196="","",IF(O196=0, 0, OpCost!AD185))</f>
        <v/>
      </c>
      <c r="O196" s="187" t="str">
        <f>IF(OpCost!AE185="", "", OpCost!AE185)</f>
        <v/>
      </c>
      <c r="P196" s="251" t="str">
        <f>IF(F196="","",((IN_DATA!C180+IN_DATA!D180/10)/IN_DATA!P180))</f>
        <v/>
      </c>
      <c r="Q196" s="248" t="str">
        <f>IF(F196="","",SUM($P$21:P196)*365)</f>
        <v/>
      </c>
      <c r="R196" s="249" t="str">
        <f>IF(F196="", "", HLOOKUP(C196,'Reference-Crown Royalties'!$D$2:$AB$49,MATCH(P196,'Reference-Crown Royalties'!$A$2:$A$49,1),TRUE))</f>
        <v/>
      </c>
      <c r="S196" s="276" t="str">
        <f>IF(F196="", "", IF(IN_DATA!R180=3, CO2_Royalty_Factor, IF('Economics Summary'!A196&lt;2, IF('Economics Summary'!Q196&lt;60000, 0.05, ((60000*0.05+('Economics Summary'!Q196-60000)*R196)/'Economics Summary'!Q196)),R196)))</f>
        <v/>
      </c>
      <c r="T196" s="250" t="str">
        <f t="shared" si="43"/>
        <v/>
      </c>
      <c r="U196" s="250" t="str">
        <f t="shared" si="44"/>
        <v/>
      </c>
      <c r="V196" s="344" t="str">
        <f t="shared" si="48"/>
        <v/>
      </c>
      <c r="W196" s="257" t="str">
        <f>IF(F196="","",SUM($V$21:V196))</f>
        <v/>
      </c>
      <c r="X196" s="260" t="str">
        <f xml:space="preserve"> IF(OR(F196="",SUM(IN_DATA!$H$5:'IN_DATA'!H180)=0), "", 1-SUM(IN_DATA!$F$5:'IN_DATA'!F180)/SUM(IN_DATA!$H$5:'IN_DATA'!H180))</f>
        <v/>
      </c>
      <c r="Y196" s="307" t="str">
        <f>IF(OR(F196="",SUM(IN_DATA!$H$5:'IN_DATA'!H180)=0),"",365*(SUM(IN_DATA!$H$5:'IN_DATA'!H180)-SUM(IN_DATA!$F$5:'IN_DATA'!F180))/1000)</f>
        <v/>
      </c>
      <c r="Z196" s="346" t="str">
        <f t="shared" si="45"/>
        <v/>
      </c>
      <c r="AA196" s="370" t="str">
        <f t="shared" si="49"/>
        <v/>
      </c>
      <c r="AB196" s="373" t="str">
        <f>IF(F196="", "", IF(IN_DATA!R180=3, MAX(CO2_Royalty_Factor-Z196/10000,0), IF('Economics Summary'!A196&lt;2, IF('Economics Summary'!Q196&lt;60000, 0.05, ((60000*0.05+('Economics Summary'!Q196-60000)*R196)/'Economics Summary'!Q196)),R196)))</f>
        <v/>
      </c>
      <c r="AC196" s="377" t="str">
        <f t="shared" si="46"/>
        <v/>
      </c>
      <c r="AD196" s="378" t="str">
        <f t="shared" si="50"/>
        <v/>
      </c>
    </row>
    <row r="197" spans="1:30" x14ac:dyDescent="0.2">
      <c r="A197" s="178">
        <v>176</v>
      </c>
      <c r="B197" s="178">
        <f t="shared" si="51"/>
        <v>2188</v>
      </c>
      <c r="C197" s="292" t="str">
        <f>IF(IN_DATA!C181="","",MAX(min_oil_price,MIN(C196+C196*$L$6,max_oil_price)))</f>
        <v/>
      </c>
      <c r="D197" s="293" t="str">
        <f>IF(IN_DATA!C181="","",MAX(min_gas_price,MIN(D196+D196*$L$7,max_gas_price)))</f>
        <v/>
      </c>
      <c r="E197" s="294" t="str">
        <f>IF(IN_DATA!C181="","",MIN(E196+E196*$L$8,16))</f>
        <v/>
      </c>
      <c r="F197" s="110" t="str">
        <f>IF(O197="", "", IN_DATA!C181*365*OCF*FPF)</f>
        <v/>
      </c>
      <c r="G197" s="184" t="str">
        <f>IF(O197="","",IN_DATA!D181*365*FPF*OCF)</f>
        <v/>
      </c>
      <c r="H197" s="235" t="str">
        <f t="shared" si="39"/>
        <v/>
      </c>
      <c r="I197" s="238" t="str">
        <f t="shared" si="40"/>
        <v/>
      </c>
      <c r="J197" s="236" t="str">
        <f t="shared" si="41"/>
        <v/>
      </c>
      <c r="K197" s="239" t="str">
        <f t="shared" si="42"/>
        <v/>
      </c>
      <c r="L197" s="247" t="str">
        <f t="shared" si="47"/>
        <v/>
      </c>
      <c r="M197" s="244" t="str">
        <f>IF(I197=""," ",IF(IN_DATA!R181=1,"Primary Rec.",IF(IN_DATA!R181=2,"Water Flood",IF(IN_DATA!R181=3,"CO2 Flood",""))))</f>
        <v xml:space="preserve"> </v>
      </c>
      <c r="N197" s="109" t="str">
        <f>IF(I197="","",IF(O197=0, 0, OpCost!AD186))</f>
        <v/>
      </c>
      <c r="O197" s="187" t="str">
        <f>IF(OpCost!AE186="", "", OpCost!AE186)</f>
        <v/>
      </c>
      <c r="P197" s="251" t="str">
        <f>IF(F197="","",((IN_DATA!C181+IN_DATA!D181/10)/IN_DATA!P181))</f>
        <v/>
      </c>
      <c r="Q197" s="248" t="str">
        <f>IF(F197="","",SUM($P$21:P197)*365)</f>
        <v/>
      </c>
      <c r="R197" s="249" t="str">
        <f>IF(F197="", "", HLOOKUP(C197,'Reference-Crown Royalties'!$D$2:$AB$49,MATCH(P197,'Reference-Crown Royalties'!$A$2:$A$49,1),TRUE))</f>
        <v/>
      </c>
      <c r="S197" s="276" t="str">
        <f>IF(F197="", "", IF(IN_DATA!R181=3, CO2_Royalty_Factor, IF('Economics Summary'!A197&lt;2, IF('Economics Summary'!Q197&lt;60000, 0.05, ((60000*0.05+('Economics Summary'!Q197-60000)*R197)/'Economics Summary'!Q197)),R197)))</f>
        <v/>
      </c>
      <c r="T197" s="250" t="str">
        <f t="shared" si="43"/>
        <v/>
      </c>
      <c r="U197" s="250" t="str">
        <f t="shared" si="44"/>
        <v/>
      </c>
      <c r="V197" s="344" t="str">
        <f t="shared" si="48"/>
        <v/>
      </c>
      <c r="W197" s="257" t="str">
        <f>IF(F197="","",SUM($V$21:V197))</f>
        <v/>
      </c>
      <c r="X197" s="260" t="str">
        <f xml:space="preserve"> IF(OR(F197="",SUM(IN_DATA!$H$5:'IN_DATA'!H181)=0), "", 1-SUM(IN_DATA!$F$5:'IN_DATA'!F181)/SUM(IN_DATA!$H$5:'IN_DATA'!H181))</f>
        <v/>
      </c>
      <c r="Y197" s="307" t="str">
        <f>IF(OR(F197="",SUM(IN_DATA!$H$5:'IN_DATA'!H181)=0),"",365*(SUM(IN_DATA!$H$5:'IN_DATA'!H181)-SUM(IN_DATA!$F$5:'IN_DATA'!F181))/1000)</f>
        <v/>
      </c>
      <c r="Z197" s="346" t="str">
        <f t="shared" si="45"/>
        <v/>
      </c>
      <c r="AA197" s="370" t="str">
        <f t="shared" si="49"/>
        <v/>
      </c>
      <c r="AB197" s="373" t="str">
        <f>IF(F197="", "", IF(IN_DATA!R181=3, MAX(CO2_Royalty_Factor-Z197/10000,0), IF('Economics Summary'!A197&lt;2, IF('Economics Summary'!Q197&lt;60000, 0.05, ((60000*0.05+('Economics Summary'!Q197-60000)*R197)/'Economics Summary'!Q197)),R197)))</f>
        <v/>
      </c>
      <c r="AC197" s="377" t="str">
        <f t="shared" si="46"/>
        <v/>
      </c>
      <c r="AD197" s="378" t="str">
        <f t="shared" si="50"/>
        <v/>
      </c>
    </row>
    <row r="198" spans="1:30" x14ac:dyDescent="0.2">
      <c r="A198" s="178">
        <v>177</v>
      </c>
      <c r="B198" s="178">
        <f t="shared" si="51"/>
        <v>2189</v>
      </c>
      <c r="C198" s="292" t="str">
        <f>IF(IN_DATA!C182="","",MAX(min_oil_price,MIN(C197+C197*$L$6,max_oil_price)))</f>
        <v/>
      </c>
      <c r="D198" s="293" t="str">
        <f>IF(IN_DATA!C182="","",MAX(min_gas_price,MIN(D197+D197*$L$7,max_gas_price)))</f>
        <v/>
      </c>
      <c r="E198" s="294" t="str">
        <f>IF(IN_DATA!C182="","",MIN(E197+E197*$L$8,16))</f>
        <v/>
      </c>
      <c r="F198" s="110" t="str">
        <f>IF(O198="", "", IN_DATA!C182*365*OCF*FPF)</f>
        <v/>
      </c>
      <c r="G198" s="184" t="str">
        <f>IF(O198="","",IN_DATA!D182*365*FPF*OCF)</f>
        <v/>
      </c>
      <c r="H198" s="235" t="str">
        <f t="shared" si="39"/>
        <v/>
      </c>
      <c r="I198" s="238" t="str">
        <f t="shared" si="40"/>
        <v/>
      </c>
      <c r="J198" s="236" t="str">
        <f t="shared" si="41"/>
        <v/>
      </c>
      <c r="K198" s="239" t="str">
        <f t="shared" si="42"/>
        <v/>
      </c>
      <c r="L198" s="247" t="str">
        <f t="shared" si="47"/>
        <v/>
      </c>
      <c r="M198" s="244" t="str">
        <f>IF(I198=""," ",IF(IN_DATA!R182=1,"Primary Rec.",IF(IN_DATA!R182=2,"Water Flood",IF(IN_DATA!R182=3,"CO2 Flood",""))))</f>
        <v xml:space="preserve"> </v>
      </c>
      <c r="N198" s="109" t="str">
        <f>IF(I198="","",IF(O198=0, 0, OpCost!AD187))</f>
        <v/>
      </c>
      <c r="O198" s="187" t="str">
        <f>IF(OpCost!AE187="", "", OpCost!AE187)</f>
        <v/>
      </c>
      <c r="P198" s="251" t="str">
        <f>IF(F198="","",((IN_DATA!C182+IN_DATA!D182/10)/IN_DATA!P182))</f>
        <v/>
      </c>
      <c r="Q198" s="248" t="str">
        <f>IF(F198="","",SUM($P$21:P198)*365)</f>
        <v/>
      </c>
      <c r="R198" s="249" t="str">
        <f>IF(F198="", "", HLOOKUP(C198,'Reference-Crown Royalties'!$D$2:$AB$49,MATCH(P198,'Reference-Crown Royalties'!$A$2:$A$49,1),TRUE))</f>
        <v/>
      </c>
      <c r="S198" s="276" t="str">
        <f>IF(F198="", "", IF(IN_DATA!R182=3, CO2_Royalty_Factor, IF('Economics Summary'!A198&lt;2, IF('Economics Summary'!Q198&lt;60000, 0.05, ((60000*0.05+('Economics Summary'!Q198-60000)*R198)/'Economics Summary'!Q198)),R198)))</f>
        <v/>
      </c>
      <c r="T198" s="250" t="str">
        <f t="shared" si="43"/>
        <v/>
      </c>
      <c r="U198" s="250" t="str">
        <f t="shared" si="44"/>
        <v/>
      </c>
      <c r="V198" s="344" t="str">
        <f t="shared" si="48"/>
        <v/>
      </c>
      <c r="W198" s="257" t="str">
        <f>IF(F198="","",SUM($V$21:V198))</f>
        <v/>
      </c>
      <c r="X198" s="260" t="str">
        <f xml:space="preserve"> IF(OR(F198="",SUM(IN_DATA!$H$5:'IN_DATA'!H182)=0), "", 1-SUM(IN_DATA!$F$5:'IN_DATA'!F182)/SUM(IN_DATA!$H$5:'IN_DATA'!H182))</f>
        <v/>
      </c>
      <c r="Y198" s="307" t="str">
        <f>IF(OR(F198="",SUM(IN_DATA!$H$5:'IN_DATA'!H182)=0),"",365*(SUM(IN_DATA!$H$5:'IN_DATA'!H182)-SUM(IN_DATA!$F$5:'IN_DATA'!F182))/1000)</f>
        <v/>
      </c>
      <c r="Z198" s="346" t="str">
        <f t="shared" si="45"/>
        <v/>
      </c>
      <c r="AA198" s="370" t="str">
        <f t="shared" si="49"/>
        <v/>
      </c>
      <c r="AB198" s="373" t="str">
        <f>IF(F198="", "", IF(IN_DATA!R182=3, MAX(CO2_Royalty_Factor-Z198/10000,0), IF('Economics Summary'!A198&lt;2, IF('Economics Summary'!Q198&lt;60000, 0.05, ((60000*0.05+('Economics Summary'!Q198-60000)*R198)/'Economics Summary'!Q198)),R198)))</f>
        <v/>
      </c>
      <c r="AC198" s="377" t="str">
        <f t="shared" si="46"/>
        <v/>
      </c>
      <c r="AD198" s="378" t="str">
        <f t="shared" si="50"/>
        <v/>
      </c>
    </row>
    <row r="199" spans="1:30" x14ac:dyDescent="0.2">
      <c r="A199" s="178">
        <v>178</v>
      </c>
      <c r="B199" s="178">
        <f t="shared" si="51"/>
        <v>2190</v>
      </c>
      <c r="C199" s="292" t="str">
        <f>IF(IN_DATA!C183="","",MAX(min_oil_price,MIN(C198+C198*$L$6,max_oil_price)))</f>
        <v/>
      </c>
      <c r="D199" s="293" t="str">
        <f>IF(IN_DATA!C183="","",MAX(min_gas_price,MIN(D198+D198*$L$7,max_gas_price)))</f>
        <v/>
      </c>
      <c r="E199" s="294" t="str">
        <f>IF(IN_DATA!C183="","",MIN(E198+E198*$L$8,16))</f>
        <v/>
      </c>
      <c r="F199" s="110" t="str">
        <f>IF(O199="", "", IN_DATA!C183*365*OCF*FPF)</f>
        <v/>
      </c>
      <c r="G199" s="184" t="str">
        <f>IF(O199="","",IN_DATA!D183*365*FPF*OCF)</f>
        <v/>
      </c>
      <c r="H199" s="235" t="str">
        <f t="shared" si="39"/>
        <v/>
      </c>
      <c r="I199" s="238" t="str">
        <f t="shared" si="40"/>
        <v/>
      </c>
      <c r="J199" s="236" t="str">
        <f t="shared" si="41"/>
        <v/>
      </c>
      <c r="K199" s="239" t="str">
        <f t="shared" si="42"/>
        <v/>
      </c>
      <c r="L199" s="247" t="str">
        <f t="shared" si="47"/>
        <v/>
      </c>
      <c r="M199" s="244" t="str">
        <f>IF(I199=""," ",IF(IN_DATA!R183=1,"Primary Rec.",IF(IN_DATA!R183=2,"Water Flood",IF(IN_DATA!R183=3,"CO2 Flood",""))))</f>
        <v xml:space="preserve"> </v>
      </c>
      <c r="N199" s="109" t="str">
        <f>IF(I199="","",IF(O199=0, 0, OpCost!AD188))</f>
        <v/>
      </c>
      <c r="O199" s="187" t="str">
        <f>IF(OpCost!AE188="", "", OpCost!AE188)</f>
        <v/>
      </c>
      <c r="P199" s="251" t="str">
        <f>IF(F199="","",((IN_DATA!C183+IN_DATA!D183/10)/IN_DATA!P183))</f>
        <v/>
      </c>
      <c r="Q199" s="248" t="str">
        <f>IF(F199="","",SUM($P$21:P199)*365)</f>
        <v/>
      </c>
      <c r="R199" s="249" t="str">
        <f>IF(F199="", "", HLOOKUP(C199,'Reference-Crown Royalties'!$D$2:$AB$49,MATCH(P199,'Reference-Crown Royalties'!$A$2:$A$49,1),TRUE))</f>
        <v/>
      </c>
      <c r="S199" s="276" t="str">
        <f>IF(F199="", "", IF(IN_DATA!R183=3, CO2_Royalty_Factor, IF('Economics Summary'!A199&lt;2, IF('Economics Summary'!Q199&lt;60000, 0.05, ((60000*0.05+('Economics Summary'!Q199-60000)*R199)/'Economics Summary'!Q199)),R199)))</f>
        <v/>
      </c>
      <c r="T199" s="250" t="str">
        <f t="shared" si="43"/>
        <v/>
      </c>
      <c r="U199" s="250" t="str">
        <f t="shared" si="44"/>
        <v/>
      </c>
      <c r="V199" s="344" t="str">
        <f t="shared" si="48"/>
        <v/>
      </c>
      <c r="W199" s="257" t="str">
        <f>IF(F199="","",SUM($V$21:V199))</f>
        <v/>
      </c>
      <c r="X199" s="260" t="str">
        <f xml:space="preserve"> IF(OR(F199="",SUM(IN_DATA!$H$5:'IN_DATA'!H183)=0), "", 1-SUM(IN_DATA!$F$5:'IN_DATA'!F183)/SUM(IN_DATA!$H$5:'IN_DATA'!H183))</f>
        <v/>
      </c>
      <c r="Y199" s="307" t="str">
        <f>IF(OR(F199="",SUM(IN_DATA!$H$5:'IN_DATA'!H183)=0),"",365*(SUM(IN_DATA!$H$5:'IN_DATA'!H183)-SUM(IN_DATA!$F$5:'IN_DATA'!F183))/1000)</f>
        <v/>
      </c>
      <c r="Z199" s="346" t="str">
        <f t="shared" si="45"/>
        <v/>
      </c>
      <c r="AA199" s="370" t="str">
        <f t="shared" si="49"/>
        <v/>
      </c>
      <c r="AB199" s="373" t="str">
        <f>IF(F199="", "", IF(IN_DATA!R183=3, MAX(CO2_Royalty_Factor-Z199/10000,0), IF('Economics Summary'!A199&lt;2, IF('Economics Summary'!Q199&lt;60000, 0.05, ((60000*0.05+('Economics Summary'!Q199-60000)*R199)/'Economics Summary'!Q199)),R199)))</f>
        <v/>
      </c>
      <c r="AC199" s="377" t="str">
        <f t="shared" si="46"/>
        <v/>
      </c>
      <c r="AD199" s="378" t="str">
        <f t="shared" si="50"/>
        <v/>
      </c>
    </row>
    <row r="200" spans="1:30" x14ac:dyDescent="0.2">
      <c r="A200" s="178">
        <v>179</v>
      </c>
      <c r="B200" s="178">
        <f t="shared" si="51"/>
        <v>2191</v>
      </c>
      <c r="C200" s="292" t="str">
        <f>IF(IN_DATA!C184="","",MAX(min_oil_price,MIN(C199+C199*$L$6,max_oil_price)))</f>
        <v/>
      </c>
      <c r="D200" s="293" t="str">
        <f>IF(IN_DATA!C184="","",MAX(min_gas_price,MIN(D199+D199*$L$7,max_gas_price)))</f>
        <v/>
      </c>
      <c r="E200" s="294" t="str">
        <f>IF(IN_DATA!C184="","",MIN(E199+E199*$L$8,16))</f>
        <v/>
      </c>
      <c r="F200" s="110" t="str">
        <f>IF(O200="", "", IN_DATA!C184*365*OCF*FPF)</f>
        <v/>
      </c>
      <c r="G200" s="184" t="str">
        <f>IF(O200="","",IN_DATA!D184*365*FPF*OCF)</f>
        <v/>
      </c>
      <c r="H200" s="235" t="str">
        <f t="shared" si="39"/>
        <v/>
      </c>
      <c r="I200" s="238" t="str">
        <f t="shared" si="40"/>
        <v/>
      </c>
      <c r="J200" s="236" t="str">
        <f t="shared" si="41"/>
        <v/>
      </c>
      <c r="K200" s="239" t="str">
        <f t="shared" si="42"/>
        <v/>
      </c>
      <c r="L200" s="247" t="str">
        <f t="shared" si="47"/>
        <v/>
      </c>
      <c r="M200" s="244" t="str">
        <f>IF(I200=""," ",IF(IN_DATA!R184=1,"Primary Rec.",IF(IN_DATA!R184=2,"Water Flood",IF(IN_DATA!R184=3,"CO2 Flood",""))))</f>
        <v xml:space="preserve"> </v>
      </c>
      <c r="N200" s="109" t="str">
        <f>IF(I200="","",IF(O200=0, 0, OpCost!AD189))</f>
        <v/>
      </c>
      <c r="O200" s="187" t="str">
        <f>IF(OpCost!AE189="", "", OpCost!AE189)</f>
        <v/>
      </c>
      <c r="P200" s="251" t="str">
        <f>IF(F200="","",((IN_DATA!C184+IN_DATA!D184/10)/IN_DATA!P184))</f>
        <v/>
      </c>
      <c r="Q200" s="248" t="str">
        <f>IF(F200="","",SUM($P$21:P200)*365)</f>
        <v/>
      </c>
      <c r="R200" s="249" t="str">
        <f>IF(F200="", "", HLOOKUP(C200,'Reference-Crown Royalties'!$D$2:$AB$49,MATCH(P200,'Reference-Crown Royalties'!$A$2:$A$49,1),TRUE))</f>
        <v/>
      </c>
      <c r="S200" s="276" t="str">
        <f>IF(F200="", "", IF(IN_DATA!R184=3, CO2_Royalty_Factor, IF('Economics Summary'!A200&lt;2, IF('Economics Summary'!Q200&lt;60000, 0.05, ((60000*0.05+('Economics Summary'!Q200-60000)*R200)/'Economics Summary'!Q200)),R200)))</f>
        <v/>
      </c>
      <c r="T200" s="250" t="str">
        <f t="shared" si="43"/>
        <v/>
      </c>
      <c r="U200" s="250" t="str">
        <f t="shared" si="44"/>
        <v/>
      </c>
      <c r="V200" s="344" t="str">
        <f t="shared" si="48"/>
        <v/>
      </c>
      <c r="W200" s="257" t="str">
        <f>IF(F200="","",SUM($V$21:V200))</f>
        <v/>
      </c>
      <c r="X200" s="260" t="str">
        <f xml:space="preserve"> IF(OR(F200="",SUM(IN_DATA!$H$5:'IN_DATA'!H184)=0), "", 1-SUM(IN_DATA!$F$5:'IN_DATA'!F184)/SUM(IN_DATA!$H$5:'IN_DATA'!H184))</f>
        <v/>
      </c>
      <c r="Y200" s="307" t="str">
        <f>IF(OR(F200="",SUM(IN_DATA!$H$5:'IN_DATA'!H184)=0),"",365*(SUM(IN_DATA!$H$5:'IN_DATA'!H184)-SUM(IN_DATA!$F$5:'IN_DATA'!F184))/1000)</f>
        <v/>
      </c>
      <c r="Z200" s="346" t="str">
        <f t="shared" si="45"/>
        <v/>
      </c>
      <c r="AA200" s="370" t="str">
        <f t="shared" si="49"/>
        <v/>
      </c>
      <c r="AB200" s="373" t="str">
        <f>IF(F200="", "", IF(IN_DATA!R184=3, MAX(CO2_Royalty_Factor-Z200/10000,0), IF('Economics Summary'!A200&lt;2, IF('Economics Summary'!Q200&lt;60000, 0.05, ((60000*0.05+('Economics Summary'!Q200-60000)*R200)/'Economics Summary'!Q200)),R200)))</f>
        <v/>
      </c>
      <c r="AC200" s="377" t="str">
        <f t="shared" si="46"/>
        <v/>
      </c>
      <c r="AD200" s="378" t="str">
        <f t="shared" si="50"/>
        <v/>
      </c>
    </row>
    <row r="201" spans="1:30" x14ac:dyDescent="0.2">
      <c r="A201" s="178">
        <v>180</v>
      </c>
      <c r="B201" s="178">
        <f t="shared" si="51"/>
        <v>2192</v>
      </c>
      <c r="C201" s="292" t="str">
        <f>IF(IN_DATA!C185="","",MAX(min_oil_price,MIN(C200+C200*$L$6,max_oil_price)))</f>
        <v/>
      </c>
      <c r="D201" s="293" t="str">
        <f>IF(IN_DATA!C185="","",MAX(min_gas_price,MIN(D200+D200*$L$7,max_gas_price)))</f>
        <v/>
      </c>
      <c r="E201" s="294" t="str">
        <f>IF(IN_DATA!C185="","",MIN(E200+E200*$L$8,16))</f>
        <v/>
      </c>
      <c r="F201" s="110" t="str">
        <f>IF(O201="", "", IN_DATA!C185*365*OCF*FPF)</f>
        <v/>
      </c>
      <c r="G201" s="184" t="str">
        <f>IF(O201="","",IN_DATA!D185*365*FPF*OCF)</f>
        <v/>
      </c>
      <c r="H201" s="235" t="str">
        <f t="shared" si="39"/>
        <v/>
      </c>
      <c r="I201" s="238" t="str">
        <f t="shared" si="40"/>
        <v/>
      </c>
      <c r="J201" s="236" t="str">
        <f t="shared" si="41"/>
        <v/>
      </c>
      <c r="K201" s="239" t="str">
        <f t="shared" si="42"/>
        <v/>
      </c>
      <c r="L201" s="247" t="str">
        <f t="shared" si="47"/>
        <v/>
      </c>
      <c r="M201" s="244" t="str">
        <f>IF(I201=""," ",IF(IN_DATA!R185=1,"Primary Rec.",IF(IN_DATA!R185=2,"Water Flood",IF(IN_DATA!R185=3,"CO2 Flood",""))))</f>
        <v xml:space="preserve"> </v>
      </c>
      <c r="N201" s="109" t="str">
        <f>IF(I201="","",IF(O201=0, 0, OpCost!AD190))</f>
        <v/>
      </c>
      <c r="O201" s="187" t="str">
        <f>IF(OpCost!AE190="", "", OpCost!AE190)</f>
        <v/>
      </c>
      <c r="P201" s="251" t="str">
        <f>IF(F201="","",((IN_DATA!C185+IN_DATA!D185/10)/IN_DATA!P185))</f>
        <v/>
      </c>
      <c r="Q201" s="248" t="str">
        <f>IF(F201="","",SUM($P$21:P201)*365)</f>
        <v/>
      </c>
      <c r="R201" s="249" t="str">
        <f>IF(F201="", "", HLOOKUP(C201,'Reference-Crown Royalties'!$D$2:$AB$49,MATCH(P201,'Reference-Crown Royalties'!$A$2:$A$49,1),TRUE))</f>
        <v/>
      </c>
      <c r="S201" s="276" t="str">
        <f>IF(F201="", "", IF(IN_DATA!R185=3, CO2_Royalty_Factor, IF('Economics Summary'!A201&lt;2, IF('Economics Summary'!Q201&lt;60000, 0.05, ((60000*0.05+('Economics Summary'!Q201-60000)*R201)/'Economics Summary'!Q201)),R201)))</f>
        <v/>
      </c>
      <c r="T201" s="250" t="str">
        <f t="shared" si="43"/>
        <v/>
      </c>
      <c r="U201" s="250" t="str">
        <f t="shared" si="44"/>
        <v/>
      </c>
      <c r="V201" s="344" t="str">
        <f t="shared" si="48"/>
        <v/>
      </c>
      <c r="W201" s="257" t="str">
        <f>IF(F201="","",SUM($V$21:V201))</f>
        <v/>
      </c>
      <c r="X201" s="260" t="str">
        <f xml:space="preserve"> IF(OR(F201="",SUM(IN_DATA!$H$5:'IN_DATA'!H185)=0), "", 1-SUM(IN_DATA!$F$5:'IN_DATA'!F185)/SUM(IN_DATA!$H$5:'IN_DATA'!H185))</f>
        <v/>
      </c>
      <c r="Y201" s="307" t="str">
        <f>IF(OR(F201="",SUM(IN_DATA!$H$5:'IN_DATA'!H185)=0),"",365*(SUM(IN_DATA!$H$5:'IN_DATA'!H185)-SUM(IN_DATA!$F$5:'IN_DATA'!F185))/1000)</f>
        <v/>
      </c>
      <c r="Z201" s="346" t="str">
        <f t="shared" si="45"/>
        <v/>
      </c>
      <c r="AA201" s="370" t="str">
        <f t="shared" si="49"/>
        <v/>
      </c>
      <c r="AB201" s="373" t="str">
        <f>IF(F201="", "", IF(IN_DATA!R185=3, MAX(CO2_Royalty_Factor-Z201/10000,0), IF('Economics Summary'!A201&lt;2, IF('Economics Summary'!Q201&lt;60000, 0.05, ((60000*0.05+('Economics Summary'!Q201-60000)*R201)/'Economics Summary'!Q201)),R201)))</f>
        <v/>
      </c>
      <c r="AC201" s="377" t="str">
        <f t="shared" si="46"/>
        <v/>
      </c>
      <c r="AD201" s="378" t="str">
        <f t="shared" si="50"/>
        <v/>
      </c>
    </row>
    <row r="202" spans="1:30" x14ac:dyDescent="0.2">
      <c r="A202" s="178">
        <v>181</v>
      </c>
      <c r="B202" s="178">
        <f t="shared" si="51"/>
        <v>2193</v>
      </c>
      <c r="C202" s="292" t="str">
        <f>IF(IN_DATA!C186="","",MAX(min_oil_price,MIN(C201+C201*$L$6,max_oil_price)))</f>
        <v/>
      </c>
      <c r="D202" s="293" t="str">
        <f>IF(IN_DATA!C186="","",MAX(min_gas_price,MIN(D201+D201*$L$7,max_gas_price)))</f>
        <v/>
      </c>
      <c r="E202" s="294" t="str">
        <f>IF(IN_DATA!C186="","",MIN(E201+E201*$L$8,16))</f>
        <v/>
      </c>
      <c r="F202" s="110" t="str">
        <f>IF(O202="", "", IN_DATA!C186*365*OCF*FPF)</f>
        <v/>
      </c>
      <c r="G202" s="184" t="str">
        <f>IF(O202="","",IN_DATA!D186*365*FPF*OCF)</f>
        <v/>
      </c>
      <c r="H202" s="235" t="str">
        <f t="shared" si="39"/>
        <v/>
      </c>
      <c r="I202" s="238" t="str">
        <f t="shared" si="40"/>
        <v/>
      </c>
      <c r="J202" s="236" t="str">
        <f t="shared" si="41"/>
        <v/>
      </c>
      <c r="K202" s="239" t="str">
        <f t="shared" si="42"/>
        <v/>
      </c>
      <c r="L202" s="247" t="str">
        <f t="shared" si="47"/>
        <v/>
      </c>
      <c r="M202" s="244" t="str">
        <f>IF(I202=""," ",IF(IN_DATA!R186=1,"Primary Rec.",IF(IN_DATA!R186=2,"Water Flood",IF(IN_DATA!R186=3,"CO2 Flood",""))))</f>
        <v xml:space="preserve"> </v>
      </c>
      <c r="N202" s="109" t="str">
        <f>IF(I202="","",IF(O202=0, 0, OpCost!AD191))</f>
        <v/>
      </c>
      <c r="O202" s="187" t="str">
        <f>IF(OpCost!AE191="", "", OpCost!AE191)</f>
        <v/>
      </c>
      <c r="P202" s="251" t="str">
        <f>IF(F202="","",((IN_DATA!C186+IN_DATA!D186/10)/IN_DATA!P186))</f>
        <v/>
      </c>
      <c r="Q202" s="248" t="str">
        <f>IF(F202="","",SUM($P$21:P202)*365)</f>
        <v/>
      </c>
      <c r="R202" s="249" t="str">
        <f>IF(F202="", "", HLOOKUP(C202,'Reference-Crown Royalties'!$D$2:$AB$49,MATCH(P202,'Reference-Crown Royalties'!$A$2:$A$49,1),TRUE))</f>
        <v/>
      </c>
      <c r="S202" s="276" t="str">
        <f>IF(F202="", "", IF(IN_DATA!R186=3, CO2_Royalty_Factor, IF('Economics Summary'!A202&lt;2, IF('Economics Summary'!Q202&lt;60000, 0.05, ((60000*0.05+('Economics Summary'!Q202-60000)*R202)/'Economics Summary'!Q202)),R202)))</f>
        <v/>
      </c>
      <c r="T202" s="250" t="str">
        <f t="shared" si="43"/>
        <v/>
      </c>
      <c r="U202" s="250" t="str">
        <f t="shared" si="44"/>
        <v/>
      </c>
      <c r="V202" s="344" t="str">
        <f t="shared" si="48"/>
        <v/>
      </c>
      <c r="W202" s="257" t="str">
        <f>IF(F202="","",SUM($V$21:V202))</f>
        <v/>
      </c>
      <c r="X202" s="260" t="str">
        <f xml:space="preserve"> IF(OR(F202="",SUM(IN_DATA!$H$5:'IN_DATA'!H186)=0), "", 1-SUM(IN_DATA!$F$5:'IN_DATA'!F186)/SUM(IN_DATA!$H$5:'IN_DATA'!H186))</f>
        <v/>
      </c>
      <c r="Y202" s="307" t="str">
        <f>IF(OR(F202="",SUM(IN_DATA!$H$5:'IN_DATA'!H186)=0),"",365*(SUM(IN_DATA!$H$5:'IN_DATA'!H186)-SUM(IN_DATA!$F$5:'IN_DATA'!F186))/1000)</f>
        <v/>
      </c>
      <c r="Z202" s="346" t="str">
        <f t="shared" si="45"/>
        <v/>
      </c>
      <c r="AA202" s="370" t="str">
        <f t="shared" si="49"/>
        <v/>
      </c>
      <c r="AB202" s="373" t="str">
        <f>IF(F202="", "", IF(IN_DATA!R186=3, MAX(CO2_Royalty_Factor-Z202/10000,0), IF('Economics Summary'!A202&lt;2, IF('Economics Summary'!Q202&lt;60000, 0.05, ((60000*0.05+('Economics Summary'!Q202-60000)*R202)/'Economics Summary'!Q202)),R202)))</f>
        <v/>
      </c>
      <c r="AC202" s="377" t="str">
        <f t="shared" si="46"/>
        <v/>
      </c>
      <c r="AD202" s="378" t="str">
        <f t="shared" si="50"/>
        <v/>
      </c>
    </row>
    <row r="203" spans="1:30" x14ac:dyDescent="0.2">
      <c r="A203" s="178">
        <v>182</v>
      </c>
      <c r="B203" s="178">
        <f t="shared" si="51"/>
        <v>2194</v>
      </c>
      <c r="C203" s="292" t="str">
        <f>IF(IN_DATA!C187="","",MAX(min_oil_price,MIN(C202+C202*$L$6,max_oil_price)))</f>
        <v/>
      </c>
      <c r="D203" s="293" t="str">
        <f>IF(IN_DATA!C187="","",MAX(min_gas_price,MIN(D202+D202*$L$7,max_gas_price)))</f>
        <v/>
      </c>
      <c r="E203" s="294" t="str">
        <f>IF(IN_DATA!C187="","",MIN(E202+E202*$L$8,16))</f>
        <v/>
      </c>
      <c r="F203" s="110" t="str">
        <f>IF(O203="", "", IN_DATA!C187*365*OCF*FPF)</f>
        <v/>
      </c>
      <c r="G203" s="184" t="str">
        <f>IF(O203="","",IN_DATA!D187*365*FPF*OCF)</f>
        <v/>
      </c>
      <c r="H203" s="235" t="str">
        <f t="shared" si="39"/>
        <v/>
      </c>
      <c r="I203" s="238" t="str">
        <f t="shared" si="40"/>
        <v/>
      </c>
      <c r="J203" s="236" t="str">
        <f t="shared" si="41"/>
        <v/>
      </c>
      <c r="K203" s="239" t="str">
        <f t="shared" si="42"/>
        <v/>
      </c>
      <c r="L203" s="247" t="str">
        <f t="shared" si="47"/>
        <v/>
      </c>
      <c r="M203" s="244" t="str">
        <f>IF(I203=""," ",IF(IN_DATA!R187=1,"Primary Rec.",IF(IN_DATA!R187=2,"Water Flood",IF(IN_DATA!R187=3,"CO2 Flood",""))))</f>
        <v xml:space="preserve"> </v>
      </c>
      <c r="N203" s="109" t="str">
        <f>IF(I203="","",IF(O203=0, 0, OpCost!AD192))</f>
        <v/>
      </c>
      <c r="O203" s="187" t="str">
        <f>IF(OpCost!AE192="", "", OpCost!AE192)</f>
        <v/>
      </c>
      <c r="P203" s="251" t="str">
        <f>IF(F203="","",((IN_DATA!C187+IN_DATA!D187/10)/IN_DATA!P187))</f>
        <v/>
      </c>
      <c r="Q203" s="248" t="str">
        <f>IF(F203="","",SUM($P$21:P203)*365)</f>
        <v/>
      </c>
      <c r="R203" s="249" t="str">
        <f>IF(F203="", "", HLOOKUP(C203,'Reference-Crown Royalties'!$D$2:$AB$49,MATCH(P203,'Reference-Crown Royalties'!$A$2:$A$49,1),TRUE))</f>
        <v/>
      </c>
      <c r="S203" s="276" t="str">
        <f>IF(F203="", "", IF(IN_DATA!R187=3, CO2_Royalty_Factor, IF('Economics Summary'!A203&lt;2, IF('Economics Summary'!Q203&lt;60000, 0.05, ((60000*0.05+('Economics Summary'!Q203-60000)*R203)/'Economics Summary'!Q203)),R203)))</f>
        <v/>
      </c>
      <c r="T203" s="250" t="str">
        <f t="shared" si="43"/>
        <v/>
      </c>
      <c r="U203" s="250" t="str">
        <f t="shared" si="44"/>
        <v/>
      </c>
      <c r="V203" s="344" t="str">
        <f t="shared" si="48"/>
        <v/>
      </c>
      <c r="W203" s="257" t="str">
        <f>IF(F203="","",SUM($V$21:V203))</f>
        <v/>
      </c>
      <c r="X203" s="260" t="str">
        <f xml:space="preserve"> IF(OR(F203="",SUM(IN_DATA!$H$5:'IN_DATA'!H187)=0), "", 1-SUM(IN_DATA!$F$5:'IN_DATA'!F187)/SUM(IN_DATA!$H$5:'IN_DATA'!H187))</f>
        <v/>
      </c>
      <c r="Y203" s="307" t="str">
        <f>IF(OR(F203="",SUM(IN_DATA!$H$5:'IN_DATA'!H187)=0),"",365*(SUM(IN_DATA!$H$5:'IN_DATA'!H187)-SUM(IN_DATA!$F$5:'IN_DATA'!F187))/1000)</f>
        <v/>
      </c>
      <c r="Z203" s="346" t="str">
        <f t="shared" si="45"/>
        <v/>
      </c>
      <c r="AA203" s="370" t="str">
        <f t="shared" si="49"/>
        <v/>
      </c>
      <c r="AB203" s="373" t="str">
        <f>IF(F203="", "", IF(IN_DATA!R187=3, MAX(CO2_Royalty_Factor-Z203/10000,0), IF('Economics Summary'!A203&lt;2, IF('Economics Summary'!Q203&lt;60000, 0.05, ((60000*0.05+('Economics Summary'!Q203-60000)*R203)/'Economics Summary'!Q203)),R203)))</f>
        <v/>
      </c>
      <c r="AC203" s="377" t="str">
        <f t="shared" si="46"/>
        <v/>
      </c>
      <c r="AD203" s="378" t="str">
        <f t="shared" si="50"/>
        <v/>
      </c>
    </row>
    <row r="204" spans="1:30" x14ac:dyDescent="0.2">
      <c r="A204" s="178">
        <v>183</v>
      </c>
      <c r="B204" s="178">
        <f t="shared" si="51"/>
        <v>2195</v>
      </c>
      <c r="C204" s="292" t="str">
        <f>IF(IN_DATA!C188="","",MAX(min_oil_price,MIN(C203+C203*$L$6,max_oil_price)))</f>
        <v/>
      </c>
      <c r="D204" s="293" t="str">
        <f>IF(IN_DATA!C188="","",MAX(min_gas_price,MIN(D203+D203*$L$7,max_gas_price)))</f>
        <v/>
      </c>
      <c r="E204" s="294" t="str">
        <f>IF(IN_DATA!C188="","",MIN(E203+E203*$L$8,16))</f>
        <v/>
      </c>
      <c r="F204" s="110" t="str">
        <f>IF(O204="", "", IN_DATA!C188*365*OCF*FPF)</f>
        <v/>
      </c>
      <c r="G204" s="184" t="str">
        <f>IF(O204="","",IN_DATA!D188*365*FPF*OCF)</f>
        <v/>
      </c>
      <c r="H204" s="235" t="str">
        <f t="shared" si="39"/>
        <v/>
      </c>
      <c r="I204" s="238" t="str">
        <f t="shared" si="40"/>
        <v/>
      </c>
      <c r="J204" s="236" t="str">
        <f t="shared" si="41"/>
        <v/>
      </c>
      <c r="K204" s="239" t="str">
        <f t="shared" si="42"/>
        <v/>
      </c>
      <c r="L204" s="247" t="str">
        <f t="shared" si="47"/>
        <v/>
      </c>
      <c r="M204" s="244" t="str">
        <f>IF(I204=""," ",IF(IN_DATA!R188=1,"Primary Rec.",IF(IN_DATA!R188=2,"Water Flood",IF(IN_DATA!R188=3,"CO2 Flood",""))))</f>
        <v xml:space="preserve"> </v>
      </c>
      <c r="N204" s="109" t="str">
        <f>IF(I204="","",IF(O204=0, 0, OpCost!AD193))</f>
        <v/>
      </c>
      <c r="O204" s="187" t="str">
        <f>IF(OpCost!AE193="", "", OpCost!AE193)</f>
        <v/>
      </c>
      <c r="P204" s="251" t="str">
        <f>IF(F204="","",((IN_DATA!C188+IN_DATA!D188/10)/IN_DATA!P188))</f>
        <v/>
      </c>
      <c r="Q204" s="248" t="str">
        <f>IF(F204="","",SUM($P$21:P204)*365)</f>
        <v/>
      </c>
      <c r="R204" s="249" t="str">
        <f>IF(F204="", "", HLOOKUP(C204,'Reference-Crown Royalties'!$D$2:$AB$49,MATCH(P204,'Reference-Crown Royalties'!$A$2:$A$49,1),TRUE))</f>
        <v/>
      </c>
      <c r="S204" s="276" t="str">
        <f>IF(F204="", "", IF(IN_DATA!R188=3, CO2_Royalty_Factor, IF('Economics Summary'!A204&lt;2, IF('Economics Summary'!Q204&lt;60000, 0.05, ((60000*0.05+('Economics Summary'!Q204-60000)*R204)/'Economics Summary'!Q204)),R204)))</f>
        <v/>
      </c>
      <c r="T204" s="250" t="str">
        <f t="shared" si="43"/>
        <v/>
      </c>
      <c r="U204" s="250" t="str">
        <f t="shared" si="44"/>
        <v/>
      </c>
      <c r="V204" s="344" t="str">
        <f t="shared" si="48"/>
        <v/>
      </c>
      <c r="W204" s="257" t="str">
        <f>IF(F204="","",SUM($V$21:V204))</f>
        <v/>
      </c>
      <c r="X204" s="260" t="str">
        <f xml:space="preserve"> IF(OR(F204="",SUM(IN_DATA!$H$5:'IN_DATA'!H188)=0), "", 1-SUM(IN_DATA!$F$5:'IN_DATA'!F188)/SUM(IN_DATA!$H$5:'IN_DATA'!H188))</f>
        <v/>
      </c>
      <c r="Y204" s="307" t="str">
        <f>IF(OR(F204="",SUM(IN_DATA!$H$5:'IN_DATA'!H188)=0),"",365*(SUM(IN_DATA!$H$5:'IN_DATA'!H188)-SUM(IN_DATA!$F$5:'IN_DATA'!F188))/1000)</f>
        <v/>
      </c>
      <c r="Z204" s="346" t="str">
        <f t="shared" si="45"/>
        <v/>
      </c>
      <c r="AA204" s="370" t="str">
        <f t="shared" si="49"/>
        <v/>
      </c>
      <c r="AB204" s="373" t="str">
        <f>IF(F204="", "", IF(IN_DATA!R188=3, MAX(CO2_Royalty_Factor-Z204/10000,0), IF('Economics Summary'!A204&lt;2, IF('Economics Summary'!Q204&lt;60000, 0.05, ((60000*0.05+('Economics Summary'!Q204-60000)*R204)/'Economics Summary'!Q204)),R204)))</f>
        <v/>
      </c>
      <c r="AC204" s="377" t="str">
        <f t="shared" si="46"/>
        <v/>
      </c>
      <c r="AD204" s="378" t="str">
        <f t="shared" si="50"/>
        <v/>
      </c>
    </row>
    <row r="205" spans="1:30" x14ac:dyDescent="0.2">
      <c r="A205" s="178">
        <v>184</v>
      </c>
      <c r="B205" s="178">
        <f t="shared" si="51"/>
        <v>2196</v>
      </c>
      <c r="C205" s="292" t="str">
        <f>IF(IN_DATA!C189="","",MAX(min_oil_price,MIN(C204+C204*$L$6,max_oil_price)))</f>
        <v/>
      </c>
      <c r="D205" s="293" t="str">
        <f>IF(IN_DATA!C189="","",MAX(min_gas_price,MIN(D204+D204*$L$7,max_gas_price)))</f>
        <v/>
      </c>
      <c r="E205" s="294" t="str">
        <f>IF(IN_DATA!C189="","",MIN(E204+E204*$L$8,16))</f>
        <v/>
      </c>
      <c r="F205" s="110" t="str">
        <f>IF(O205="", "", IN_DATA!C189*365*OCF*FPF)</f>
        <v/>
      </c>
      <c r="G205" s="184" t="str">
        <f>IF(O205="","",IN_DATA!D189*365*FPF*OCF)</f>
        <v/>
      </c>
      <c r="H205" s="235" t="str">
        <f t="shared" si="39"/>
        <v/>
      </c>
      <c r="I205" s="238" t="str">
        <f t="shared" si="40"/>
        <v/>
      </c>
      <c r="J205" s="236" t="str">
        <f t="shared" si="41"/>
        <v/>
      </c>
      <c r="K205" s="239" t="str">
        <f t="shared" si="42"/>
        <v/>
      </c>
      <c r="L205" s="247" t="str">
        <f t="shared" si="47"/>
        <v/>
      </c>
      <c r="M205" s="244" t="str">
        <f>IF(I205=""," ",IF(IN_DATA!R189=1,"Primary Rec.",IF(IN_DATA!R189=2,"Water Flood",IF(IN_DATA!R189=3,"CO2 Flood",""))))</f>
        <v xml:space="preserve"> </v>
      </c>
      <c r="N205" s="109" t="str">
        <f>IF(I205="","",IF(O205=0, 0, OpCost!AD194))</f>
        <v/>
      </c>
      <c r="O205" s="187" t="str">
        <f>IF(OpCost!AE194="", "", OpCost!AE194)</f>
        <v/>
      </c>
      <c r="P205" s="251" t="str">
        <f>IF(F205="","",((IN_DATA!C189+IN_DATA!D189/10)/IN_DATA!P189))</f>
        <v/>
      </c>
      <c r="Q205" s="248" t="str">
        <f>IF(F205="","",SUM($P$21:P205)*365)</f>
        <v/>
      </c>
      <c r="R205" s="249" t="str">
        <f>IF(F205="", "", HLOOKUP(C205,'Reference-Crown Royalties'!$D$2:$AB$49,MATCH(P205,'Reference-Crown Royalties'!$A$2:$A$49,1),TRUE))</f>
        <v/>
      </c>
      <c r="S205" s="276" t="str">
        <f>IF(F205="", "", IF(IN_DATA!R189=3, CO2_Royalty_Factor, IF('Economics Summary'!A205&lt;2, IF('Economics Summary'!Q205&lt;60000, 0.05, ((60000*0.05+('Economics Summary'!Q205-60000)*R205)/'Economics Summary'!Q205)),R205)))</f>
        <v/>
      </c>
      <c r="T205" s="250" t="str">
        <f t="shared" si="43"/>
        <v/>
      </c>
      <c r="U205" s="250" t="str">
        <f t="shared" si="44"/>
        <v/>
      </c>
      <c r="V205" s="344" t="str">
        <f t="shared" si="48"/>
        <v/>
      </c>
      <c r="W205" s="257" t="str">
        <f>IF(F205="","",SUM($V$21:V205))</f>
        <v/>
      </c>
      <c r="X205" s="260" t="str">
        <f xml:space="preserve"> IF(OR(F205="",SUM(IN_DATA!$H$5:'IN_DATA'!H189)=0), "", 1-SUM(IN_DATA!$F$5:'IN_DATA'!F189)/SUM(IN_DATA!$H$5:'IN_DATA'!H189))</f>
        <v/>
      </c>
      <c r="Y205" s="307" t="str">
        <f>IF(OR(F205="",SUM(IN_DATA!$H$5:'IN_DATA'!H189)=0),"",365*(SUM(IN_DATA!$H$5:'IN_DATA'!H189)-SUM(IN_DATA!$F$5:'IN_DATA'!F189))/1000)</f>
        <v/>
      </c>
      <c r="Z205" s="346" t="str">
        <f t="shared" si="45"/>
        <v/>
      </c>
      <c r="AA205" s="370" t="str">
        <f t="shared" si="49"/>
        <v/>
      </c>
      <c r="AB205" s="373" t="str">
        <f>IF(F205="", "", IF(IN_DATA!R189=3, MAX(CO2_Royalty_Factor-Z205/10000,0), IF('Economics Summary'!A205&lt;2, IF('Economics Summary'!Q205&lt;60000, 0.05, ((60000*0.05+('Economics Summary'!Q205-60000)*R205)/'Economics Summary'!Q205)),R205)))</f>
        <v/>
      </c>
      <c r="AC205" s="377" t="str">
        <f t="shared" si="46"/>
        <v/>
      </c>
      <c r="AD205" s="378" t="str">
        <f t="shared" si="50"/>
        <v/>
      </c>
    </row>
    <row r="206" spans="1:30" x14ac:dyDescent="0.2">
      <c r="A206" s="178">
        <v>185</v>
      </c>
      <c r="B206" s="178">
        <f t="shared" si="51"/>
        <v>2197</v>
      </c>
      <c r="C206" s="292" t="str">
        <f>IF(IN_DATA!C190="","",MAX(min_oil_price,MIN(C205+C205*$L$6,max_oil_price)))</f>
        <v/>
      </c>
      <c r="D206" s="293" t="str">
        <f>IF(IN_DATA!C190="","",MAX(min_gas_price,MIN(D205+D205*$L$7,max_gas_price)))</f>
        <v/>
      </c>
      <c r="E206" s="294" t="str">
        <f>IF(IN_DATA!C190="","",MIN(E205+E205*$L$8,16))</f>
        <v/>
      </c>
      <c r="F206" s="110" t="str">
        <f>IF(O206="", "", IN_DATA!C190*365*OCF*FPF)</f>
        <v/>
      </c>
      <c r="G206" s="184" t="str">
        <f>IF(O206="","",IN_DATA!D190*365*FPF*OCF)</f>
        <v/>
      </c>
      <c r="H206" s="235" t="str">
        <f t="shared" si="39"/>
        <v/>
      </c>
      <c r="I206" s="238" t="str">
        <f t="shared" si="40"/>
        <v/>
      </c>
      <c r="J206" s="236" t="str">
        <f t="shared" si="41"/>
        <v/>
      </c>
      <c r="K206" s="239" t="str">
        <f t="shared" si="42"/>
        <v/>
      </c>
      <c r="L206" s="247" t="str">
        <f t="shared" si="47"/>
        <v/>
      </c>
      <c r="M206" s="244" t="str">
        <f>IF(I206=""," ",IF(IN_DATA!R190=1,"Primary Rec.",IF(IN_DATA!R190=2,"Water Flood",IF(IN_DATA!R190=3,"CO2 Flood",""))))</f>
        <v xml:space="preserve"> </v>
      </c>
      <c r="N206" s="109" t="str">
        <f>IF(I206="","",IF(O206=0, 0, OpCost!AD195))</f>
        <v/>
      </c>
      <c r="O206" s="187" t="str">
        <f>IF(OpCost!AE195="", "", OpCost!AE195)</f>
        <v/>
      </c>
      <c r="P206" s="251" t="str">
        <f>IF(F206="","",((IN_DATA!C190+IN_DATA!D190/10)/IN_DATA!P190))</f>
        <v/>
      </c>
      <c r="Q206" s="248" t="str">
        <f>IF(F206="","",SUM($P$21:P206)*365)</f>
        <v/>
      </c>
      <c r="R206" s="249" t="str">
        <f>IF(F206="", "", HLOOKUP(C206,'Reference-Crown Royalties'!$D$2:$AB$49,MATCH(P206,'Reference-Crown Royalties'!$A$2:$A$49,1),TRUE))</f>
        <v/>
      </c>
      <c r="S206" s="276" t="str">
        <f>IF(F206="", "", IF(IN_DATA!R190=3, CO2_Royalty_Factor, IF('Economics Summary'!A206&lt;2, IF('Economics Summary'!Q206&lt;60000, 0.05, ((60000*0.05+('Economics Summary'!Q206-60000)*R206)/'Economics Summary'!Q206)),R206)))</f>
        <v/>
      </c>
      <c r="T206" s="250" t="str">
        <f t="shared" si="43"/>
        <v/>
      </c>
      <c r="U206" s="250" t="str">
        <f t="shared" si="44"/>
        <v/>
      </c>
      <c r="V206" s="344" t="str">
        <f t="shared" si="48"/>
        <v/>
      </c>
      <c r="W206" s="257" t="str">
        <f>IF(F206="","",SUM($V$21:V206))</f>
        <v/>
      </c>
      <c r="X206" s="260" t="str">
        <f xml:space="preserve"> IF(OR(F206="",SUM(IN_DATA!$H$5:'IN_DATA'!H190)=0), "", 1-SUM(IN_DATA!$F$5:'IN_DATA'!F190)/SUM(IN_DATA!$H$5:'IN_DATA'!H190))</f>
        <v/>
      </c>
      <c r="Y206" s="307" t="str">
        <f>IF(OR(F206="",SUM(IN_DATA!$H$5:'IN_DATA'!H190)=0),"",365*(SUM(IN_DATA!$H$5:'IN_DATA'!H190)-SUM(IN_DATA!$F$5:'IN_DATA'!F190))/1000)</f>
        <v/>
      </c>
      <c r="Z206" s="346" t="str">
        <f t="shared" si="45"/>
        <v/>
      </c>
      <c r="AA206" s="370" t="str">
        <f t="shared" si="49"/>
        <v/>
      </c>
      <c r="AB206" s="373" t="str">
        <f>IF(F206="", "", IF(IN_DATA!R190=3, MAX(CO2_Royalty_Factor-Z206/10000,0), IF('Economics Summary'!A206&lt;2, IF('Economics Summary'!Q206&lt;60000, 0.05, ((60000*0.05+('Economics Summary'!Q206-60000)*R206)/'Economics Summary'!Q206)),R206)))</f>
        <v/>
      </c>
      <c r="AC206" s="377" t="str">
        <f t="shared" si="46"/>
        <v/>
      </c>
      <c r="AD206" s="378" t="str">
        <f t="shared" si="50"/>
        <v/>
      </c>
    </row>
    <row r="207" spans="1:30" x14ac:dyDescent="0.2">
      <c r="A207" s="178">
        <v>186</v>
      </c>
      <c r="B207" s="178">
        <f t="shared" si="51"/>
        <v>2198</v>
      </c>
      <c r="C207" s="292" t="str">
        <f>IF(IN_DATA!C191="","",MAX(min_oil_price,MIN(C206+C206*$L$6,max_oil_price)))</f>
        <v/>
      </c>
      <c r="D207" s="293" t="str">
        <f>IF(IN_DATA!C191="","",MAX(min_gas_price,MIN(D206+D206*$L$7,max_gas_price)))</f>
        <v/>
      </c>
      <c r="E207" s="294" t="str">
        <f>IF(IN_DATA!C191="","",MIN(E206+E206*$L$8,16))</f>
        <v/>
      </c>
      <c r="F207" s="110" t="str">
        <f>IF(O207="", "", IN_DATA!C191*365*OCF*FPF)</f>
        <v/>
      </c>
      <c r="G207" s="184" t="str">
        <f>IF(O207="","",IN_DATA!D191*365*FPF*OCF)</f>
        <v/>
      </c>
      <c r="H207" s="235" t="str">
        <f t="shared" si="39"/>
        <v/>
      </c>
      <c r="I207" s="238" t="str">
        <f t="shared" si="40"/>
        <v/>
      </c>
      <c r="J207" s="236" t="str">
        <f t="shared" si="41"/>
        <v/>
      </c>
      <c r="K207" s="239" t="str">
        <f t="shared" si="42"/>
        <v/>
      </c>
      <c r="L207" s="247" t="str">
        <f t="shared" si="47"/>
        <v/>
      </c>
      <c r="M207" s="244" t="str">
        <f>IF(I207=""," ",IF(IN_DATA!R191=1,"Primary Rec.",IF(IN_DATA!R191=2,"Water Flood",IF(IN_DATA!R191=3,"CO2 Flood",""))))</f>
        <v xml:space="preserve"> </v>
      </c>
      <c r="N207" s="109" t="str">
        <f>IF(I207="","",IF(O207=0, 0, OpCost!AD196))</f>
        <v/>
      </c>
      <c r="O207" s="187" t="str">
        <f>IF(OpCost!AE196="", "", OpCost!AE196)</f>
        <v/>
      </c>
      <c r="P207" s="251" t="str">
        <f>IF(F207="","",((IN_DATA!C191+IN_DATA!D191/10)/IN_DATA!P191))</f>
        <v/>
      </c>
      <c r="Q207" s="248" t="str">
        <f>IF(F207="","",SUM($P$21:P207)*365)</f>
        <v/>
      </c>
      <c r="R207" s="249" t="str">
        <f>IF(F207="", "", HLOOKUP(C207,'Reference-Crown Royalties'!$D$2:$AB$49,MATCH(P207,'Reference-Crown Royalties'!$A$2:$A$49,1),TRUE))</f>
        <v/>
      </c>
      <c r="S207" s="276" t="str">
        <f>IF(F207="", "", IF(IN_DATA!R191=3, CO2_Royalty_Factor, IF('Economics Summary'!A207&lt;2, IF('Economics Summary'!Q207&lt;60000, 0.05, ((60000*0.05+('Economics Summary'!Q207-60000)*R207)/'Economics Summary'!Q207)),R207)))</f>
        <v/>
      </c>
      <c r="T207" s="250" t="str">
        <f t="shared" si="43"/>
        <v/>
      </c>
      <c r="U207" s="250" t="str">
        <f t="shared" si="44"/>
        <v/>
      </c>
      <c r="V207" s="344" t="str">
        <f t="shared" si="48"/>
        <v/>
      </c>
      <c r="W207" s="257" t="str">
        <f>IF(F207="","",SUM($V$21:V207))</f>
        <v/>
      </c>
      <c r="X207" s="260" t="str">
        <f xml:space="preserve"> IF(OR(F207="",SUM(IN_DATA!$H$5:'IN_DATA'!H191)=0), "", 1-SUM(IN_DATA!$F$5:'IN_DATA'!F191)/SUM(IN_DATA!$H$5:'IN_DATA'!H191))</f>
        <v/>
      </c>
      <c r="Y207" s="307" t="str">
        <f>IF(OR(F207="",SUM(IN_DATA!$H$5:'IN_DATA'!H191)=0),"",365*(SUM(IN_DATA!$H$5:'IN_DATA'!H191)-SUM(IN_DATA!$F$5:'IN_DATA'!F191))/1000)</f>
        <v/>
      </c>
      <c r="Z207" s="346" t="str">
        <f t="shared" si="45"/>
        <v/>
      </c>
      <c r="AA207" s="370" t="str">
        <f t="shared" si="49"/>
        <v/>
      </c>
      <c r="AB207" s="373" t="str">
        <f>IF(F207="", "", IF(IN_DATA!R191=3, MAX(CO2_Royalty_Factor-Z207/10000,0), IF('Economics Summary'!A207&lt;2, IF('Economics Summary'!Q207&lt;60000, 0.05, ((60000*0.05+('Economics Summary'!Q207-60000)*R207)/'Economics Summary'!Q207)),R207)))</f>
        <v/>
      </c>
      <c r="AC207" s="377" t="str">
        <f t="shared" si="46"/>
        <v/>
      </c>
      <c r="AD207" s="378" t="str">
        <f t="shared" si="50"/>
        <v/>
      </c>
    </row>
    <row r="208" spans="1:30" x14ac:dyDescent="0.2">
      <c r="A208" s="178">
        <v>187</v>
      </c>
      <c r="B208" s="178">
        <f t="shared" si="51"/>
        <v>2199</v>
      </c>
      <c r="C208" s="292" t="str">
        <f>IF(IN_DATA!C192="","",MAX(min_oil_price,MIN(C207+C207*$L$6,max_oil_price)))</f>
        <v/>
      </c>
      <c r="D208" s="293" t="str">
        <f>IF(IN_DATA!C192="","",MAX(min_gas_price,MIN(D207+D207*$L$7,max_gas_price)))</f>
        <v/>
      </c>
      <c r="E208" s="294" t="str">
        <f>IF(IN_DATA!C192="","",MIN(E207+E207*$L$8,16))</f>
        <v/>
      </c>
      <c r="F208" s="110" t="str">
        <f>IF(O208="", "", IN_DATA!C192*365*OCF*FPF)</f>
        <v/>
      </c>
      <c r="G208" s="184" t="str">
        <f>IF(O208="","",IN_DATA!D192*365*FPF*OCF)</f>
        <v/>
      </c>
      <c r="H208" s="235" t="str">
        <f t="shared" si="39"/>
        <v/>
      </c>
      <c r="I208" s="238" t="str">
        <f t="shared" si="40"/>
        <v/>
      </c>
      <c r="J208" s="236" t="str">
        <f t="shared" si="41"/>
        <v/>
      </c>
      <c r="K208" s="239" t="str">
        <f t="shared" si="42"/>
        <v/>
      </c>
      <c r="L208" s="247" t="str">
        <f t="shared" si="47"/>
        <v/>
      </c>
      <c r="M208" s="244" t="str">
        <f>IF(I208=""," ",IF(IN_DATA!R192=1,"Primary Rec.",IF(IN_DATA!R192=2,"Water Flood",IF(IN_DATA!R192=3,"CO2 Flood",""))))</f>
        <v xml:space="preserve"> </v>
      </c>
      <c r="N208" s="109" t="str">
        <f>IF(I208="","",IF(O208=0, 0, OpCost!AD197))</f>
        <v/>
      </c>
      <c r="O208" s="187" t="str">
        <f>IF(OpCost!AE197="", "", OpCost!AE197)</f>
        <v/>
      </c>
      <c r="P208" s="251" t="str">
        <f>IF(F208="","",((IN_DATA!C192+IN_DATA!D192/10)/IN_DATA!P192))</f>
        <v/>
      </c>
      <c r="Q208" s="248" t="str">
        <f>IF(F208="","",SUM($P$21:P208)*365)</f>
        <v/>
      </c>
      <c r="R208" s="249" t="str">
        <f>IF(F208="", "", HLOOKUP(C208,'Reference-Crown Royalties'!$D$2:$AB$49,MATCH(P208,'Reference-Crown Royalties'!$A$2:$A$49,1),TRUE))</f>
        <v/>
      </c>
      <c r="S208" s="276" t="str">
        <f>IF(F208="", "", IF(IN_DATA!R192=3, CO2_Royalty_Factor, IF('Economics Summary'!A208&lt;2, IF('Economics Summary'!Q208&lt;60000, 0.05, ((60000*0.05+('Economics Summary'!Q208-60000)*R208)/'Economics Summary'!Q208)),R208)))</f>
        <v/>
      </c>
      <c r="T208" s="250" t="str">
        <f t="shared" si="43"/>
        <v/>
      </c>
      <c r="U208" s="250" t="str">
        <f t="shared" si="44"/>
        <v/>
      </c>
      <c r="V208" s="344" t="str">
        <f t="shared" si="48"/>
        <v/>
      </c>
      <c r="W208" s="257" t="str">
        <f>IF(F208="","",SUM($V$21:V208))</f>
        <v/>
      </c>
      <c r="X208" s="260" t="str">
        <f xml:space="preserve"> IF(OR(F208="",SUM(IN_DATA!$H$5:'IN_DATA'!H192)=0), "", 1-SUM(IN_DATA!$F$5:'IN_DATA'!F192)/SUM(IN_DATA!$H$5:'IN_DATA'!H192))</f>
        <v/>
      </c>
      <c r="Y208" s="307" t="str">
        <f>IF(OR(F208="",SUM(IN_DATA!$H$5:'IN_DATA'!H192)=0),"",365*(SUM(IN_DATA!$H$5:'IN_DATA'!H192)-SUM(IN_DATA!$F$5:'IN_DATA'!F192))/1000)</f>
        <v/>
      </c>
      <c r="Z208" s="346" t="str">
        <f t="shared" si="45"/>
        <v/>
      </c>
      <c r="AA208" s="370" t="str">
        <f t="shared" si="49"/>
        <v/>
      </c>
      <c r="AB208" s="373" t="str">
        <f>IF(F208="", "", IF(IN_DATA!R192=3, MAX(CO2_Royalty_Factor-Z208/10000,0), IF('Economics Summary'!A208&lt;2, IF('Economics Summary'!Q208&lt;60000, 0.05, ((60000*0.05+('Economics Summary'!Q208-60000)*R208)/'Economics Summary'!Q208)),R208)))</f>
        <v/>
      </c>
      <c r="AC208" s="377" t="str">
        <f t="shared" si="46"/>
        <v/>
      </c>
      <c r="AD208" s="378" t="str">
        <f t="shared" si="50"/>
        <v/>
      </c>
    </row>
    <row r="209" spans="1:30" x14ac:dyDescent="0.2">
      <c r="A209" s="178">
        <v>188</v>
      </c>
      <c r="B209" s="178">
        <f t="shared" si="51"/>
        <v>2200</v>
      </c>
      <c r="C209" s="292" t="str">
        <f>IF(IN_DATA!C193="","",MAX(min_oil_price,MIN(C208+C208*$L$6,max_oil_price)))</f>
        <v/>
      </c>
      <c r="D209" s="293" t="str">
        <f>IF(IN_DATA!C193="","",MAX(min_gas_price,MIN(D208+D208*$L$7,max_gas_price)))</f>
        <v/>
      </c>
      <c r="E209" s="294" t="str">
        <f>IF(IN_DATA!C193="","",MIN(E208+E208*$L$8,16))</f>
        <v/>
      </c>
      <c r="F209" s="110" t="str">
        <f>IF(O209="", "", IN_DATA!C193*365*OCF*FPF)</f>
        <v/>
      </c>
      <c r="G209" s="184" t="str">
        <f>IF(O209="","",IN_DATA!D193*365*FPF*OCF)</f>
        <v/>
      </c>
      <c r="H209" s="235" t="str">
        <f t="shared" si="39"/>
        <v/>
      </c>
      <c r="I209" s="238" t="str">
        <f t="shared" si="40"/>
        <v/>
      </c>
      <c r="J209" s="236" t="str">
        <f t="shared" si="41"/>
        <v/>
      </c>
      <c r="K209" s="239" t="str">
        <f t="shared" si="42"/>
        <v/>
      </c>
      <c r="L209" s="247" t="str">
        <f t="shared" si="47"/>
        <v/>
      </c>
      <c r="M209" s="244" t="str">
        <f>IF(I209=""," ",IF(IN_DATA!R193=1,"Primary Rec.",IF(IN_DATA!R193=2,"Water Flood",IF(IN_DATA!R193=3,"CO2 Flood",""))))</f>
        <v xml:space="preserve"> </v>
      </c>
      <c r="N209" s="109" t="str">
        <f>IF(I209="","",IF(O209=0, 0, OpCost!AD198))</f>
        <v/>
      </c>
      <c r="O209" s="187" t="str">
        <f>IF(OpCost!AE198="", "", OpCost!AE198)</f>
        <v/>
      </c>
      <c r="P209" s="251" t="str">
        <f>IF(F209="","",((IN_DATA!C193+IN_DATA!D193/10)/IN_DATA!P193))</f>
        <v/>
      </c>
      <c r="Q209" s="248" t="str">
        <f>IF(F209="","",SUM($P$21:P209)*365)</f>
        <v/>
      </c>
      <c r="R209" s="249" t="str">
        <f>IF(F209="", "", HLOOKUP(C209,'Reference-Crown Royalties'!$D$2:$AB$49,MATCH(P209,'Reference-Crown Royalties'!$A$2:$A$49,1),TRUE))</f>
        <v/>
      </c>
      <c r="S209" s="276" t="str">
        <f>IF(F209="", "", IF(IN_DATA!R193=3, CO2_Royalty_Factor, IF('Economics Summary'!A209&lt;2, IF('Economics Summary'!Q209&lt;60000, 0.05, ((60000*0.05+('Economics Summary'!Q209-60000)*R209)/'Economics Summary'!Q209)),R209)))</f>
        <v/>
      </c>
      <c r="T209" s="250" t="str">
        <f t="shared" si="43"/>
        <v/>
      </c>
      <c r="U209" s="250" t="str">
        <f t="shared" si="44"/>
        <v/>
      </c>
      <c r="V209" s="344" t="str">
        <f t="shared" si="48"/>
        <v/>
      </c>
      <c r="W209" s="257" t="str">
        <f>IF(F209="","",SUM($V$21:V209))</f>
        <v/>
      </c>
      <c r="X209" s="260" t="str">
        <f xml:space="preserve"> IF(OR(F209="",SUM(IN_DATA!$H$5:'IN_DATA'!H193)=0), "", 1-SUM(IN_DATA!$F$5:'IN_DATA'!F193)/SUM(IN_DATA!$H$5:'IN_DATA'!H193))</f>
        <v/>
      </c>
      <c r="Y209" s="307" t="str">
        <f>IF(OR(F209="",SUM(IN_DATA!$H$5:'IN_DATA'!H193)=0),"",365*(SUM(IN_DATA!$H$5:'IN_DATA'!H193)-SUM(IN_DATA!$F$5:'IN_DATA'!F193))/1000)</f>
        <v/>
      </c>
      <c r="Z209" s="346" t="str">
        <f t="shared" si="45"/>
        <v/>
      </c>
      <c r="AA209" s="370" t="str">
        <f t="shared" si="49"/>
        <v/>
      </c>
      <c r="AB209" s="373" t="str">
        <f>IF(F209="", "", IF(IN_DATA!R193=3, MAX(CO2_Royalty_Factor-Z209/10000,0), IF('Economics Summary'!A209&lt;2, IF('Economics Summary'!Q209&lt;60000, 0.05, ((60000*0.05+('Economics Summary'!Q209-60000)*R209)/'Economics Summary'!Q209)),R209)))</f>
        <v/>
      </c>
      <c r="AC209" s="377" t="str">
        <f t="shared" si="46"/>
        <v/>
      </c>
      <c r="AD209" s="378" t="str">
        <f t="shared" si="50"/>
        <v/>
      </c>
    </row>
    <row r="210" spans="1:30" x14ac:dyDescent="0.2">
      <c r="A210" s="178">
        <v>189</v>
      </c>
      <c r="B210" s="178">
        <f t="shared" si="51"/>
        <v>2201</v>
      </c>
      <c r="C210" s="292" t="str">
        <f>IF(IN_DATA!C194="","",MAX(min_oil_price,MIN(C209+C209*$L$6,max_oil_price)))</f>
        <v/>
      </c>
      <c r="D210" s="293" t="str">
        <f>IF(IN_DATA!C194="","",MAX(min_gas_price,MIN(D209+D209*$L$7,max_gas_price)))</f>
        <v/>
      </c>
      <c r="E210" s="294" t="str">
        <f>IF(IN_DATA!C194="","",MIN(E209+E209*$L$8,16))</f>
        <v/>
      </c>
      <c r="F210" s="110" t="str">
        <f>IF(O210="", "", IN_DATA!C194*365*OCF*FPF)</f>
        <v/>
      </c>
      <c r="G210" s="184" t="str">
        <f>IF(O210="","",IN_DATA!D194*365*FPF*OCF)</f>
        <v/>
      </c>
      <c r="H210" s="235" t="str">
        <f t="shared" si="39"/>
        <v/>
      </c>
      <c r="I210" s="238" t="str">
        <f t="shared" si="40"/>
        <v/>
      </c>
      <c r="J210" s="236" t="str">
        <f t="shared" si="41"/>
        <v/>
      </c>
      <c r="K210" s="239" t="str">
        <f t="shared" si="42"/>
        <v/>
      </c>
      <c r="L210" s="247" t="str">
        <f t="shared" si="47"/>
        <v/>
      </c>
      <c r="M210" s="244" t="str">
        <f>IF(I210=""," ",IF(IN_DATA!R194=1,"Primary Rec.",IF(IN_DATA!R194=2,"Water Flood",IF(IN_DATA!R194=3,"CO2 Flood",""))))</f>
        <v xml:space="preserve"> </v>
      </c>
      <c r="N210" s="109" t="str">
        <f>IF(I210="","",IF(O210=0, 0, OpCost!AD199))</f>
        <v/>
      </c>
      <c r="O210" s="187" t="str">
        <f>IF(OpCost!AE199="", "", OpCost!AE199)</f>
        <v/>
      </c>
      <c r="P210" s="251" t="str">
        <f>IF(F210="","",((IN_DATA!C194+IN_DATA!D194/10)/IN_DATA!P194))</f>
        <v/>
      </c>
      <c r="Q210" s="248" t="str">
        <f>IF(F210="","",SUM($P$21:P210)*365)</f>
        <v/>
      </c>
      <c r="R210" s="249" t="str">
        <f>IF(F210="", "", HLOOKUP(C210,'Reference-Crown Royalties'!$D$2:$AB$49,MATCH(P210,'Reference-Crown Royalties'!$A$2:$A$49,1),TRUE))</f>
        <v/>
      </c>
      <c r="S210" s="276" t="str">
        <f>IF(F210="", "", IF(IN_DATA!R194=3, CO2_Royalty_Factor, IF('Economics Summary'!A210&lt;2, IF('Economics Summary'!Q210&lt;60000, 0.05, ((60000*0.05+('Economics Summary'!Q210-60000)*R210)/'Economics Summary'!Q210)),R210)))</f>
        <v/>
      </c>
      <c r="T210" s="250" t="str">
        <f t="shared" si="43"/>
        <v/>
      </c>
      <c r="U210" s="250" t="str">
        <f t="shared" si="44"/>
        <v/>
      </c>
      <c r="V210" s="344" t="str">
        <f t="shared" si="48"/>
        <v/>
      </c>
      <c r="W210" s="257" t="str">
        <f>IF(F210="","",SUM($V$21:V210))</f>
        <v/>
      </c>
      <c r="X210" s="260" t="str">
        <f xml:space="preserve"> IF(OR(F210="",SUM(IN_DATA!$H$5:'IN_DATA'!H194)=0), "", 1-SUM(IN_DATA!$F$5:'IN_DATA'!F194)/SUM(IN_DATA!$H$5:'IN_DATA'!H194))</f>
        <v/>
      </c>
      <c r="Y210" s="307" t="str">
        <f>IF(OR(F210="",SUM(IN_DATA!$H$5:'IN_DATA'!H194)=0),"",365*(SUM(IN_DATA!$H$5:'IN_DATA'!H194)-SUM(IN_DATA!$F$5:'IN_DATA'!F194))/1000)</f>
        <v/>
      </c>
      <c r="Z210" s="346" t="str">
        <f t="shared" si="45"/>
        <v/>
      </c>
      <c r="AA210" s="370" t="str">
        <f t="shared" si="49"/>
        <v/>
      </c>
      <c r="AB210" s="373" t="str">
        <f>IF(F210="", "", IF(IN_DATA!R194=3, MAX(CO2_Royalty_Factor-Z210/10000,0), IF('Economics Summary'!A210&lt;2, IF('Economics Summary'!Q210&lt;60000, 0.05, ((60000*0.05+('Economics Summary'!Q210-60000)*R210)/'Economics Summary'!Q210)),R210)))</f>
        <v/>
      </c>
      <c r="AC210" s="377" t="str">
        <f t="shared" si="46"/>
        <v/>
      </c>
      <c r="AD210" s="378" t="str">
        <f t="shared" si="50"/>
        <v/>
      </c>
    </row>
    <row r="211" spans="1:30" x14ac:dyDescent="0.2">
      <c r="A211" s="178">
        <v>190</v>
      </c>
      <c r="B211" s="178">
        <f t="shared" si="51"/>
        <v>2202</v>
      </c>
      <c r="C211" s="292" t="str">
        <f>IF(IN_DATA!C195="","",MAX(min_oil_price,MIN(C210+C210*$L$6,max_oil_price)))</f>
        <v/>
      </c>
      <c r="D211" s="293" t="str">
        <f>IF(IN_DATA!C195="","",MAX(min_gas_price,MIN(D210+D210*$L$7,max_gas_price)))</f>
        <v/>
      </c>
      <c r="E211" s="294" t="str">
        <f>IF(IN_DATA!C195="","",MIN(E210+E210*$L$8,16))</f>
        <v/>
      </c>
      <c r="F211" s="110" t="str">
        <f>IF(O211="", "", IN_DATA!C195*365*OCF*FPF)</f>
        <v/>
      </c>
      <c r="G211" s="184" t="str">
        <f>IF(O211="","",IN_DATA!D195*365*FPF*OCF)</f>
        <v/>
      </c>
      <c r="H211" s="235" t="str">
        <f t="shared" si="39"/>
        <v/>
      </c>
      <c r="I211" s="238" t="str">
        <f t="shared" si="40"/>
        <v/>
      </c>
      <c r="J211" s="236" t="str">
        <f t="shared" si="41"/>
        <v/>
      </c>
      <c r="K211" s="239" t="str">
        <f t="shared" si="42"/>
        <v/>
      </c>
      <c r="L211" s="247" t="str">
        <f t="shared" si="47"/>
        <v/>
      </c>
      <c r="M211" s="244" t="str">
        <f>IF(I211=""," ",IF(IN_DATA!R195=1,"Primary Rec.",IF(IN_DATA!R195=2,"Water Flood",IF(IN_DATA!R195=3,"CO2 Flood",""))))</f>
        <v xml:space="preserve"> </v>
      </c>
      <c r="N211" s="109" t="str">
        <f>IF(I211="","",IF(O211=0, 0, OpCost!AD200))</f>
        <v/>
      </c>
      <c r="O211" s="187" t="str">
        <f>IF(OpCost!AE200="", "", OpCost!AE200)</f>
        <v/>
      </c>
      <c r="P211" s="251" t="str">
        <f>IF(F211="","",((IN_DATA!C195+IN_DATA!D195/10)/IN_DATA!P195))</f>
        <v/>
      </c>
      <c r="Q211" s="248" t="str">
        <f>IF(F211="","",SUM($P$21:P211)*365)</f>
        <v/>
      </c>
      <c r="R211" s="249" t="str">
        <f>IF(F211="", "", HLOOKUP(C211,'Reference-Crown Royalties'!$D$2:$AB$49,MATCH(P211,'Reference-Crown Royalties'!$A$2:$A$49,1),TRUE))</f>
        <v/>
      </c>
      <c r="S211" s="276" t="str">
        <f>IF(F211="", "", IF(IN_DATA!R195=3, CO2_Royalty_Factor, IF('Economics Summary'!A211&lt;2, IF('Economics Summary'!Q211&lt;60000, 0.05, ((60000*0.05+('Economics Summary'!Q211-60000)*R211)/'Economics Summary'!Q211)),R211)))</f>
        <v/>
      </c>
      <c r="T211" s="250" t="str">
        <f t="shared" si="43"/>
        <v/>
      </c>
      <c r="U211" s="250" t="str">
        <f t="shared" si="44"/>
        <v/>
      </c>
      <c r="V211" s="344" t="str">
        <f t="shared" si="48"/>
        <v/>
      </c>
      <c r="W211" s="257" t="str">
        <f>IF(F211="","",SUM($V$21:V211))</f>
        <v/>
      </c>
      <c r="X211" s="260" t="str">
        <f xml:space="preserve"> IF(OR(F211="",SUM(IN_DATA!$H$5:'IN_DATA'!H195)=0), "", 1-SUM(IN_DATA!$F$5:'IN_DATA'!F195)/SUM(IN_DATA!$H$5:'IN_DATA'!H195))</f>
        <v/>
      </c>
      <c r="Y211" s="307" t="str">
        <f>IF(OR(F211="",SUM(IN_DATA!$H$5:'IN_DATA'!H195)=0),"",365*(SUM(IN_DATA!$H$5:'IN_DATA'!H195)-SUM(IN_DATA!$F$5:'IN_DATA'!F195))/1000)</f>
        <v/>
      </c>
      <c r="Z211" s="346" t="str">
        <f t="shared" si="45"/>
        <v/>
      </c>
      <c r="AA211" s="370" t="str">
        <f t="shared" si="49"/>
        <v/>
      </c>
      <c r="AB211" s="373" t="str">
        <f>IF(F211="", "", IF(IN_DATA!R195=3, MAX(CO2_Royalty_Factor-Z211/10000,0), IF('Economics Summary'!A211&lt;2, IF('Economics Summary'!Q211&lt;60000, 0.05, ((60000*0.05+('Economics Summary'!Q211-60000)*R211)/'Economics Summary'!Q211)),R211)))</f>
        <v/>
      </c>
      <c r="AC211" s="377" t="str">
        <f t="shared" si="46"/>
        <v/>
      </c>
      <c r="AD211" s="378" t="str">
        <f t="shared" si="50"/>
        <v/>
      </c>
    </row>
    <row r="212" spans="1:30" x14ac:dyDescent="0.2">
      <c r="A212" s="178">
        <v>191</v>
      </c>
      <c r="B212" s="178">
        <f t="shared" si="51"/>
        <v>2203</v>
      </c>
      <c r="C212" s="292" t="str">
        <f>IF(IN_DATA!C196="","",MAX(min_oil_price,MIN(C211+C211*$L$6,max_oil_price)))</f>
        <v/>
      </c>
      <c r="D212" s="293" t="str">
        <f>IF(IN_DATA!C196="","",MAX(min_gas_price,MIN(D211+D211*$L$7,max_gas_price)))</f>
        <v/>
      </c>
      <c r="E212" s="294" t="str">
        <f>IF(IN_DATA!C196="","",MIN(E211+E211*$L$8,16))</f>
        <v/>
      </c>
      <c r="F212" s="110" t="str">
        <f>IF(O212="", "", IN_DATA!C196*365*OCF*FPF)</f>
        <v/>
      </c>
      <c r="G212" s="184" t="str">
        <f>IF(O212="","",IN_DATA!D196*365*FPF*OCF)</f>
        <v/>
      </c>
      <c r="H212" s="235" t="str">
        <f t="shared" si="39"/>
        <v/>
      </c>
      <c r="I212" s="238" t="str">
        <f t="shared" si="40"/>
        <v/>
      </c>
      <c r="J212" s="236" t="str">
        <f t="shared" si="41"/>
        <v/>
      </c>
      <c r="K212" s="239" t="str">
        <f t="shared" si="42"/>
        <v/>
      </c>
      <c r="L212" s="247" t="str">
        <f t="shared" si="47"/>
        <v/>
      </c>
      <c r="M212" s="244" t="str">
        <f>IF(I212=""," ",IF(IN_DATA!R196=1,"Primary Rec.",IF(IN_DATA!R196=2,"Water Flood",IF(IN_DATA!R196=3,"CO2 Flood",""))))</f>
        <v xml:space="preserve"> </v>
      </c>
      <c r="N212" s="109" t="str">
        <f>IF(I212="","",IF(O212=0, 0, OpCost!AD201))</f>
        <v/>
      </c>
      <c r="O212" s="187" t="str">
        <f>IF(OpCost!AE201="", "", OpCost!AE201)</f>
        <v/>
      </c>
      <c r="P212" s="251" t="str">
        <f>IF(F212="","",((IN_DATA!C196+IN_DATA!D196/10)/IN_DATA!P196))</f>
        <v/>
      </c>
      <c r="Q212" s="248" t="str">
        <f>IF(F212="","",SUM($P$21:P212)*365)</f>
        <v/>
      </c>
      <c r="R212" s="249" t="str">
        <f>IF(F212="", "", HLOOKUP(C212,'Reference-Crown Royalties'!$D$2:$AB$49,MATCH(P212,'Reference-Crown Royalties'!$A$2:$A$49,1),TRUE))</f>
        <v/>
      </c>
      <c r="S212" s="276" t="str">
        <f>IF(F212="", "", IF(IN_DATA!R196=3, CO2_Royalty_Factor, IF('Economics Summary'!A212&lt;2, IF('Economics Summary'!Q212&lt;60000, 0.05, ((60000*0.05+('Economics Summary'!Q212-60000)*R212)/'Economics Summary'!Q212)),R212)))</f>
        <v/>
      </c>
      <c r="T212" s="250" t="str">
        <f t="shared" si="43"/>
        <v/>
      </c>
      <c r="U212" s="250" t="str">
        <f t="shared" si="44"/>
        <v/>
      </c>
      <c r="V212" s="344" t="str">
        <f t="shared" si="48"/>
        <v/>
      </c>
      <c r="W212" s="257" t="str">
        <f>IF(F212="","",SUM($V$21:V212))</f>
        <v/>
      </c>
      <c r="X212" s="260" t="str">
        <f xml:space="preserve"> IF(OR(F212="",SUM(IN_DATA!$H$5:'IN_DATA'!H196)=0), "", 1-SUM(IN_DATA!$F$5:'IN_DATA'!F196)/SUM(IN_DATA!$H$5:'IN_DATA'!H196))</f>
        <v/>
      </c>
      <c r="Y212" s="307" t="str">
        <f>IF(OR(F212="",SUM(IN_DATA!$H$5:'IN_DATA'!H196)=0),"",365*(SUM(IN_DATA!$H$5:'IN_DATA'!H196)-SUM(IN_DATA!$F$5:'IN_DATA'!F196))/1000)</f>
        <v/>
      </c>
      <c r="Z212" s="346" t="str">
        <f t="shared" si="45"/>
        <v/>
      </c>
      <c r="AA212" s="370" t="str">
        <f t="shared" si="49"/>
        <v/>
      </c>
      <c r="AB212" s="373" t="str">
        <f>IF(F212="", "", IF(IN_DATA!R196=3, MAX(CO2_Royalty_Factor-Z212/10000,0), IF('Economics Summary'!A212&lt;2, IF('Economics Summary'!Q212&lt;60000, 0.05, ((60000*0.05+('Economics Summary'!Q212-60000)*R212)/'Economics Summary'!Q212)),R212)))</f>
        <v/>
      </c>
      <c r="AC212" s="377" t="str">
        <f t="shared" si="46"/>
        <v/>
      </c>
      <c r="AD212" s="378" t="str">
        <f t="shared" si="50"/>
        <v/>
      </c>
    </row>
    <row r="213" spans="1:30" x14ac:dyDescent="0.2">
      <c r="A213" s="178">
        <v>192</v>
      </c>
      <c r="B213" s="178">
        <f t="shared" si="51"/>
        <v>2204</v>
      </c>
      <c r="C213" s="292" t="str">
        <f>IF(IN_DATA!C197="","",MAX(min_oil_price,MIN(C212+C212*$L$6,max_oil_price)))</f>
        <v/>
      </c>
      <c r="D213" s="293" t="str">
        <f>IF(IN_DATA!C197="","",MAX(min_gas_price,MIN(D212+D212*$L$7,max_gas_price)))</f>
        <v/>
      </c>
      <c r="E213" s="294" t="str">
        <f>IF(IN_DATA!C197="","",MIN(E212+E212*$L$8,16))</f>
        <v/>
      </c>
      <c r="F213" s="110" t="str">
        <f>IF(O213="", "", IN_DATA!C197*365*OCF*FPF)</f>
        <v/>
      </c>
      <c r="G213" s="184" t="str">
        <f>IF(O213="","",IN_DATA!D197*365*FPF*OCF)</f>
        <v/>
      </c>
      <c r="H213" s="235" t="str">
        <f t="shared" si="39"/>
        <v/>
      </c>
      <c r="I213" s="238" t="str">
        <f t="shared" si="40"/>
        <v/>
      </c>
      <c r="J213" s="236" t="str">
        <f t="shared" si="41"/>
        <v/>
      </c>
      <c r="K213" s="239" t="str">
        <f t="shared" si="42"/>
        <v/>
      </c>
      <c r="L213" s="247" t="str">
        <f t="shared" si="47"/>
        <v/>
      </c>
      <c r="M213" s="244" t="str">
        <f>IF(I213=""," ",IF(IN_DATA!R197=1,"Primary Rec.",IF(IN_DATA!R197=2,"Water Flood",IF(IN_DATA!R197=3,"CO2 Flood",""))))</f>
        <v xml:space="preserve"> </v>
      </c>
      <c r="N213" s="109" t="str">
        <f>IF(I213="","",IF(O213=0, 0, OpCost!AD202))</f>
        <v/>
      </c>
      <c r="O213" s="187" t="str">
        <f>IF(OpCost!AE202="", "", OpCost!AE202)</f>
        <v/>
      </c>
      <c r="P213" s="251" t="str">
        <f>IF(F213="","",((IN_DATA!C197+IN_DATA!D197/10)/IN_DATA!P197))</f>
        <v/>
      </c>
      <c r="Q213" s="248" t="str">
        <f>IF(F213="","",SUM($P$21:P213)*365)</f>
        <v/>
      </c>
      <c r="R213" s="249" t="str">
        <f>IF(F213="", "", HLOOKUP(C213,'Reference-Crown Royalties'!$D$2:$AB$49,MATCH(P213,'Reference-Crown Royalties'!$A$2:$A$49,1),TRUE))</f>
        <v/>
      </c>
      <c r="S213" s="276" t="str">
        <f>IF(F213="", "", IF(IN_DATA!R197=3, CO2_Royalty_Factor, IF('Economics Summary'!A213&lt;2, IF('Economics Summary'!Q213&lt;60000, 0.05, ((60000*0.05+('Economics Summary'!Q213-60000)*R213)/'Economics Summary'!Q213)),R213)))</f>
        <v/>
      </c>
      <c r="T213" s="250" t="str">
        <f t="shared" si="43"/>
        <v/>
      </c>
      <c r="U213" s="250" t="str">
        <f t="shared" si="44"/>
        <v/>
      </c>
      <c r="V213" s="344" t="str">
        <f t="shared" ref="V213:V220" si="52">IF(F213="","",IF(T213-L213&lt;0,T213-L213,(T213-L213)*(1-Tax_Rate)))</f>
        <v/>
      </c>
      <c r="W213" s="257" t="str">
        <f>IF(F213="","",SUM($V$21:V213))</f>
        <v/>
      </c>
      <c r="X213" s="260" t="str">
        <f xml:space="preserve"> IF(OR(F213="",SUM(IN_DATA!$H$5:'IN_DATA'!H197)=0), "", 1-SUM(IN_DATA!$F$5:'IN_DATA'!F197)/SUM(IN_DATA!$H$5:'IN_DATA'!H197))</f>
        <v/>
      </c>
      <c r="Y213" s="307" t="str">
        <f>IF(OR(F213="",SUM(IN_DATA!$H$5:'IN_DATA'!H197)=0),"",365*(SUM(IN_DATA!$H$5:'IN_DATA'!H197)-SUM(IN_DATA!$F$5:'IN_DATA'!F197))/1000)</f>
        <v/>
      </c>
      <c r="Z213" s="346" t="str">
        <f t="shared" si="45"/>
        <v/>
      </c>
      <c r="AA213" s="370" t="str">
        <f t="shared" ref="AA213:AA220" si="53">IF(F213="","",IF(T213-L213+(Z213*CO2_Incentive)&lt;0,T213-L213+(Z213*CO2_Incentive),(T213-L213+(Z213*CO2_Incentive))*(1-Tax_Rate)))</f>
        <v/>
      </c>
      <c r="AB213" s="373" t="str">
        <f>IF(F213="", "", IF(IN_DATA!R197=3, MAX(CO2_Royalty_Factor-Z213/10000,0), IF('Economics Summary'!A213&lt;2, IF('Economics Summary'!Q213&lt;60000, 0.05, ((60000*0.05+('Economics Summary'!Q213-60000)*R213)/'Economics Summary'!Q213)),R213)))</f>
        <v/>
      </c>
      <c r="AC213" s="377" t="str">
        <f t="shared" si="46"/>
        <v/>
      </c>
      <c r="AD213" s="378" t="str">
        <f t="shared" ref="AD213:AD220" si="54">IF(F213="","",IF(AC213-L213&lt;0,AC213-L213,(AC213-L213)*(1-Tax_Rate)))</f>
        <v/>
      </c>
    </row>
    <row r="214" spans="1:30" x14ac:dyDescent="0.2">
      <c r="A214" s="178">
        <v>193</v>
      </c>
      <c r="B214" s="178">
        <f t="shared" si="51"/>
        <v>2205</v>
      </c>
      <c r="C214" s="292" t="str">
        <f>IF(IN_DATA!C198="","",MAX(min_oil_price,MIN(C213+C213*$L$6,max_oil_price)))</f>
        <v/>
      </c>
      <c r="D214" s="293" t="str">
        <f>IF(IN_DATA!C198="","",MAX(min_gas_price,MIN(D213+D213*$L$7,max_gas_price)))</f>
        <v/>
      </c>
      <c r="E214" s="294" t="str">
        <f>IF(IN_DATA!C198="","",MIN(E213+E213*$L$8,16))</f>
        <v/>
      </c>
      <c r="F214" s="110" t="str">
        <f>IF(O214="", "", IN_DATA!C198*365*OCF*FPF)</f>
        <v/>
      </c>
      <c r="G214" s="184" t="str">
        <f>IF(O214="","",IN_DATA!D198*365*FPF*OCF)</f>
        <v/>
      </c>
      <c r="H214" s="235" t="str">
        <f t="shared" ref="H214:H220" si="55">IF(O214="","",G214*0.065)</f>
        <v/>
      </c>
      <c r="I214" s="238" t="str">
        <f t="shared" ref="I214:I220" si="56">IF(F214="","",C214*F214/1000)</f>
        <v/>
      </c>
      <c r="J214" s="236" t="str">
        <f t="shared" ref="J214:J220" si="57">IF(G214="","",D214*G214/1000)</f>
        <v/>
      </c>
      <c r="K214" s="239" t="str">
        <f t="shared" ref="K214:K220" si="58">IF(H214="","",E214*H214/1000)</f>
        <v/>
      </c>
      <c r="L214" s="247" t="str">
        <f t="shared" si="47"/>
        <v/>
      </c>
      <c r="M214" s="244" t="str">
        <f>IF(I214=""," ",IF(IN_DATA!R198=1,"Primary Rec.",IF(IN_DATA!R198=2,"Water Flood",IF(IN_DATA!R198=3,"CO2 Flood",""))))</f>
        <v xml:space="preserve"> </v>
      </c>
      <c r="N214" s="109" t="str">
        <f>IF(I214="","",IF(O214=0, 0, OpCost!AD203))</f>
        <v/>
      </c>
      <c r="O214" s="187" t="str">
        <f>IF(OpCost!AE203="", "", OpCost!AE203)</f>
        <v/>
      </c>
      <c r="P214" s="251" t="str">
        <f>IF(F214="","",((IN_DATA!C198+IN_DATA!D198/10)/IN_DATA!P198))</f>
        <v/>
      </c>
      <c r="Q214" s="248" t="str">
        <f>IF(F214="","",SUM($P$21:P214)*365)</f>
        <v/>
      </c>
      <c r="R214" s="249" t="str">
        <f>IF(F214="", "", HLOOKUP(C214,'Reference-Crown Royalties'!$D$2:$AB$49,MATCH(P214,'Reference-Crown Royalties'!$A$2:$A$49,1),TRUE))</f>
        <v/>
      </c>
      <c r="S214" s="276" t="str">
        <f>IF(F214="", "", IF(IN_DATA!R198=3, CO2_Royalty_Factor, IF('Economics Summary'!A214&lt;2, IF('Economics Summary'!Q214&lt;60000, 0.05, ((60000*0.05+('Economics Summary'!Q214-60000)*R214)/'Economics Summary'!Q214)),R214)))</f>
        <v/>
      </c>
      <c r="T214" s="250" t="str">
        <f t="shared" ref="T214:T220" si="59">IF(F214="","",(I214+J214+K214)*$B$6*(1-S214)-N214)</f>
        <v/>
      </c>
      <c r="U214" s="250" t="str">
        <f t="shared" ref="U214:U220" si="60">IF(F214="","",T214/(1+$A$6)^$A214)</f>
        <v/>
      </c>
      <c r="V214" s="344" t="str">
        <f t="shared" si="52"/>
        <v/>
      </c>
      <c r="W214" s="257" t="str">
        <f>IF(F214="","",SUM($V$21:V214))</f>
        <v/>
      </c>
      <c r="X214" s="260" t="str">
        <f xml:space="preserve"> IF(OR(F214="",SUM(IN_DATA!$H$5:'IN_DATA'!H198)=0), "", 1-SUM(IN_DATA!$F$5:'IN_DATA'!F198)/SUM(IN_DATA!$H$5:'IN_DATA'!H198))</f>
        <v/>
      </c>
      <c r="Y214" s="307" t="str">
        <f>IF(OR(F214="",SUM(IN_DATA!$H$5:'IN_DATA'!H198)=0),"",365*(SUM(IN_DATA!$H$5:'IN_DATA'!H198)-SUM(IN_DATA!$F$5:'IN_DATA'!F198))/1000)</f>
        <v/>
      </c>
      <c r="Z214" s="346" t="str">
        <f t="shared" ref="Z214:Z220" si="61">IF(Y214="","",Y214/17.4)</f>
        <v/>
      </c>
      <c r="AA214" s="370" t="str">
        <f t="shared" si="53"/>
        <v/>
      </c>
      <c r="AB214" s="373" t="str">
        <f>IF(F214="", "", IF(IN_DATA!R198=3, MAX(CO2_Royalty_Factor-Z214/10000,0), IF('Economics Summary'!A214&lt;2, IF('Economics Summary'!Q214&lt;60000, 0.05, ((60000*0.05+('Economics Summary'!Q214-60000)*R214)/'Economics Summary'!Q214)),R214)))</f>
        <v/>
      </c>
      <c r="AC214" s="377" t="str">
        <f t="shared" ref="AC214:AC220" si="62">IF(F214="","",(I214+J214+K214)*$B$6*(1-AB214)-N214)</f>
        <v/>
      </c>
      <c r="AD214" s="378" t="str">
        <f t="shared" si="54"/>
        <v/>
      </c>
    </row>
    <row r="215" spans="1:30" x14ac:dyDescent="0.2">
      <c r="A215" s="178">
        <v>194</v>
      </c>
      <c r="B215" s="178">
        <f t="shared" si="51"/>
        <v>2206</v>
      </c>
      <c r="C215" s="292" t="str">
        <f>IF(IN_DATA!C199="","",MAX(min_oil_price,MIN(C214+C214*$L$6,max_oil_price)))</f>
        <v/>
      </c>
      <c r="D215" s="293" t="str">
        <f>IF(IN_DATA!C199="","",MAX(min_gas_price,MIN(D214+D214*$L$7,max_gas_price)))</f>
        <v/>
      </c>
      <c r="E215" s="294" t="str">
        <f>IF(IN_DATA!C199="","",MIN(E214+E214*$L$8,16))</f>
        <v/>
      </c>
      <c r="F215" s="110" t="str">
        <f>IF(O215="", "", IN_DATA!C199*365*OCF*FPF)</f>
        <v/>
      </c>
      <c r="G215" s="184" t="str">
        <f>IF(O215="","",IN_DATA!D199*365*FPF*OCF)</f>
        <v/>
      </c>
      <c r="H215" s="235" t="str">
        <f t="shared" si="55"/>
        <v/>
      </c>
      <c r="I215" s="238" t="str">
        <f t="shared" si="56"/>
        <v/>
      </c>
      <c r="J215" s="236" t="str">
        <f t="shared" si="57"/>
        <v/>
      </c>
      <c r="K215" s="239" t="str">
        <f t="shared" si="58"/>
        <v/>
      </c>
      <c r="L215" s="247" t="str">
        <f t="shared" ref="L215:L220" si="63">IF(F215="","",0)</f>
        <v/>
      </c>
      <c r="M215" s="244" t="str">
        <f>IF(I215=""," ",IF(IN_DATA!R199=1,"Primary Rec.",IF(IN_DATA!R199=2,"Water Flood",IF(IN_DATA!R199=3,"CO2 Flood",""))))</f>
        <v xml:space="preserve"> </v>
      </c>
      <c r="N215" s="109" t="str">
        <f>IF(I215="","",IF(O215=0, 0, OpCost!AD204))</f>
        <v/>
      </c>
      <c r="O215" s="187" t="str">
        <f>IF(OpCost!AE204="", "", OpCost!AE204)</f>
        <v/>
      </c>
      <c r="P215" s="251" t="str">
        <f>IF(F215="","",((IN_DATA!C199+IN_DATA!D199/10)/IN_DATA!P199))</f>
        <v/>
      </c>
      <c r="Q215" s="248" t="str">
        <f>IF(F215="","",SUM($P$21:P215)*365)</f>
        <v/>
      </c>
      <c r="R215" s="249" t="str">
        <f>IF(F215="", "", HLOOKUP(C215,'Reference-Crown Royalties'!$D$2:$AB$49,MATCH(P215,'Reference-Crown Royalties'!$A$2:$A$49,1),TRUE))</f>
        <v/>
      </c>
      <c r="S215" s="276" t="str">
        <f>IF(F215="", "", IF(IN_DATA!R199=3, CO2_Royalty_Factor, IF('Economics Summary'!A215&lt;2, IF('Economics Summary'!Q215&lt;60000, 0.05, ((60000*0.05+('Economics Summary'!Q215-60000)*R215)/'Economics Summary'!Q215)),R215)))</f>
        <v/>
      </c>
      <c r="T215" s="250" t="str">
        <f t="shared" si="59"/>
        <v/>
      </c>
      <c r="U215" s="250" t="str">
        <f t="shared" si="60"/>
        <v/>
      </c>
      <c r="V215" s="344" t="str">
        <f t="shared" si="52"/>
        <v/>
      </c>
      <c r="W215" s="257" t="str">
        <f>IF(F215="","",SUM($V$21:V215))</f>
        <v/>
      </c>
      <c r="X215" s="260" t="str">
        <f xml:space="preserve"> IF(OR(F215="",SUM(IN_DATA!$H$5:'IN_DATA'!H199)=0), "", 1-SUM(IN_DATA!$F$5:'IN_DATA'!F199)/SUM(IN_DATA!$H$5:'IN_DATA'!H199))</f>
        <v/>
      </c>
      <c r="Y215" s="307" t="str">
        <f>IF(OR(F215="",SUM(IN_DATA!$H$5:'IN_DATA'!H199)=0),"",365*(SUM(IN_DATA!$H$5:'IN_DATA'!H199)-SUM(IN_DATA!$F$5:'IN_DATA'!F199))/1000)</f>
        <v/>
      </c>
      <c r="Z215" s="346" t="str">
        <f t="shared" si="61"/>
        <v/>
      </c>
      <c r="AA215" s="370" t="str">
        <f t="shared" si="53"/>
        <v/>
      </c>
      <c r="AB215" s="373" t="str">
        <f>IF(F215="", "", IF(IN_DATA!R199=3, MAX(CO2_Royalty_Factor-Z215/10000,0), IF('Economics Summary'!A215&lt;2, IF('Economics Summary'!Q215&lt;60000, 0.05, ((60000*0.05+('Economics Summary'!Q215-60000)*R215)/'Economics Summary'!Q215)),R215)))</f>
        <v/>
      </c>
      <c r="AC215" s="377" t="str">
        <f t="shared" si="62"/>
        <v/>
      </c>
      <c r="AD215" s="378" t="str">
        <f t="shared" si="54"/>
        <v/>
      </c>
    </row>
    <row r="216" spans="1:30" x14ac:dyDescent="0.2">
      <c r="A216" s="178">
        <v>195</v>
      </c>
      <c r="B216" s="178">
        <f t="shared" si="51"/>
        <v>2207</v>
      </c>
      <c r="C216" s="292" t="str">
        <f>IF(IN_DATA!C200="","",MAX(min_oil_price,MIN(C215+C215*$L$6,max_oil_price)))</f>
        <v/>
      </c>
      <c r="D216" s="293" t="str">
        <f>IF(IN_DATA!C200="","",MAX(min_gas_price,MIN(D215+D215*$L$7,max_gas_price)))</f>
        <v/>
      </c>
      <c r="E216" s="294" t="str">
        <f>IF(IN_DATA!C200="","",MIN(E215+E215*$L$8,16))</f>
        <v/>
      </c>
      <c r="F216" s="110" t="str">
        <f>IF(O216="", "", IN_DATA!C200*365*OCF*FPF)</f>
        <v/>
      </c>
      <c r="G216" s="184" t="str">
        <f>IF(O216="","",IN_DATA!D200*365*FPF*OCF)</f>
        <v/>
      </c>
      <c r="H216" s="235" t="str">
        <f t="shared" si="55"/>
        <v/>
      </c>
      <c r="I216" s="238" t="str">
        <f t="shared" si="56"/>
        <v/>
      </c>
      <c r="J216" s="236" t="str">
        <f t="shared" si="57"/>
        <v/>
      </c>
      <c r="K216" s="239" t="str">
        <f t="shared" si="58"/>
        <v/>
      </c>
      <c r="L216" s="247" t="str">
        <f t="shared" si="63"/>
        <v/>
      </c>
      <c r="M216" s="244" t="str">
        <f>IF(I216=""," ",IF(IN_DATA!R200=1,"Primary Rec.",IF(IN_DATA!R200=2,"Water Flood",IF(IN_DATA!R200=3,"CO2 Flood",""))))</f>
        <v xml:space="preserve"> </v>
      </c>
      <c r="N216" s="109" t="str">
        <f>IF(I216="","",IF(O216=0, 0, OpCost!AD205))</f>
        <v/>
      </c>
      <c r="O216" s="187" t="str">
        <f>IF(OpCost!AE205="", "", OpCost!AE205)</f>
        <v/>
      </c>
      <c r="P216" s="251" t="str">
        <f>IF(F216="","",((IN_DATA!C200+IN_DATA!D200/10)/IN_DATA!P200))</f>
        <v/>
      </c>
      <c r="Q216" s="248" t="str">
        <f>IF(F216="","",SUM($P$21:P216)*365)</f>
        <v/>
      </c>
      <c r="R216" s="249" t="str">
        <f>IF(F216="", "", HLOOKUP(C216,'Reference-Crown Royalties'!$D$2:$AB$49,MATCH(P216,'Reference-Crown Royalties'!$A$2:$A$49,1),TRUE))</f>
        <v/>
      </c>
      <c r="S216" s="276" t="str">
        <f>IF(F216="", "", IF(IN_DATA!R200=3, CO2_Royalty_Factor, IF('Economics Summary'!A216&lt;2, IF('Economics Summary'!Q216&lt;60000, 0.05, ((60000*0.05+('Economics Summary'!Q216-60000)*R216)/'Economics Summary'!Q216)),R216)))</f>
        <v/>
      </c>
      <c r="T216" s="250" t="str">
        <f t="shared" si="59"/>
        <v/>
      </c>
      <c r="U216" s="250" t="str">
        <f t="shared" si="60"/>
        <v/>
      </c>
      <c r="V216" s="344" t="str">
        <f t="shared" si="52"/>
        <v/>
      </c>
      <c r="W216" s="257" t="str">
        <f>IF(F216="","",SUM($V$21:V216))</f>
        <v/>
      </c>
      <c r="X216" s="260" t="str">
        <f xml:space="preserve"> IF(OR(F216="",SUM(IN_DATA!$H$5:'IN_DATA'!H200)=0), "", 1-SUM(IN_DATA!$F$5:'IN_DATA'!F200)/SUM(IN_DATA!$H$5:'IN_DATA'!H200))</f>
        <v/>
      </c>
      <c r="Y216" s="307" t="str">
        <f>IF(OR(F216="",SUM(IN_DATA!$H$5:'IN_DATA'!H200)=0),"",365*(SUM(IN_DATA!$H$5:'IN_DATA'!H200)-SUM(IN_DATA!$F$5:'IN_DATA'!F200))/1000)</f>
        <v/>
      </c>
      <c r="Z216" s="346" t="str">
        <f t="shared" si="61"/>
        <v/>
      </c>
      <c r="AA216" s="370" t="str">
        <f t="shared" si="53"/>
        <v/>
      </c>
      <c r="AB216" s="373" t="str">
        <f>IF(F216="", "", IF(IN_DATA!R200=3, MAX(CO2_Royalty_Factor-Z216/10000,0), IF('Economics Summary'!A216&lt;2, IF('Economics Summary'!Q216&lt;60000, 0.05, ((60000*0.05+('Economics Summary'!Q216-60000)*R216)/'Economics Summary'!Q216)),R216)))</f>
        <v/>
      </c>
      <c r="AC216" s="377" t="str">
        <f t="shared" si="62"/>
        <v/>
      </c>
      <c r="AD216" s="378" t="str">
        <f t="shared" si="54"/>
        <v/>
      </c>
    </row>
    <row r="217" spans="1:30" x14ac:dyDescent="0.2">
      <c r="A217" s="178">
        <v>196</v>
      </c>
      <c r="B217" s="178">
        <f t="shared" si="51"/>
        <v>2208</v>
      </c>
      <c r="C217" s="292" t="str">
        <f>IF(IN_DATA!C201="","",MAX(min_oil_price,MIN(C216+C216*$L$6,max_oil_price)))</f>
        <v/>
      </c>
      <c r="D217" s="293" t="str">
        <f>IF(IN_DATA!C201="","",MAX(min_gas_price,MIN(D216+D216*$L$7,max_gas_price)))</f>
        <v/>
      </c>
      <c r="E217" s="294" t="str">
        <f>IF(IN_DATA!C201="","",MIN(E216+E216*$L$8,16))</f>
        <v/>
      </c>
      <c r="F217" s="110" t="str">
        <f>IF(O217="", "", IN_DATA!C201*365*OCF*FPF)</f>
        <v/>
      </c>
      <c r="G217" s="184" t="str">
        <f>IF(O217="","",IN_DATA!D201*365*FPF*OCF)</f>
        <v/>
      </c>
      <c r="H217" s="235" t="str">
        <f t="shared" si="55"/>
        <v/>
      </c>
      <c r="I217" s="238" t="str">
        <f t="shared" si="56"/>
        <v/>
      </c>
      <c r="J217" s="236" t="str">
        <f t="shared" si="57"/>
        <v/>
      </c>
      <c r="K217" s="239" t="str">
        <f t="shared" si="58"/>
        <v/>
      </c>
      <c r="L217" s="247" t="str">
        <f t="shared" si="63"/>
        <v/>
      </c>
      <c r="M217" s="244" t="str">
        <f>IF(I217=""," ",IF(IN_DATA!R201=1,"Primary Rec.",IF(IN_DATA!R201=2,"Water Flood",IF(IN_DATA!R201=3,"CO2 Flood",""))))</f>
        <v xml:space="preserve"> </v>
      </c>
      <c r="N217" s="109" t="str">
        <f>IF(I217="","",IF(O217=0, 0, OpCost!AD206))</f>
        <v/>
      </c>
      <c r="O217" s="187" t="str">
        <f>IF(OpCost!AE206="", "", OpCost!AE206)</f>
        <v/>
      </c>
      <c r="P217" s="251" t="str">
        <f>IF(F217="","",((IN_DATA!C201+IN_DATA!D201/10)/IN_DATA!P201))</f>
        <v/>
      </c>
      <c r="Q217" s="248" t="str">
        <f>IF(F217="","",SUM($P$21:P217)*365)</f>
        <v/>
      </c>
      <c r="R217" s="249" t="str">
        <f>IF(F217="", "", HLOOKUP(C217,'Reference-Crown Royalties'!$D$2:$AB$49,MATCH(P217,'Reference-Crown Royalties'!$A$2:$A$49,1),TRUE))</f>
        <v/>
      </c>
      <c r="S217" s="276" t="str">
        <f>IF(F217="", "", IF(IN_DATA!R201=3, CO2_Royalty_Factor, IF('Economics Summary'!A217&lt;2, IF('Economics Summary'!Q217&lt;60000, 0.05, ((60000*0.05+('Economics Summary'!Q217-60000)*R217)/'Economics Summary'!Q217)),R217)))</f>
        <v/>
      </c>
      <c r="T217" s="250" t="str">
        <f t="shared" si="59"/>
        <v/>
      </c>
      <c r="U217" s="250" t="str">
        <f t="shared" si="60"/>
        <v/>
      </c>
      <c r="V217" s="344" t="str">
        <f t="shared" si="52"/>
        <v/>
      </c>
      <c r="W217" s="257" t="str">
        <f>IF(F217="","",SUM($V$21:V217))</f>
        <v/>
      </c>
      <c r="X217" s="260" t="str">
        <f xml:space="preserve"> IF(OR(F217="",SUM(IN_DATA!$H$5:'IN_DATA'!H201)=0), "", 1-SUM(IN_DATA!$F$5:'IN_DATA'!F201)/SUM(IN_DATA!$H$5:'IN_DATA'!H201))</f>
        <v/>
      </c>
      <c r="Y217" s="307" t="str">
        <f>IF(OR(F217="",SUM(IN_DATA!$H$5:'IN_DATA'!H201)=0),"",365*(SUM(IN_DATA!$H$5:'IN_DATA'!H201)-SUM(IN_DATA!$F$5:'IN_DATA'!F201))/1000)</f>
        <v/>
      </c>
      <c r="Z217" s="346" t="str">
        <f t="shared" si="61"/>
        <v/>
      </c>
      <c r="AA217" s="370" t="str">
        <f t="shared" si="53"/>
        <v/>
      </c>
      <c r="AB217" s="373" t="str">
        <f>IF(F217="", "", IF(IN_DATA!R201=3, MAX(CO2_Royalty_Factor-Z217/10000,0), IF('Economics Summary'!A217&lt;2, IF('Economics Summary'!Q217&lt;60000, 0.05, ((60000*0.05+('Economics Summary'!Q217-60000)*R217)/'Economics Summary'!Q217)),R217)))</f>
        <v/>
      </c>
      <c r="AC217" s="377" t="str">
        <f t="shared" si="62"/>
        <v/>
      </c>
      <c r="AD217" s="378" t="str">
        <f t="shared" si="54"/>
        <v/>
      </c>
    </row>
    <row r="218" spans="1:30" x14ac:dyDescent="0.2">
      <c r="A218" s="178">
        <v>197</v>
      </c>
      <c r="B218" s="178">
        <f t="shared" si="51"/>
        <v>2209</v>
      </c>
      <c r="C218" s="292" t="str">
        <f>IF(IN_DATA!C202="","",MAX(min_oil_price,MIN(C217+C217*$L$6,max_oil_price)))</f>
        <v/>
      </c>
      <c r="D218" s="293" t="str">
        <f>IF(IN_DATA!C202="","",MAX(min_gas_price,MIN(D217+D217*$L$7,max_gas_price)))</f>
        <v/>
      </c>
      <c r="E218" s="294" t="str">
        <f>IF(IN_DATA!C202="","",MIN(E217+E217*$L$8,16))</f>
        <v/>
      </c>
      <c r="F218" s="110" t="str">
        <f>IF(O218="", "", IN_DATA!C202*365*OCF*FPF)</f>
        <v/>
      </c>
      <c r="G218" s="184" t="str">
        <f>IF(O218="","",IN_DATA!D202*365*FPF*OCF)</f>
        <v/>
      </c>
      <c r="H218" s="235" t="str">
        <f t="shared" si="55"/>
        <v/>
      </c>
      <c r="I218" s="238" t="str">
        <f t="shared" si="56"/>
        <v/>
      </c>
      <c r="J218" s="236" t="str">
        <f t="shared" si="57"/>
        <v/>
      </c>
      <c r="K218" s="239" t="str">
        <f t="shared" si="58"/>
        <v/>
      </c>
      <c r="L218" s="247" t="str">
        <f t="shared" si="63"/>
        <v/>
      </c>
      <c r="M218" s="244" t="str">
        <f>IF(I218=""," ",IF(IN_DATA!R202=1,"Primary Rec.",IF(IN_DATA!R202=2,"Water Flood",IF(IN_DATA!R202=3,"CO2 Flood",""))))</f>
        <v xml:space="preserve"> </v>
      </c>
      <c r="N218" s="109" t="str">
        <f>IF(I218="","",IF(O218=0, 0, OpCost!AD207))</f>
        <v/>
      </c>
      <c r="O218" s="187" t="str">
        <f>IF(OpCost!AE207="", "", OpCost!AE207)</f>
        <v/>
      </c>
      <c r="P218" s="251" t="str">
        <f>IF(F218="","",((IN_DATA!C202+IN_DATA!D202/10)/IN_DATA!P202))</f>
        <v/>
      </c>
      <c r="Q218" s="248" t="str">
        <f>IF(F218="","",SUM($P$21:P218)*365)</f>
        <v/>
      </c>
      <c r="R218" s="249" t="str">
        <f>IF(F218="", "", HLOOKUP(C218,'Reference-Crown Royalties'!$D$2:$AB$49,MATCH(P218,'Reference-Crown Royalties'!$A$2:$A$49,1),TRUE))</f>
        <v/>
      </c>
      <c r="S218" s="276" t="str">
        <f>IF(F218="", "", IF(IN_DATA!R202=3, CO2_Royalty_Factor, IF('Economics Summary'!A218&lt;2, IF('Economics Summary'!Q218&lt;60000, 0.05, ((60000*0.05+('Economics Summary'!Q218-60000)*R218)/'Economics Summary'!Q218)),R218)))</f>
        <v/>
      </c>
      <c r="T218" s="250" t="str">
        <f t="shared" si="59"/>
        <v/>
      </c>
      <c r="U218" s="250" t="str">
        <f t="shared" si="60"/>
        <v/>
      </c>
      <c r="V218" s="344" t="str">
        <f t="shared" si="52"/>
        <v/>
      </c>
      <c r="W218" s="257" t="str">
        <f>IF(F218="","",SUM($V$21:V218))</f>
        <v/>
      </c>
      <c r="X218" s="260" t="str">
        <f xml:space="preserve"> IF(OR(F218="",SUM(IN_DATA!$H$5:'IN_DATA'!H202)=0), "", 1-SUM(IN_DATA!$F$5:'IN_DATA'!F202)/SUM(IN_DATA!$H$5:'IN_DATA'!H202))</f>
        <v/>
      </c>
      <c r="Y218" s="307" t="str">
        <f>IF(OR(F218="",SUM(IN_DATA!$H$5:'IN_DATA'!H202)=0),"",365*(SUM(IN_DATA!$H$5:'IN_DATA'!H202)-SUM(IN_DATA!$F$5:'IN_DATA'!F202))/1000)</f>
        <v/>
      </c>
      <c r="Z218" s="346" t="str">
        <f t="shared" si="61"/>
        <v/>
      </c>
      <c r="AA218" s="370" t="str">
        <f t="shared" si="53"/>
        <v/>
      </c>
      <c r="AB218" s="373" t="str">
        <f>IF(F218="", "", IF(IN_DATA!R202=3, MAX(CO2_Royalty_Factor-Z218/10000,0), IF('Economics Summary'!A218&lt;2, IF('Economics Summary'!Q218&lt;60000, 0.05, ((60000*0.05+('Economics Summary'!Q218-60000)*R218)/'Economics Summary'!Q218)),R218)))</f>
        <v/>
      </c>
      <c r="AC218" s="377" t="str">
        <f t="shared" si="62"/>
        <v/>
      </c>
      <c r="AD218" s="378" t="str">
        <f t="shared" si="54"/>
        <v/>
      </c>
    </row>
    <row r="219" spans="1:30" x14ac:dyDescent="0.2">
      <c r="A219" s="178">
        <v>198</v>
      </c>
      <c r="B219" s="178">
        <f t="shared" si="51"/>
        <v>2210</v>
      </c>
      <c r="C219" s="292" t="str">
        <f>IF(IN_DATA!C203="","",MAX(min_oil_price,MIN(C218+C218*$L$6,max_oil_price)))</f>
        <v/>
      </c>
      <c r="D219" s="293" t="str">
        <f>IF(IN_DATA!C203="","",MAX(min_gas_price,MIN(D218+D218*$L$7,max_gas_price)))</f>
        <v/>
      </c>
      <c r="E219" s="294" t="str">
        <f>IF(IN_DATA!C203="","",MIN(E218+E218*$L$8,16))</f>
        <v/>
      </c>
      <c r="F219" s="110" t="str">
        <f>IF(O219="", "", IN_DATA!C203*365*OCF*FPF)</f>
        <v/>
      </c>
      <c r="G219" s="184" t="str">
        <f>IF(O219="","",IN_DATA!D203*365*FPF*OCF)</f>
        <v/>
      </c>
      <c r="H219" s="235" t="str">
        <f t="shared" si="55"/>
        <v/>
      </c>
      <c r="I219" s="238" t="str">
        <f t="shared" si="56"/>
        <v/>
      </c>
      <c r="J219" s="236" t="str">
        <f t="shared" si="57"/>
        <v/>
      </c>
      <c r="K219" s="239" t="str">
        <f t="shared" si="58"/>
        <v/>
      </c>
      <c r="L219" s="247" t="str">
        <f t="shared" si="63"/>
        <v/>
      </c>
      <c r="M219" s="244" t="str">
        <f>IF(I219=""," ",IF(IN_DATA!R203=1,"Primary Rec.",IF(IN_DATA!R203=2,"Water Flood",IF(IN_DATA!R203=3,"CO2 Flood",""))))</f>
        <v xml:space="preserve"> </v>
      </c>
      <c r="N219" s="109" t="str">
        <f>IF(I219="","",IF(O219=0, 0, OpCost!AD208))</f>
        <v/>
      </c>
      <c r="O219" s="187" t="str">
        <f>IF(OpCost!AE208="", "", OpCost!AE208)</f>
        <v/>
      </c>
      <c r="P219" s="251" t="str">
        <f>IF(F219="","",((IN_DATA!C203+IN_DATA!D203/10)/IN_DATA!P203))</f>
        <v/>
      </c>
      <c r="Q219" s="248" t="str">
        <f>IF(F219="","",SUM($P$21:P219)*365)</f>
        <v/>
      </c>
      <c r="R219" s="249" t="str">
        <f>IF(F219="", "", HLOOKUP(C219,'Reference-Crown Royalties'!$D$2:$AB$49,MATCH(P219,'Reference-Crown Royalties'!$A$2:$A$49,1),TRUE))</f>
        <v/>
      </c>
      <c r="S219" s="276" t="str">
        <f>IF(F219="", "", IF(IN_DATA!R203=3, CO2_Royalty_Factor, IF('Economics Summary'!A219&lt;2, IF('Economics Summary'!Q219&lt;60000, 0.05, ((60000*0.05+('Economics Summary'!Q219-60000)*R219)/'Economics Summary'!Q219)),R219)))</f>
        <v/>
      </c>
      <c r="T219" s="250" t="str">
        <f t="shared" si="59"/>
        <v/>
      </c>
      <c r="U219" s="250" t="str">
        <f t="shared" si="60"/>
        <v/>
      </c>
      <c r="V219" s="344" t="str">
        <f t="shared" si="52"/>
        <v/>
      </c>
      <c r="W219" s="257" t="str">
        <f>IF(F219="","",SUM($V$21:V219))</f>
        <v/>
      </c>
      <c r="X219" s="260" t="str">
        <f xml:space="preserve"> IF(OR(F219="",SUM(IN_DATA!$H$5:'IN_DATA'!H203)=0), "", 1-SUM(IN_DATA!$F$5:'IN_DATA'!F203)/SUM(IN_DATA!$H$5:'IN_DATA'!H203))</f>
        <v/>
      </c>
      <c r="Y219" s="307" t="str">
        <f>IF(OR(F219="",SUM(IN_DATA!$H$5:'IN_DATA'!H203)=0),"",365*(SUM(IN_DATA!$H$5:'IN_DATA'!H203)-SUM(IN_DATA!$F$5:'IN_DATA'!F203))/1000)</f>
        <v/>
      </c>
      <c r="Z219" s="346" t="str">
        <f t="shared" si="61"/>
        <v/>
      </c>
      <c r="AA219" s="370" t="str">
        <f t="shared" si="53"/>
        <v/>
      </c>
      <c r="AB219" s="373" t="str">
        <f>IF(F219="", "", IF(IN_DATA!R203=3, MAX(CO2_Royalty_Factor-Z219/10000,0), IF('Economics Summary'!A219&lt;2, IF('Economics Summary'!Q219&lt;60000, 0.05, ((60000*0.05+('Economics Summary'!Q219-60000)*R219)/'Economics Summary'!Q219)),R219)))</f>
        <v/>
      </c>
      <c r="AC219" s="377" t="str">
        <f t="shared" si="62"/>
        <v/>
      </c>
      <c r="AD219" s="378" t="str">
        <f t="shared" si="54"/>
        <v/>
      </c>
    </row>
    <row r="220" spans="1:30" ht="13.5" thickBot="1" x14ac:dyDescent="0.25">
      <c r="A220" s="172">
        <v>199</v>
      </c>
      <c r="B220" s="172">
        <f t="shared" si="51"/>
        <v>2211</v>
      </c>
      <c r="C220" s="295" t="str">
        <f>IF(IN_DATA!C204="","",MAX(min_oil_price,MIN(C219+C219*$L$6,max_oil_price)))</f>
        <v/>
      </c>
      <c r="D220" s="296" t="str">
        <f>IF(IN_DATA!C204="","",MAX(min_gas_price,MIN(D219+D219*$L$7,max_gas_price)))</f>
        <v/>
      </c>
      <c r="E220" s="297" t="str">
        <f>IF(IN_DATA!C204="","",MIN(E219+E219*$L$8,16))</f>
        <v/>
      </c>
      <c r="F220" s="262" t="str">
        <f>IF(O220="", "", IN_DATA!C204*365*OCF*FPF)</f>
        <v/>
      </c>
      <c r="G220" s="255" t="str">
        <f>IF(O220="","",IN_DATA!D204*365*FPF*OCF)</f>
        <v/>
      </c>
      <c r="H220" s="298" t="str">
        <f t="shared" si="55"/>
        <v/>
      </c>
      <c r="I220" s="240" t="str">
        <f t="shared" si="56"/>
        <v/>
      </c>
      <c r="J220" s="241" t="str">
        <f t="shared" si="57"/>
        <v/>
      </c>
      <c r="K220" s="242" t="str">
        <f t="shared" si="58"/>
        <v/>
      </c>
      <c r="L220" s="245" t="str">
        <f t="shared" si="63"/>
        <v/>
      </c>
      <c r="M220" s="245" t="str">
        <f>IF(I220=""," ",IF(IN_DATA!R204=1,"Primary Rec.",IF(IN_DATA!R204=2,"Water Flood",IF(IN_DATA!R204=3,"CO2 Flood",""))))</f>
        <v xml:space="preserve"> </v>
      </c>
      <c r="N220" s="263" t="str">
        <f>IF(I220="","",IF(O220=0, 0, OpCost!AD209))</f>
        <v/>
      </c>
      <c r="O220" s="264" t="str">
        <f>IF(OpCost!AE209="", "", OpCost!AE209)</f>
        <v/>
      </c>
      <c r="P220" s="252" t="str">
        <f>IF(F220="","",((IN_DATA!C204+IN_DATA!D204/10)/IN_DATA!P204))</f>
        <v/>
      </c>
      <c r="Q220" s="253" t="str">
        <f>IF(F220="","",SUM($P$21:P220)*365)</f>
        <v/>
      </c>
      <c r="R220" s="254" t="str">
        <f>IF(F220="", "", HLOOKUP(C220,'Reference-Crown Royalties'!$D$2:$AB$49,MATCH(P220,'Reference-Crown Royalties'!$A$2:$A$49,1),TRUE))</f>
        <v/>
      </c>
      <c r="S220" s="276" t="str">
        <f>IF(F220="", "", IF(IN_DATA!R204=3, CO2_Royalty_Factor, IF('Economics Summary'!A220&lt;2, IF('Economics Summary'!Q220&lt;60000, 0.05, ((60000*0.05+('Economics Summary'!Q220-60000)*R220)/'Economics Summary'!Q220)),R220)))</f>
        <v/>
      </c>
      <c r="T220" s="255" t="str">
        <f t="shared" si="59"/>
        <v/>
      </c>
      <c r="U220" s="255" t="str">
        <f t="shared" si="60"/>
        <v/>
      </c>
      <c r="V220" s="344" t="str">
        <f t="shared" si="52"/>
        <v/>
      </c>
      <c r="W220" s="258" t="str">
        <f>IF(F220="","",SUM($V$21:V220))</f>
        <v/>
      </c>
      <c r="X220" s="261" t="str">
        <f xml:space="preserve"> IF(OR(F220="",SUM(IN_DATA!$H$5:'IN_DATA'!H204)=0), "", 1-SUM(IN_DATA!$F$5:'IN_DATA'!F204)/SUM(IN_DATA!$H$5:'IN_DATA'!H204))</f>
        <v/>
      </c>
      <c r="Y220" s="272" t="str">
        <f>IF(OR(F220="",SUM(IN_DATA!$H$5:'IN_DATA'!H204)=0),"",365*(SUM(IN_DATA!$H$5:'IN_DATA'!H204)-SUM(IN_DATA!$F$5:'IN_DATA'!F204))/1000)</f>
        <v/>
      </c>
      <c r="Z220" s="369" t="str">
        <f t="shared" si="61"/>
        <v/>
      </c>
      <c r="AA220" s="370" t="str">
        <f t="shared" si="53"/>
        <v/>
      </c>
      <c r="AB220" s="373" t="str">
        <f>IF(F220="", "", IF(IN_DATA!R204=3, MAX(CO2_Royalty_Factor-Z220/10000,0), IF('Economics Summary'!A220&lt;2, IF('Economics Summary'!Q220&lt;60000, 0.05, ((60000*0.05+('Economics Summary'!Q220-60000)*R220)/'Economics Summary'!Q220)),R220)))</f>
        <v/>
      </c>
      <c r="AC220" s="377" t="str">
        <f t="shared" si="62"/>
        <v/>
      </c>
      <c r="AD220" s="378" t="str">
        <f t="shared" si="54"/>
        <v/>
      </c>
    </row>
  </sheetData>
  <mergeCells count="46">
    <mergeCell ref="P9:Q9"/>
    <mergeCell ref="K12:K13"/>
    <mergeCell ref="AA18:AA19"/>
    <mergeCell ref="Z18:Z19"/>
    <mergeCell ref="J5:K5"/>
    <mergeCell ref="Y18:Y19"/>
    <mergeCell ref="W18:W19"/>
    <mergeCell ref="X18:X19"/>
    <mergeCell ref="U18:U19"/>
    <mergeCell ref="V18:V19"/>
    <mergeCell ref="P7:Q7"/>
    <mergeCell ref="S18:S19"/>
    <mergeCell ref="T18:T19"/>
    <mergeCell ref="P18:P19"/>
    <mergeCell ref="Q18:Q19"/>
    <mergeCell ref="R18:R19"/>
    <mergeCell ref="E4:F4"/>
    <mergeCell ref="E6:F6"/>
    <mergeCell ref="E7:F7"/>
    <mergeCell ref="A12:A14"/>
    <mergeCell ref="B12:D12"/>
    <mergeCell ref="E12:E13"/>
    <mergeCell ref="F12:F13"/>
    <mergeCell ref="E5:H5"/>
    <mergeCell ref="H8:H10"/>
    <mergeCell ref="E9:F9"/>
    <mergeCell ref="E10:F10"/>
    <mergeCell ref="E8:F8"/>
    <mergeCell ref="G12:G13"/>
    <mergeCell ref="H12:H13"/>
    <mergeCell ref="AB18:AB19"/>
    <mergeCell ref="AD18:AD19"/>
    <mergeCell ref="AC18:AC19"/>
    <mergeCell ref="A18:B18"/>
    <mergeCell ref="P5:R5"/>
    <mergeCell ref="P6:Q6"/>
    <mergeCell ref="L12:L13"/>
    <mergeCell ref="N18:N19"/>
    <mergeCell ref="O18:O19"/>
    <mergeCell ref="J12:J13"/>
    <mergeCell ref="P8:Q8"/>
    <mergeCell ref="C18:E18"/>
    <mergeCell ref="F18:H18"/>
    <mergeCell ref="I18:K18"/>
    <mergeCell ref="L18:M18"/>
    <mergeCell ref="I12:I13"/>
  </mergeCells>
  <conditionalFormatting sqref="B14">
    <cfRule type="expression" dxfId="8" priority="11" stopIfTrue="1">
      <formula>RiskIsInput</formula>
    </cfRule>
  </conditionalFormatting>
  <conditionalFormatting sqref="M21:M220">
    <cfRule type="beginsWith" dxfId="7" priority="7" operator="beginsWith" text="C">
      <formula>LEFT(M21,LEN("C"))="C"</formula>
    </cfRule>
    <cfRule type="beginsWith" dxfId="6" priority="8" operator="beginsWith" text="W">
      <formula>LEFT(M21,LEN("W"))="W"</formula>
    </cfRule>
    <cfRule type="containsText" dxfId="5" priority="9" operator="containsText" text="P">
      <formula>NOT(ISERROR(SEARCH("P",M21)))</formula>
    </cfRule>
  </conditionalFormatting>
  <conditionalFormatting sqref="X21:Y220">
    <cfRule type="expression" dxfId="4" priority="4">
      <formula>M21="CO2 Flood"</formula>
    </cfRule>
  </conditionalFormatting>
  <conditionalFormatting sqref="Y21:Y220">
    <cfRule type="expression" dxfId="3" priority="2">
      <formula>M21="CO2 Flood"</formula>
    </cfRule>
  </conditionalFormatting>
  <conditionalFormatting sqref="X21:Z220">
    <cfRule type="expression" dxfId="2" priority="3">
      <formula>AND(F21&lt;&gt;"",X21="")</formula>
    </cfRule>
  </conditionalFormatting>
  <conditionalFormatting sqref="Z21:Z220">
    <cfRule type="expression" dxfId="1" priority="1">
      <formula>M21="CO2 Flood"</formula>
    </cfRule>
  </conditionalFormatting>
  <pageMargins left="0.75" right="0.75" top="1" bottom="1" header="0.5" footer="0.5"/>
  <pageSetup orientation="portrait" horizontalDpi="4294967292" verticalDpi="4294967292" r:id="rId1"/>
  <headerFooter alignWithMargins="0"/>
  <ignoredErrors>
    <ignoredError sqref="AB20"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99FFCC"/>
  </sheetPr>
  <dimension ref="A1:AG209"/>
  <sheetViews>
    <sheetView zoomScaleNormal="100" workbookViewId="0">
      <selection activeCell="G10" sqref="G10"/>
    </sheetView>
  </sheetViews>
  <sheetFormatPr defaultColWidth="8.85546875" defaultRowHeight="12.75" x14ac:dyDescent="0.2"/>
  <cols>
    <col min="1" max="1" width="13.140625" customWidth="1"/>
    <col min="2" max="2" width="8.7109375" style="2" customWidth="1"/>
    <col min="3" max="3" width="10.42578125" customWidth="1"/>
    <col min="4" max="4" width="11.28515625" customWidth="1"/>
    <col min="5" max="5" width="5.5703125" style="20" customWidth="1"/>
    <col min="6" max="6" width="12.140625" customWidth="1"/>
    <col min="7" max="7" width="15.140625" customWidth="1"/>
    <col min="8" max="8" width="17" customWidth="1"/>
    <col min="9" max="10" width="18.42578125" customWidth="1"/>
    <col min="11" max="11" width="14.28515625" customWidth="1"/>
    <col min="12" max="12" width="17.42578125" customWidth="1"/>
    <col min="13" max="13" width="14.5703125" style="20" customWidth="1"/>
    <col min="14" max="14" width="18" bestFit="1" customWidth="1"/>
    <col min="15" max="15" width="15" customWidth="1"/>
    <col min="16" max="16" width="16.42578125" customWidth="1"/>
    <col min="17" max="17" width="15.28515625" bestFit="1" customWidth="1"/>
    <col min="18" max="18" width="17.28515625" bestFit="1" customWidth="1"/>
    <col min="19" max="19" width="15.42578125" bestFit="1" customWidth="1"/>
    <col min="20" max="20" width="13.140625" customWidth="1"/>
    <col min="21" max="21" width="14.42578125" customWidth="1"/>
    <col min="22" max="22" width="11.7109375" style="223" customWidth="1"/>
    <col min="23" max="23" width="17.5703125" customWidth="1"/>
    <col min="24" max="24" width="8.28515625" customWidth="1"/>
    <col min="25" max="25" width="8.85546875" bestFit="1" customWidth="1"/>
    <col min="26" max="26" width="10.7109375" bestFit="1" customWidth="1"/>
    <col min="27" max="27" width="10.7109375" customWidth="1"/>
    <col min="28" max="28" width="12" customWidth="1"/>
    <col min="29" max="29" width="13.7109375" customWidth="1"/>
    <col min="30" max="30" width="13.140625" bestFit="1" customWidth="1"/>
    <col min="31" max="31" width="12.7109375" customWidth="1"/>
    <col min="32" max="32" width="9" customWidth="1"/>
  </cols>
  <sheetData>
    <row r="1" spans="1:32" s="20" customFormat="1" ht="13.5" thickBot="1" x14ac:dyDescent="0.25">
      <c r="D1" s="10"/>
      <c r="V1" s="222"/>
    </row>
    <row r="2" spans="1:32" s="20" customFormat="1" ht="13.5" thickBot="1" x14ac:dyDescent="0.25">
      <c r="D2" s="10"/>
      <c r="G2" s="465" t="s">
        <v>22</v>
      </c>
      <c r="H2" s="466"/>
      <c r="V2" s="222"/>
    </row>
    <row r="3" spans="1:32" ht="13.5" thickBot="1" x14ac:dyDescent="0.25">
      <c r="B3"/>
      <c r="G3" s="467" t="s">
        <v>197</v>
      </c>
      <c r="H3" s="468"/>
      <c r="I3" s="477" t="s">
        <v>15</v>
      </c>
      <c r="J3" s="478"/>
      <c r="K3" s="478"/>
      <c r="L3" s="479"/>
      <c r="M3" s="465" t="s">
        <v>16</v>
      </c>
      <c r="N3" s="479"/>
      <c r="O3" s="99" t="s">
        <v>4</v>
      </c>
    </row>
    <row r="4" spans="1:32" ht="13.5" thickBot="1" x14ac:dyDescent="0.25">
      <c r="C4" s="10"/>
      <c r="F4" s="1"/>
      <c r="G4" s="13" t="s">
        <v>23</v>
      </c>
      <c r="H4" s="23" t="s">
        <v>24</v>
      </c>
      <c r="I4" s="26" t="s">
        <v>6</v>
      </c>
      <c r="J4" s="106" t="s">
        <v>8</v>
      </c>
      <c r="K4" s="12" t="s">
        <v>7</v>
      </c>
      <c r="L4" s="150" t="s">
        <v>95</v>
      </c>
      <c r="M4" s="169" t="s">
        <v>95</v>
      </c>
      <c r="N4" s="152" t="s">
        <v>7</v>
      </c>
      <c r="O4" s="123" t="s">
        <v>96</v>
      </c>
      <c r="P4" s="1"/>
    </row>
    <row r="5" spans="1:32" ht="13.5" thickBot="1" x14ac:dyDescent="0.25">
      <c r="A5" s="1" t="str">
        <f>'Economics Summary'!A16</f>
        <v>Start Year</v>
      </c>
      <c r="B5" s="1">
        <v>2012</v>
      </c>
      <c r="F5" s="171" t="s">
        <v>3</v>
      </c>
      <c r="G5" s="215">
        <v>27</v>
      </c>
      <c r="H5" s="216">
        <v>33</v>
      </c>
      <c r="I5" s="27">
        <v>10</v>
      </c>
      <c r="J5" s="121">
        <v>0.25</v>
      </c>
      <c r="K5" s="15">
        <v>1.5</v>
      </c>
      <c r="L5" s="151">
        <v>0.89999997615814209</v>
      </c>
      <c r="M5" s="170">
        <v>4.5</v>
      </c>
      <c r="N5" s="153">
        <v>1.5</v>
      </c>
      <c r="O5" s="122">
        <v>20000</v>
      </c>
      <c r="P5" s="1"/>
      <c r="Q5" s="137"/>
    </row>
    <row r="6" spans="1:32" ht="13.5" thickBot="1" x14ac:dyDescent="0.25">
      <c r="C6" s="475" t="s">
        <v>19</v>
      </c>
      <c r="D6" s="476"/>
    </row>
    <row r="7" spans="1:32" ht="13.5" thickBot="1" x14ac:dyDescent="0.25">
      <c r="B7" s="11" t="s">
        <v>2</v>
      </c>
      <c r="C7" s="29">
        <f>SUM(C10:C50)</f>
        <v>92</v>
      </c>
      <c r="D7" s="29">
        <f>SUM(D10:D50)</f>
        <v>69</v>
      </c>
      <c r="G7" s="477" t="s">
        <v>199</v>
      </c>
      <c r="H7" s="478"/>
      <c r="I7" s="478"/>
      <c r="J7" s="478"/>
      <c r="K7" s="478"/>
      <c r="L7" s="479"/>
      <c r="N7" s="477" t="s">
        <v>198</v>
      </c>
      <c r="O7" s="478"/>
      <c r="P7" s="478"/>
      <c r="Q7" s="478"/>
      <c r="R7" s="478"/>
      <c r="S7" s="478"/>
      <c r="T7" s="478"/>
      <c r="U7" s="479"/>
      <c r="V7" s="478" t="s">
        <v>110</v>
      </c>
      <c r="W7" s="478"/>
      <c r="X7" s="478"/>
      <c r="Y7" s="478"/>
      <c r="Z7" s="478"/>
      <c r="AA7" s="478"/>
      <c r="AB7" s="478"/>
      <c r="AC7" s="478"/>
      <c r="AD7" s="478"/>
      <c r="AE7" s="479"/>
    </row>
    <row r="8" spans="1:32" ht="17.25" customHeight="1" thickBot="1" x14ac:dyDescent="0.25">
      <c r="A8" s="7" t="s">
        <v>0</v>
      </c>
      <c r="B8" s="469" t="s">
        <v>0</v>
      </c>
      <c r="C8" s="471"/>
      <c r="D8" s="472"/>
      <c r="F8" s="179"/>
      <c r="G8" s="423" t="s">
        <v>12</v>
      </c>
      <c r="H8" s="423" t="s">
        <v>14</v>
      </c>
      <c r="I8" s="423" t="s">
        <v>13</v>
      </c>
      <c r="J8" s="423" t="s">
        <v>98</v>
      </c>
      <c r="K8" s="423" t="s">
        <v>97</v>
      </c>
      <c r="L8" s="423" t="s">
        <v>127</v>
      </c>
      <c r="M8" s="154"/>
      <c r="N8" s="480" t="s">
        <v>25</v>
      </c>
      <c r="O8" s="482" t="s">
        <v>26</v>
      </c>
      <c r="P8" s="22" t="s">
        <v>133</v>
      </c>
      <c r="Q8" s="22" t="s">
        <v>134</v>
      </c>
      <c r="R8" s="22" t="s">
        <v>135</v>
      </c>
      <c r="S8" s="22" t="s">
        <v>136</v>
      </c>
      <c r="T8" s="22" t="s">
        <v>99</v>
      </c>
      <c r="U8" s="218" t="s">
        <v>17</v>
      </c>
      <c r="V8" s="217" t="s">
        <v>21</v>
      </c>
      <c r="W8" s="14" t="s">
        <v>20</v>
      </c>
      <c r="X8" s="14" t="s">
        <v>10</v>
      </c>
      <c r="Y8" s="14" t="s">
        <v>11</v>
      </c>
      <c r="Z8" s="14" t="s">
        <v>9</v>
      </c>
      <c r="AA8" s="14" t="s">
        <v>100</v>
      </c>
      <c r="AB8" s="14" t="s">
        <v>101</v>
      </c>
      <c r="AC8" s="14" t="s">
        <v>18</v>
      </c>
      <c r="AD8" s="226" t="s">
        <v>63</v>
      </c>
      <c r="AE8" s="229" t="s">
        <v>4</v>
      </c>
    </row>
    <row r="9" spans="1:32" s="17" customFormat="1" ht="18.95" customHeight="1" thickBot="1" x14ac:dyDescent="0.25">
      <c r="A9" s="18" t="s">
        <v>1</v>
      </c>
      <c r="B9" s="470"/>
      <c r="C9" s="473"/>
      <c r="D9" s="474"/>
      <c r="E9" s="20"/>
      <c r="F9" s="180" t="s">
        <v>0</v>
      </c>
      <c r="G9" s="424"/>
      <c r="H9" s="424"/>
      <c r="I9" s="424"/>
      <c r="J9" s="424"/>
      <c r="K9" s="424"/>
      <c r="L9" s="424"/>
      <c r="M9" s="154"/>
      <c r="N9" s="481"/>
      <c r="O9" s="483"/>
      <c r="P9" s="19" t="s">
        <v>92</v>
      </c>
      <c r="Q9" s="19" t="s">
        <v>93</v>
      </c>
      <c r="R9" s="19" t="s">
        <v>92</v>
      </c>
      <c r="S9" s="19" t="s">
        <v>93</v>
      </c>
      <c r="T9" s="19" t="s">
        <v>93</v>
      </c>
      <c r="U9" s="219" t="s">
        <v>92</v>
      </c>
      <c r="V9" s="221" t="s">
        <v>94</v>
      </c>
      <c r="W9" s="19" t="s">
        <v>94</v>
      </c>
      <c r="X9" s="19" t="s">
        <v>94</v>
      </c>
      <c r="Y9" s="19" t="s">
        <v>94</v>
      </c>
      <c r="Z9" s="19" t="s">
        <v>94</v>
      </c>
      <c r="AA9" s="19" t="s">
        <v>94</v>
      </c>
      <c r="AB9" s="19" t="s">
        <v>94</v>
      </c>
      <c r="AC9" s="19" t="s">
        <v>94</v>
      </c>
      <c r="AD9" s="227" t="s">
        <v>94</v>
      </c>
      <c r="AE9" s="230" t="s">
        <v>62</v>
      </c>
      <c r="AF9"/>
    </row>
    <row r="10" spans="1:32" x14ac:dyDescent="0.2">
      <c r="A10" s="16">
        <v>0</v>
      </c>
      <c r="B10" s="30">
        <f>A10+$B$5</f>
        <v>2012</v>
      </c>
      <c r="C10" s="157">
        <f>IN_DATA!P5</f>
        <v>4</v>
      </c>
      <c r="D10" s="156">
        <f>IN_DATA!Q5</f>
        <v>3</v>
      </c>
      <c r="F10" s="16">
        <f t="shared" ref="F10:F50" si="0">B10</f>
        <v>2012</v>
      </c>
      <c r="G10" s="24">
        <f>IF(C10="","",IN_DATA!C5*OCF*FPF)</f>
        <v>298.0069840691686</v>
      </c>
      <c r="H10" s="24">
        <f>IF(C10="","",IN_DATA!D5*OCF*FPF)</f>
        <v>175.97837534515142</v>
      </c>
      <c r="I10" s="24">
        <f>IF(C10="","",IN_DATA!E5)</f>
        <v>1411.8810000000001</v>
      </c>
      <c r="J10" s="24">
        <f>IF(C10="","",IN_DATA!F5)</f>
        <v>612.37329999999997</v>
      </c>
      <c r="K10" s="24">
        <f>IF(C10="","",IN_DATA!H5)</f>
        <v>2639.12</v>
      </c>
      <c r="L10" s="155">
        <f>IF(C10="","",IN_DATA!G5)</f>
        <v>1013.3</v>
      </c>
      <c r="M10" s="154"/>
      <c r="N10" s="220">
        <f>IF(C10="","",IN_DATA!P5)</f>
        <v>4</v>
      </c>
      <c r="O10" s="36">
        <f>IF(C10="","",IN_DATA!Q5)</f>
        <v>3</v>
      </c>
      <c r="P10" s="25">
        <f>IF(C10="","",365*G10/1000)</f>
        <v>108.77254918524653</v>
      </c>
      <c r="Q10" s="25">
        <f>IF(C10="","",365*H10/1000)</f>
        <v>64.232107000980278</v>
      </c>
      <c r="R10" s="25">
        <f>IF(C10="","",365*I10/1000)</f>
        <v>515.33656499999995</v>
      </c>
      <c r="S10" s="25">
        <f>IF(C10="","",365*J10/1000)</f>
        <v>223.51625449999997</v>
      </c>
      <c r="T10" s="25">
        <f>IF(C10="","",365*K10/1000)</f>
        <v>963.27879999999993</v>
      </c>
      <c r="U10" s="72">
        <f>IF(C10="","",365*L10/1000)</f>
        <v>369.85449999999997</v>
      </c>
      <c r="V10" s="224">
        <f>IF(C10="","",IF(IN_DATA!R5=3, IF(IN_DATA!$L$4=5, 250, 375), 0))</f>
        <v>375</v>
      </c>
      <c r="W10" s="97">
        <f>IF(C10="","",(G$5*N10+H$5*O10))</f>
        <v>207</v>
      </c>
      <c r="X10" s="97">
        <f>IF(C10="","",I$5*P10)</f>
        <v>1087.7254918524654</v>
      </c>
      <c r="Y10" s="97">
        <f>IF(C10="","",J$5*Q10)</f>
        <v>16.05802675024507</v>
      </c>
      <c r="Z10" s="97">
        <f>IF(C10="","",K$5*R10)</f>
        <v>773.00484749999987</v>
      </c>
      <c r="AA10" s="97">
        <f>IF(C10="","",L$5*S10)</f>
        <v>201.1646237209572</v>
      </c>
      <c r="AB10" s="97">
        <f>IF(C10="","",M$5*T10)</f>
        <v>4334.7545999999993</v>
      </c>
      <c r="AC10" s="97">
        <f>IF(C10="","",N$5*U10)</f>
        <v>554.78174999999999</v>
      </c>
      <c r="AD10" s="228">
        <f>IF(C10="","", SUM(V10:AC10))</f>
        <v>7549.4893398236673</v>
      </c>
      <c r="AE10" s="265">
        <f>IF(C10="","",IF(AD10/(P10+Q10/10)&gt;$O$5,"",AD10/(P10+Q10/10)))</f>
        <v>65.536173790925517</v>
      </c>
      <c r="AF10" s="225" t="str">
        <f>IF(OR(Q10=0,AF9=""), "", IF(AE10/(Q10+R10/10)&gt;$O$5, "", AD10/(Q10+R10/10)))</f>
        <v/>
      </c>
    </row>
    <row r="11" spans="1:32" x14ac:dyDescent="0.2">
      <c r="A11" s="4">
        <v>1</v>
      </c>
      <c r="B11" s="31">
        <f t="shared" ref="B11:B50" si="1">A11+$B$5</f>
        <v>2013</v>
      </c>
      <c r="C11" s="158">
        <f>IN_DATA!P6</f>
        <v>4</v>
      </c>
      <c r="D11" s="33">
        <f>IN_DATA!Q6</f>
        <v>3</v>
      </c>
      <c r="F11" s="4">
        <f t="shared" si="0"/>
        <v>2013</v>
      </c>
      <c r="G11" s="24">
        <f>IF(C11="","",IN_DATA!C6*OCF*FPF)</f>
        <v>372.43113373930692</v>
      </c>
      <c r="H11" s="24">
        <f>IF(C11="","",IN_DATA!D6*OCF*FPF)</f>
        <v>220.50270811200861</v>
      </c>
      <c r="I11" s="24">
        <f>IF(C11="","",IN_DATA!E6)</f>
        <v>1239.173</v>
      </c>
      <c r="J11" s="24">
        <f>IF(C11="","",IN_DATA!F6)</f>
        <v>1085.7059999999999</v>
      </c>
      <c r="K11" s="24">
        <f>IF(C11="","",IN_DATA!H6)</f>
        <v>2655.576</v>
      </c>
      <c r="L11" s="155">
        <f>IF(C11="","",IN_DATA!G6)</f>
        <v>1035.6389999999999</v>
      </c>
      <c r="M11" s="154"/>
      <c r="N11" s="220">
        <f>IF(C11="","",IN_DATA!P6)</f>
        <v>4</v>
      </c>
      <c r="O11" s="112">
        <f>IF(C11="","",IN_DATA!Q6)</f>
        <v>3</v>
      </c>
      <c r="P11" s="25">
        <f t="shared" ref="P11:P74" si="2">IF(C11="","",365*G11/1000)</f>
        <v>135.93736381484703</v>
      </c>
      <c r="Q11" s="25">
        <f t="shared" ref="Q11:Q74" si="3">IF(C11="","",365*H11/1000)</f>
        <v>80.483488460883137</v>
      </c>
      <c r="R11" s="25">
        <f t="shared" ref="R11:R74" si="4">IF(C11="","",365*I11/1000)</f>
        <v>452.29814500000003</v>
      </c>
      <c r="S11" s="25">
        <f t="shared" ref="S11:S74" si="5">IF(C11="","",365*J11/1000)</f>
        <v>396.28268999999995</v>
      </c>
      <c r="T11" s="25">
        <f t="shared" ref="T11:T74" si="6">IF(C11="","",365*K11/1000)</f>
        <v>969.28524000000004</v>
      </c>
      <c r="U11" s="72">
        <f t="shared" ref="U11:U74" si="7">IF(C11="","",365*L11/1000)</f>
        <v>378.00823500000001</v>
      </c>
      <c r="V11" s="224">
        <f>IF(C11="","",IF(IN_DATA!R6=3, IF(IN_DATA!$L$4=5, 250, 375), 0))</f>
        <v>375</v>
      </c>
      <c r="W11" s="97">
        <f t="shared" ref="W11:W74" si="8">IF(C11="","",(G$5*N11+H$5*O11))</f>
        <v>207</v>
      </c>
      <c r="X11" s="97">
        <f t="shared" ref="X11:X74" si="9">IF(C11="","",I$5*P11)</f>
        <v>1359.3736381484703</v>
      </c>
      <c r="Y11" s="97">
        <f t="shared" ref="Y11:Y74" si="10">IF(C11="","",J$5*Q11)</f>
        <v>20.120872115220784</v>
      </c>
      <c r="Z11" s="97">
        <f t="shared" ref="Z11:Z74" si="11">IF(C11="","",K$5*R11)</f>
        <v>678.44721750000008</v>
      </c>
      <c r="AA11" s="97">
        <f t="shared" ref="AA11:AA74" si="12">IF(C11="","",L$5*S11)</f>
        <v>356.65441155188438</v>
      </c>
      <c r="AB11" s="97">
        <f t="shared" ref="AB11:AB74" si="13">IF(C11="","",M$5*T11)</f>
        <v>4361.7835800000003</v>
      </c>
      <c r="AC11" s="97">
        <f t="shared" ref="AC11:AC74" si="14">IF(C11="","",N$5*U11)</f>
        <v>567.01235250000002</v>
      </c>
      <c r="AD11" s="228">
        <f t="shared" ref="AD11:AD74" si="15">IF(C11="","", SUM(V11:AC11))</f>
        <v>7925.3920718155759</v>
      </c>
      <c r="AE11" s="266">
        <f t="shared" ref="AE11:AE74" si="16">IF(C11="","",IF(AD11/(P11+Q11/10)&gt;$O$5,"",AD11/(P11+Q11/10)))</f>
        <v>55.042906169993962</v>
      </c>
    </row>
    <row r="12" spans="1:32" x14ac:dyDescent="0.2">
      <c r="A12" s="4">
        <v>2</v>
      </c>
      <c r="B12" s="31">
        <f t="shared" si="1"/>
        <v>2014</v>
      </c>
      <c r="C12" s="158">
        <f>IN_DATA!P7</f>
        <v>4</v>
      </c>
      <c r="D12" s="33">
        <f>IN_DATA!Q7</f>
        <v>3</v>
      </c>
      <c r="F12" s="4">
        <f t="shared" si="0"/>
        <v>2014</v>
      </c>
      <c r="G12" s="24">
        <f>IF(C12="","",IN_DATA!C7*OCF*FPF)</f>
        <v>370.85111899726155</v>
      </c>
      <c r="H12" s="24">
        <f>IF(C12="","",IN_DATA!D7*OCF*FPF)</f>
        <v>218.72749837712291</v>
      </c>
      <c r="I12" s="24">
        <f>IF(C12="","",IN_DATA!E7)</f>
        <v>1144.729</v>
      </c>
      <c r="J12" s="24">
        <f>IF(C12="","",IN_DATA!F7)</f>
        <v>1473.6420000000001</v>
      </c>
      <c r="K12" s="24">
        <f>IF(C12="","",IN_DATA!H7)</f>
        <v>2678.6489999999999</v>
      </c>
      <c r="L12" s="155">
        <f>IF(C12="","",IN_DATA!G7)</f>
        <v>1055.135</v>
      </c>
      <c r="M12" s="154"/>
      <c r="N12" s="220">
        <f>IF(C12="","",IN_DATA!P7)</f>
        <v>4</v>
      </c>
      <c r="O12" s="112">
        <f>IF(C12="","",IN_DATA!Q7)</f>
        <v>3</v>
      </c>
      <c r="P12" s="25">
        <f t="shared" si="2"/>
        <v>135.36065843400047</v>
      </c>
      <c r="Q12" s="25">
        <f t="shared" si="3"/>
        <v>79.835536907649868</v>
      </c>
      <c r="R12" s="25">
        <f t="shared" si="4"/>
        <v>417.82608500000003</v>
      </c>
      <c r="S12" s="25">
        <f t="shared" si="5"/>
        <v>537.8793300000001</v>
      </c>
      <c r="T12" s="25">
        <f t="shared" si="6"/>
        <v>977.70688500000006</v>
      </c>
      <c r="U12" s="72">
        <f t="shared" si="7"/>
        <v>385.12427500000001</v>
      </c>
      <c r="V12" s="224">
        <f>IF(C12="","",IF(IN_DATA!R7=3, IF(IN_DATA!$L$4=5, 250, 375), 0))</f>
        <v>375</v>
      </c>
      <c r="W12" s="97">
        <f t="shared" si="8"/>
        <v>207</v>
      </c>
      <c r="X12" s="97">
        <f t="shared" si="9"/>
        <v>1353.6065843400047</v>
      </c>
      <c r="Y12" s="97">
        <f t="shared" si="10"/>
        <v>19.958884226912467</v>
      </c>
      <c r="Z12" s="97">
        <f t="shared" si="11"/>
        <v>626.7391275</v>
      </c>
      <c r="AA12" s="97">
        <f t="shared" si="12"/>
        <v>484.0913841759575</v>
      </c>
      <c r="AB12" s="97">
        <f t="shared" si="13"/>
        <v>4399.6809825</v>
      </c>
      <c r="AC12" s="97">
        <f t="shared" si="14"/>
        <v>577.68641249999996</v>
      </c>
      <c r="AD12" s="228">
        <f t="shared" si="15"/>
        <v>8043.7633752428746</v>
      </c>
      <c r="AE12" s="266">
        <f t="shared" si="16"/>
        <v>56.115020313772135</v>
      </c>
    </row>
    <row r="13" spans="1:32" x14ac:dyDescent="0.2">
      <c r="A13" s="4">
        <v>3</v>
      </c>
      <c r="B13" s="31">
        <f t="shared" si="1"/>
        <v>2015</v>
      </c>
      <c r="C13" s="158">
        <f>IN_DATA!P8</f>
        <v>4</v>
      </c>
      <c r="D13" s="33">
        <f>IN_DATA!Q8</f>
        <v>3</v>
      </c>
      <c r="F13" s="4">
        <f t="shared" si="0"/>
        <v>2015</v>
      </c>
      <c r="G13" s="24">
        <f>IF(C13="","",IN_DATA!C8*OCF*FPF)</f>
        <v>337.33700062655214</v>
      </c>
      <c r="H13" s="24">
        <f>IF(C13="","",IN_DATA!D8*OCF*FPF)</f>
        <v>199.45450248405217</v>
      </c>
      <c r="I13" s="24">
        <f>IF(C13="","",IN_DATA!E8)</f>
        <v>1105.3320000000001</v>
      </c>
      <c r="J13" s="24">
        <f>IF(C13="","",IN_DATA!F8)</f>
        <v>1757.2950000000001</v>
      </c>
      <c r="K13" s="24">
        <f>IF(C13="","",IN_DATA!H8)</f>
        <v>2703.16</v>
      </c>
      <c r="L13" s="155">
        <f>IF(C13="","",IN_DATA!G8)</f>
        <v>1074.691</v>
      </c>
      <c r="M13" s="154"/>
      <c r="N13" s="220">
        <f>IF(C13="","",IN_DATA!P8)</f>
        <v>4</v>
      </c>
      <c r="O13" s="112">
        <f>IF(C13="","",IN_DATA!Q8)</f>
        <v>3</v>
      </c>
      <c r="P13" s="25">
        <f t="shared" si="2"/>
        <v>123.12800522869153</v>
      </c>
      <c r="Q13" s="25">
        <f t="shared" si="3"/>
        <v>72.800893406679037</v>
      </c>
      <c r="R13" s="25">
        <f t="shared" si="4"/>
        <v>403.44618000000003</v>
      </c>
      <c r="S13" s="25">
        <f t="shared" si="5"/>
        <v>641.41267500000004</v>
      </c>
      <c r="T13" s="25">
        <f t="shared" si="6"/>
        <v>986.65339999999992</v>
      </c>
      <c r="U13" s="72">
        <f t="shared" si="7"/>
        <v>392.26221500000003</v>
      </c>
      <c r="V13" s="224">
        <f>IF(C13="","",IF(IN_DATA!R8=3, IF(IN_DATA!$L$4=5, 250, 375), 0))</f>
        <v>375</v>
      </c>
      <c r="W13" s="97">
        <f t="shared" si="8"/>
        <v>207</v>
      </c>
      <c r="X13" s="97">
        <f t="shared" si="9"/>
        <v>1231.2800522869154</v>
      </c>
      <c r="Y13" s="97">
        <f t="shared" si="10"/>
        <v>18.200223351669759</v>
      </c>
      <c r="Z13" s="97">
        <f t="shared" si="11"/>
        <v>605.1692700000001</v>
      </c>
      <c r="AA13" s="97">
        <f t="shared" si="12"/>
        <v>577.2713922075302</v>
      </c>
      <c r="AB13" s="97">
        <f t="shared" si="13"/>
        <v>4439.9402999999993</v>
      </c>
      <c r="AC13" s="97">
        <f t="shared" si="14"/>
        <v>588.39332250000007</v>
      </c>
      <c r="AD13" s="228">
        <f t="shared" si="15"/>
        <v>8042.2545603461149</v>
      </c>
      <c r="AE13" s="266">
        <f t="shared" si="16"/>
        <v>61.669903136792826</v>
      </c>
    </row>
    <row r="14" spans="1:32" x14ac:dyDescent="0.2">
      <c r="A14" s="4">
        <v>4</v>
      </c>
      <c r="B14" s="31">
        <f t="shared" si="1"/>
        <v>2016</v>
      </c>
      <c r="C14" s="158">
        <f>IN_DATA!P9</f>
        <v>4</v>
      </c>
      <c r="D14" s="33">
        <f>IN_DATA!Q9</f>
        <v>3</v>
      </c>
      <c r="F14" s="4">
        <f t="shared" si="0"/>
        <v>2016</v>
      </c>
      <c r="G14" s="24">
        <f>IF(C14="","",IN_DATA!C9*OCF*FPF)</f>
        <v>308.01333850213769</v>
      </c>
      <c r="H14" s="24">
        <f>IF(C14="","",IN_DATA!D9*OCF*FPF)</f>
        <v>182.00518552408934</v>
      </c>
      <c r="I14" s="24">
        <f>IF(C14="","",IN_DATA!E9)</f>
        <v>1086.3820000000001</v>
      </c>
      <c r="J14" s="24">
        <f>IF(C14="","",IN_DATA!F9)</f>
        <v>1921.3230000000001</v>
      </c>
      <c r="K14" s="24">
        <f>IF(C14="","",IN_DATA!H9)</f>
        <v>2742.808</v>
      </c>
      <c r="L14" s="155">
        <f>IF(C14="","",IN_DATA!G9)</f>
        <v>1091.425</v>
      </c>
      <c r="M14" s="154"/>
      <c r="N14" s="220">
        <f>IF(C14="","",IN_DATA!P9)</f>
        <v>4</v>
      </c>
      <c r="O14" s="112">
        <f>IF(C14="","",IN_DATA!Q9)</f>
        <v>3</v>
      </c>
      <c r="P14" s="25">
        <f t="shared" si="2"/>
        <v>112.42486855328025</v>
      </c>
      <c r="Q14" s="25">
        <f t="shared" si="3"/>
        <v>66.431892716292609</v>
      </c>
      <c r="R14" s="25">
        <f t="shared" si="4"/>
        <v>396.52943000000005</v>
      </c>
      <c r="S14" s="25">
        <f t="shared" si="5"/>
        <v>701.28289500000005</v>
      </c>
      <c r="T14" s="25">
        <f t="shared" si="6"/>
        <v>1001.1249200000001</v>
      </c>
      <c r="U14" s="72">
        <f t="shared" si="7"/>
        <v>398.37012499999997</v>
      </c>
      <c r="V14" s="224">
        <f>IF(C14="","",IF(IN_DATA!R9=3, IF(IN_DATA!$L$4=5, 250, 375), 0))</f>
        <v>375</v>
      </c>
      <c r="W14" s="97">
        <f t="shared" si="8"/>
        <v>207</v>
      </c>
      <c r="X14" s="97">
        <f t="shared" si="9"/>
        <v>1124.2486855328025</v>
      </c>
      <c r="Y14" s="97">
        <f t="shared" si="10"/>
        <v>16.607973179073152</v>
      </c>
      <c r="Z14" s="97">
        <f t="shared" si="11"/>
        <v>594.79414500000007</v>
      </c>
      <c r="AA14" s="97">
        <f t="shared" si="12"/>
        <v>631.15458878011293</v>
      </c>
      <c r="AB14" s="97">
        <f t="shared" si="13"/>
        <v>4505.06214</v>
      </c>
      <c r="AC14" s="97">
        <f t="shared" si="14"/>
        <v>597.55518749999999</v>
      </c>
      <c r="AD14" s="228">
        <f t="shared" si="15"/>
        <v>8051.4227199919887</v>
      </c>
      <c r="AE14" s="266">
        <f t="shared" si="16"/>
        <v>67.620341400307936</v>
      </c>
    </row>
    <row r="15" spans="1:32" x14ac:dyDescent="0.2">
      <c r="A15" s="4">
        <v>5</v>
      </c>
      <c r="B15" s="31">
        <f t="shared" si="1"/>
        <v>2017</v>
      </c>
      <c r="C15" s="158">
        <f>IN_DATA!P10</f>
        <v>4</v>
      </c>
      <c r="D15" s="33">
        <f>IN_DATA!Q10</f>
        <v>3</v>
      </c>
      <c r="F15" s="4">
        <f t="shared" si="0"/>
        <v>2017</v>
      </c>
      <c r="G15" s="24">
        <f>IF(C15="","",IN_DATA!C10*OCF*FPF)</f>
        <v>293.1051054489684</v>
      </c>
      <c r="H15" s="24">
        <f>IF(C15="","",IN_DATA!D10*OCF*FPF)</f>
        <v>172.43424267514948</v>
      </c>
      <c r="I15" s="24">
        <f>IF(C15="","",IN_DATA!E10)</f>
        <v>1077.491</v>
      </c>
      <c r="J15" s="24">
        <f>IF(C15="","",IN_DATA!F10)</f>
        <v>2041.816</v>
      </c>
      <c r="K15" s="24">
        <f>IF(C15="","",IN_DATA!H10)</f>
        <v>2776.4569999999999</v>
      </c>
      <c r="L15" s="155">
        <f>IF(C15="","",IN_DATA!G10)</f>
        <v>1114.2629999999999</v>
      </c>
      <c r="M15" s="154"/>
      <c r="N15" s="220">
        <f>IF(C15="","",IN_DATA!P10)</f>
        <v>4</v>
      </c>
      <c r="O15" s="112">
        <f>IF(C15="","",IN_DATA!Q10)</f>
        <v>3</v>
      </c>
      <c r="P15" s="25">
        <f t="shared" si="2"/>
        <v>106.98336348887347</v>
      </c>
      <c r="Q15" s="25">
        <f t="shared" si="3"/>
        <v>62.938498576429559</v>
      </c>
      <c r="R15" s="25">
        <f t="shared" si="4"/>
        <v>393.28421499999996</v>
      </c>
      <c r="S15" s="25">
        <f t="shared" si="5"/>
        <v>745.26283999999998</v>
      </c>
      <c r="T15" s="25">
        <f t="shared" si="6"/>
        <v>1013.406805</v>
      </c>
      <c r="U15" s="72">
        <f t="shared" si="7"/>
        <v>406.70599499999997</v>
      </c>
      <c r="V15" s="224">
        <f>IF(C15="","",IF(IN_DATA!R10=3, IF(IN_DATA!$L$4=5, 250, 375), 0))</f>
        <v>375</v>
      </c>
      <c r="W15" s="97">
        <f t="shared" si="8"/>
        <v>207</v>
      </c>
      <c r="X15" s="97">
        <f t="shared" si="9"/>
        <v>1069.8336348887347</v>
      </c>
      <c r="Y15" s="97">
        <f t="shared" si="10"/>
        <v>15.73462464410739</v>
      </c>
      <c r="Z15" s="97">
        <f t="shared" si="11"/>
        <v>589.92632249999997</v>
      </c>
      <c r="AA15" s="97">
        <f t="shared" si="12"/>
        <v>670.73653823154928</v>
      </c>
      <c r="AB15" s="97">
        <f t="shared" si="13"/>
        <v>4560.3306224999997</v>
      </c>
      <c r="AC15" s="97">
        <f t="shared" si="14"/>
        <v>610.05899249999993</v>
      </c>
      <c r="AD15" s="228">
        <f t="shared" si="15"/>
        <v>8098.6207352643905</v>
      </c>
      <c r="AE15" s="266">
        <f t="shared" si="16"/>
        <v>71.493820301622421</v>
      </c>
    </row>
    <row r="16" spans="1:32" x14ac:dyDescent="0.2">
      <c r="A16" s="4">
        <v>6</v>
      </c>
      <c r="B16" s="31">
        <f t="shared" si="1"/>
        <v>2018</v>
      </c>
      <c r="C16" s="158">
        <f>IN_DATA!P11</f>
        <v>4</v>
      </c>
      <c r="D16" s="33">
        <f>IN_DATA!Q11</f>
        <v>3</v>
      </c>
      <c r="F16" s="4">
        <f t="shared" si="0"/>
        <v>2018</v>
      </c>
      <c r="G16" s="24">
        <f>IF(C16="","",IN_DATA!C11*OCF*FPF)</f>
        <v>280.14669292428016</v>
      </c>
      <c r="H16" s="24">
        <f>IF(C16="","",IN_DATA!D11*OCF*FPF)</f>
        <v>164.42982836874964</v>
      </c>
      <c r="I16" s="24">
        <f>IF(C16="","",IN_DATA!E11)</f>
        <v>1082.0519999999999</v>
      </c>
      <c r="J16" s="24">
        <f>IF(C16="","",IN_DATA!F11)</f>
        <v>2158.6959999999999</v>
      </c>
      <c r="K16" s="24">
        <f>IF(C16="","",IN_DATA!H11)</f>
        <v>2822.2919999999999</v>
      </c>
      <c r="L16" s="155">
        <f>IF(C16="","",IN_DATA!G11)</f>
        <v>1134.126</v>
      </c>
      <c r="M16" s="154"/>
      <c r="N16" s="220">
        <f>IF(C16="","",IN_DATA!P11)</f>
        <v>4</v>
      </c>
      <c r="O16" s="112">
        <f>IF(C16="","",IN_DATA!Q11)</f>
        <v>3</v>
      </c>
      <c r="P16" s="25">
        <f t="shared" si="2"/>
        <v>102.25354291736225</v>
      </c>
      <c r="Q16" s="25">
        <f t="shared" si="3"/>
        <v>60.016887354593614</v>
      </c>
      <c r="R16" s="25">
        <f t="shared" si="4"/>
        <v>394.94898000000001</v>
      </c>
      <c r="S16" s="25">
        <f t="shared" si="5"/>
        <v>787.92403999999988</v>
      </c>
      <c r="T16" s="25">
        <f t="shared" si="6"/>
        <v>1030.1365799999999</v>
      </c>
      <c r="U16" s="72">
        <f t="shared" si="7"/>
        <v>413.95598999999999</v>
      </c>
      <c r="V16" s="224">
        <f>IF(C16="","",IF(IN_DATA!R11=3, IF(IN_DATA!$L$4=5, 250, 375), 0))</f>
        <v>375</v>
      </c>
      <c r="W16" s="97">
        <f t="shared" si="8"/>
        <v>207</v>
      </c>
      <c r="X16" s="97">
        <f t="shared" si="9"/>
        <v>1022.5354291736226</v>
      </c>
      <c r="Y16" s="97">
        <f t="shared" si="10"/>
        <v>15.004221838648403</v>
      </c>
      <c r="Z16" s="97">
        <f t="shared" si="11"/>
        <v>592.42346999999995</v>
      </c>
      <c r="AA16" s="97">
        <f t="shared" si="12"/>
        <v>709.13161721442691</v>
      </c>
      <c r="AB16" s="97">
        <f t="shared" si="13"/>
        <v>4635.6146099999996</v>
      </c>
      <c r="AC16" s="97">
        <f t="shared" si="14"/>
        <v>620.93398500000001</v>
      </c>
      <c r="AD16" s="228">
        <f t="shared" si="15"/>
        <v>8177.643333226697</v>
      </c>
      <c r="AE16" s="266">
        <f t="shared" si="16"/>
        <v>75.540398448849942</v>
      </c>
    </row>
    <row r="17" spans="1:31" x14ac:dyDescent="0.2">
      <c r="A17" s="4">
        <v>7</v>
      </c>
      <c r="B17" s="31">
        <f t="shared" si="1"/>
        <v>2019</v>
      </c>
      <c r="C17" s="158">
        <f>IN_DATA!P12</f>
        <v>4</v>
      </c>
      <c r="D17" s="33">
        <f>IN_DATA!Q12</f>
        <v>3</v>
      </c>
      <c r="F17" s="4">
        <f t="shared" si="0"/>
        <v>2019</v>
      </c>
      <c r="G17" s="24">
        <f>IF(C17="","",IN_DATA!C12*OCF*FPF)</f>
        <v>268.21972116175891</v>
      </c>
      <c r="H17" s="24">
        <f>IF(C17="","",IN_DATA!D12*OCF*FPF)</f>
        <v>157.11868583692075</v>
      </c>
      <c r="I17" s="24">
        <f>IF(C17="","",IN_DATA!E12)</f>
        <v>1090.296</v>
      </c>
      <c r="J17" s="24">
        <f>IF(C17="","",IN_DATA!F12)</f>
        <v>2273.6640000000002</v>
      </c>
      <c r="K17" s="24">
        <f>IF(C17="","",IN_DATA!H12)</f>
        <v>2868.6979999999999</v>
      </c>
      <c r="L17" s="155">
        <f>IF(C17="","",IN_DATA!G12)</f>
        <v>1153.992</v>
      </c>
      <c r="M17" s="154"/>
      <c r="N17" s="220">
        <f>IF(C17="","",IN_DATA!P12)</f>
        <v>4</v>
      </c>
      <c r="O17" s="112">
        <f>IF(C17="","",IN_DATA!Q12)</f>
        <v>3</v>
      </c>
      <c r="P17" s="25">
        <f t="shared" si="2"/>
        <v>97.900198224042001</v>
      </c>
      <c r="Q17" s="25">
        <f t="shared" si="3"/>
        <v>57.348320330476078</v>
      </c>
      <c r="R17" s="25">
        <f t="shared" si="4"/>
        <v>397.95804000000004</v>
      </c>
      <c r="S17" s="25">
        <f t="shared" si="5"/>
        <v>829.88736000000006</v>
      </c>
      <c r="T17" s="25">
        <f t="shared" si="6"/>
        <v>1047.0747699999999</v>
      </c>
      <c r="U17" s="72">
        <f t="shared" si="7"/>
        <v>421.20707999999996</v>
      </c>
      <c r="V17" s="224">
        <f>IF(C17="","",IF(IN_DATA!R12=3, IF(IN_DATA!$L$4=5, 250, 375), 0))</f>
        <v>375</v>
      </c>
      <c r="W17" s="97">
        <f t="shared" si="8"/>
        <v>207</v>
      </c>
      <c r="X17" s="97">
        <f t="shared" si="9"/>
        <v>979.00198224042003</v>
      </c>
      <c r="Y17" s="97">
        <f t="shared" si="10"/>
        <v>14.337080082619019</v>
      </c>
      <c r="Z17" s="97">
        <f t="shared" si="11"/>
        <v>596.93706000000009</v>
      </c>
      <c r="AA17" s="97">
        <f t="shared" si="12"/>
        <v>746.89860421394349</v>
      </c>
      <c r="AB17" s="97">
        <f t="shared" si="13"/>
        <v>4711.8364649999994</v>
      </c>
      <c r="AC17" s="97">
        <f t="shared" si="14"/>
        <v>631.81061999999997</v>
      </c>
      <c r="AD17" s="228">
        <f t="shared" si="15"/>
        <v>8262.8218115369818</v>
      </c>
      <c r="AE17" s="266">
        <f t="shared" si="16"/>
        <v>79.730008193554099</v>
      </c>
    </row>
    <row r="18" spans="1:31" x14ac:dyDescent="0.2">
      <c r="A18" s="4">
        <v>8</v>
      </c>
      <c r="B18" s="31">
        <f t="shared" si="1"/>
        <v>2020</v>
      </c>
      <c r="C18" s="158">
        <f>IN_DATA!P13</f>
        <v>4</v>
      </c>
      <c r="D18" s="33">
        <f>IN_DATA!Q13</f>
        <v>3</v>
      </c>
      <c r="F18" s="4">
        <f t="shared" si="0"/>
        <v>2020</v>
      </c>
      <c r="G18" s="24">
        <f>IF(C18="","",IN_DATA!C13*OCF*FPF)</f>
        <v>253.06893931748633</v>
      </c>
      <c r="H18" s="24">
        <f>IF(C18="","",IN_DATA!D13*OCF*FPF)</f>
        <v>148.50718975278852</v>
      </c>
      <c r="I18" s="24">
        <f>IF(C18="","",IN_DATA!E13)</f>
        <v>1099.3599999999999</v>
      </c>
      <c r="J18" s="24">
        <f>IF(C18="","",IN_DATA!F13)</f>
        <v>2397.5990000000002</v>
      </c>
      <c r="K18" s="24">
        <f>IF(C18="","",IN_DATA!H13)</f>
        <v>2923.2049999999999</v>
      </c>
      <c r="L18" s="155">
        <f>IF(C18="","",IN_DATA!G13)</f>
        <v>1170.655</v>
      </c>
      <c r="M18" s="154"/>
      <c r="N18" s="220">
        <f>IF(C18="","",IN_DATA!P13)</f>
        <v>4</v>
      </c>
      <c r="O18" s="112">
        <f>IF(C18="","",IN_DATA!Q13)</f>
        <v>3</v>
      </c>
      <c r="P18" s="25">
        <f t="shared" si="2"/>
        <v>92.370162850882508</v>
      </c>
      <c r="Q18" s="25">
        <f t="shared" si="3"/>
        <v>54.205124259767807</v>
      </c>
      <c r="R18" s="25">
        <f t="shared" si="4"/>
        <v>401.26639999999998</v>
      </c>
      <c r="S18" s="25">
        <f t="shared" si="5"/>
        <v>875.12363500000004</v>
      </c>
      <c r="T18" s="25">
        <f t="shared" si="6"/>
        <v>1066.9698249999999</v>
      </c>
      <c r="U18" s="72">
        <f t="shared" si="7"/>
        <v>427.28907500000003</v>
      </c>
      <c r="V18" s="224">
        <f>IF(C18="","",IF(IN_DATA!R13=3, IF(IN_DATA!$L$4=5, 250, 375), 0))</f>
        <v>375</v>
      </c>
      <c r="W18" s="97">
        <f t="shared" si="8"/>
        <v>207</v>
      </c>
      <c r="X18" s="97">
        <f t="shared" si="9"/>
        <v>923.70162850882502</v>
      </c>
      <c r="Y18" s="97">
        <f t="shared" si="10"/>
        <v>13.551281064941952</v>
      </c>
      <c r="Z18" s="97">
        <f t="shared" si="11"/>
        <v>601.89959999999996</v>
      </c>
      <c r="AA18" s="97">
        <f t="shared" si="12"/>
        <v>787.6112506354267</v>
      </c>
      <c r="AB18" s="97">
        <f t="shared" si="13"/>
        <v>4801.3642124999997</v>
      </c>
      <c r="AC18" s="97">
        <f t="shared" si="14"/>
        <v>640.93361249999998</v>
      </c>
      <c r="AD18" s="228">
        <f t="shared" si="15"/>
        <v>8351.0615852091942</v>
      </c>
      <c r="AE18" s="266">
        <f t="shared" si="16"/>
        <v>85.39731995475185</v>
      </c>
    </row>
    <row r="19" spans="1:31" x14ac:dyDescent="0.2">
      <c r="A19" s="4">
        <v>9</v>
      </c>
      <c r="B19" s="31">
        <f t="shared" si="1"/>
        <v>2021</v>
      </c>
      <c r="C19" s="158">
        <f>IN_DATA!P14</f>
        <v>4</v>
      </c>
      <c r="D19" s="33">
        <f>IN_DATA!Q14</f>
        <v>3</v>
      </c>
      <c r="F19" s="4">
        <f t="shared" si="0"/>
        <v>2021</v>
      </c>
      <c r="G19" s="24">
        <f>IF(C19="","",IN_DATA!C14*OCF*FPF)</f>
        <v>238.34150245768549</v>
      </c>
      <c r="H19" s="24">
        <f>IF(C19="","",IN_DATA!D14*OCF*FPF)</f>
        <v>139.724327674942</v>
      </c>
      <c r="I19" s="24">
        <f>IF(C19="","",IN_DATA!E14)</f>
        <v>1110.5429999999999</v>
      </c>
      <c r="J19" s="24">
        <f>IF(C19="","",IN_DATA!F14)</f>
        <v>2491.4540000000002</v>
      </c>
      <c r="K19" s="24">
        <f>IF(C19="","",IN_DATA!H14)</f>
        <v>2962.0140000000001</v>
      </c>
      <c r="L19" s="155">
        <f>IF(C19="","",IN_DATA!G14)</f>
        <v>1193.7429999999999</v>
      </c>
      <c r="M19" s="154"/>
      <c r="N19" s="220">
        <f>IF(C19="","",IN_DATA!P14)</f>
        <v>4</v>
      </c>
      <c r="O19" s="112">
        <f>IF(C19="","",IN_DATA!Q14)</f>
        <v>3</v>
      </c>
      <c r="P19" s="25">
        <f t="shared" si="2"/>
        <v>86.994648397055201</v>
      </c>
      <c r="Q19" s="25">
        <f t="shared" si="3"/>
        <v>50.99937960135383</v>
      </c>
      <c r="R19" s="25">
        <f t="shared" si="4"/>
        <v>405.34819499999998</v>
      </c>
      <c r="S19" s="25">
        <f t="shared" si="5"/>
        <v>909.38071000000014</v>
      </c>
      <c r="T19" s="25">
        <f t="shared" si="6"/>
        <v>1081.1351100000002</v>
      </c>
      <c r="U19" s="72">
        <f t="shared" si="7"/>
        <v>435.71619499999997</v>
      </c>
      <c r="V19" s="224">
        <f>IF(C19="","",IF(IN_DATA!R14=3, IF(IN_DATA!$L$4=5, 250, 375), 0))</f>
        <v>375</v>
      </c>
      <c r="W19" s="97">
        <f t="shared" si="8"/>
        <v>207</v>
      </c>
      <c r="X19" s="97">
        <f t="shared" si="9"/>
        <v>869.94648397055198</v>
      </c>
      <c r="Y19" s="97">
        <f t="shared" si="10"/>
        <v>12.749844900338458</v>
      </c>
      <c r="Z19" s="97">
        <f t="shared" si="11"/>
        <v>608.02229249999993</v>
      </c>
      <c r="AA19" s="97">
        <f t="shared" si="12"/>
        <v>818.44261731867448</v>
      </c>
      <c r="AB19" s="97">
        <f t="shared" si="13"/>
        <v>4865.1079950000003</v>
      </c>
      <c r="AC19" s="97">
        <f t="shared" si="14"/>
        <v>653.57429249999996</v>
      </c>
      <c r="AD19" s="228">
        <f t="shared" si="15"/>
        <v>8409.8435261895647</v>
      </c>
      <c r="AE19" s="266">
        <f t="shared" si="16"/>
        <v>91.317458048748151</v>
      </c>
    </row>
    <row r="20" spans="1:31" x14ac:dyDescent="0.2">
      <c r="A20" s="4">
        <v>10</v>
      </c>
      <c r="B20" s="31">
        <f t="shared" si="1"/>
        <v>2022</v>
      </c>
      <c r="C20" s="158">
        <f>IN_DATA!P15</f>
        <v>4</v>
      </c>
      <c r="D20" s="33">
        <f>IN_DATA!Q15</f>
        <v>3</v>
      </c>
      <c r="F20" s="4">
        <f t="shared" si="0"/>
        <v>2022</v>
      </c>
      <c r="G20" s="24">
        <f>IF(C20="","",IN_DATA!C15*OCF*FPF)</f>
        <v>224.23848677498103</v>
      </c>
      <c r="H20" s="24">
        <f>IF(C20="","",IN_DATA!D15*OCF*FPF)</f>
        <v>131.35953778176068</v>
      </c>
      <c r="I20" s="24">
        <f>IF(C20="","",IN_DATA!E15)</f>
        <v>1124.633</v>
      </c>
      <c r="J20" s="24">
        <f>IF(C20="","",IN_DATA!F15)</f>
        <v>2591.14</v>
      </c>
      <c r="K20" s="24">
        <f>IF(C20="","",IN_DATA!H15)</f>
        <v>3010.7460000000001</v>
      </c>
      <c r="L20" s="155">
        <f>IF(C20="","",IN_DATA!G15)</f>
        <v>1213.633</v>
      </c>
      <c r="M20" s="154"/>
      <c r="N20" s="220">
        <f>IF(C20="","",IN_DATA!P15)</f>
        <v>4</v>
      </c>
      <c r="O20" s="112">
        <f>IF(C20="","",IN_DATA!Q15)</f>
        <v>3</v>
      </c>
      <c r="P20" s="25">
        <f t="shared" si="2"/>
        <v>81.847047672868086</v>
      </c>
      <c r="Q20" s="25">
        <f t="shared" si="3"/>
        <v>47.946231290342652</v>
      </c>
      <c r="R20" s="25">
        <f t="shared" si="4"/>
        <v>410.49104500000004</v>
      </c>
      <c r="S20" s="25">
        <f t="shared" si="5"/>
        <v>945.76609999999994</v>
      </c>
      <c r="T20" s="25">
        <f t="shared" si="6"/>
        <v>1098.92229</v>
      </c>
      <c r="U20" s="72">
        <f t="shared" si="7"/>
        <v>442.97604500000006</v>
      </c>
      <c r="V20" s="224">
        <f>IF(C20="","",IF(IN_DATA!R15=3, IF(IN_DATA!$L$4=5, 250, 375), 0))</f>
        <v>375</v>
      </c>
      <c r="W20" s="97">
        <f t="shared" si="8"/>
        <v>207</v>
      </c>
      <c r="X20" s="97">
        <f t="shared" si="9"/>
        <v>818.47047672868086</v>
      </c>
      <c r="Y20" s="97">
        <f t="shared" si="10"/>
        <v>11.986557822585663</v>
      </c>
      <c r="Z20" s="97">
        <f t="shared" si="11"/>
        <v>615.73656750000009</v>
      </c>
      <c r="AA20" s="97">
        <f t="shared" si="12"/>
        <v>851.18946745117898</v>
      </c>
      <c r="AB20" s="97">
        <f t="shared" si="13"/>
        <v>4945.1503050000001</v>
      </c>
      <c r="AC20" s="97">
        <f t="shared" si="14"/>
        <v>664.46406750000006</v>
      </c>
      <c r="AD20" s="228">
        <f t="shared" si="15"/>
        <v>8488.9974420024446</v>
      </c>
      <c r="AE20" s="266">
        <f t="shared" si="16"/>
        <v>97.978228760289042</v>
      </c>
    </row>
    <row r="21" spans="1:31" x14ac:dyDescent="0.2">
      <c r="A21" s="4">
        <v>11</v>
      </c>
      <c r="B21" s="31">
        <f t="shared" si="1"/>
        <v>2023</v>
      </c>
      <c r="C21" s="158">
        <f>IN_DATA!P16</f>
        <v>4</v>
      </c>
      <c r="D21" s="33">
        <f>IN_DATA!Q16</f>
        <v>3</v>
      </c>
      <c r="F21" s="4">
        <f t="shared" si="0"/>
        <v>2023</v>
      </c>
      <c r="G21" s="24">
        <f>IF(C21="","",IN_DATA!C16*OCF*FPF)</f>
        <v>210.85368726593256</v>
      </c>
      <c r="H21" s="24">
        <f>IF(C21="","",IN_DATA!D16*OCF*FPF)</f>
        <v>123.39203307400705</v>
      </c>
      <c r="I21" s="24">
        <f>IF(C21="","",IN_DATA!E16)</f>
        <v>1144.902</v>
      </c>
      <c r="J21" s="24">
        <f>IF(C21="","",IN_DATA!F16)</f>
        <v>2660.8879999999999</v>
      </c>
      <c r="K21" s="24">
        <f>IF(C21="","",IN_DATA!H16)</f>
        <v>3060.13</v>
      </c>
      <c r="L21" s="155">
        <f>IF(C21="","",IN_DATA!G16)</f>
        <v>1233.557</v>
      </c>
      <c r="M21" s="154"/>
      <c r="N21" s="220">
        <f>IF(C21="","",IN_DATA!P16)</f>
        <v>4</v>
      </c>
      <c r="O21" s="112">
        <f>IF(C21="","",IN_DATA!Q16)</f>
        <v>3</v>
      </c>
      <c r="P21" s="25">
        <f t="shared" si="2"/>
        <v>76.961595852065386</v>
      </c>
      <c r="Q21" s="25">
        <f t="shared" si="3"/>
        <v>45.038092072012574</v>
      </c>
      <c r="R21" s="25">
        <f t="shared" si="4"/>
        <v>417.88923000000005</v>
      </c>
      <c r="S21" s="25">
        <f t="shared" si="5"/>
        <v>971.22411999999997</v>
      </c>
      <c r="T21" s="25">
        <f t="shared" si="6"/>
        <v>1116.9474499999999</v>
      </c>
      <c r="U21" s="72">
        <f t="shared" si="7"/>
        <v>450.24830500000002</v>
      </c>
      <c r="V21" s="224">
        <f>IF(C21="","",IF(IN_DATA!R16=3, IF(IN_DATA!$L$4=5, 250, 375), 0))</f>
        <v>375</v>
      </c>
      <c r="W21" s="97">
        <f t="shared" si="8"/>
        <v>207</v>
      </c>
      <c r="X21" s="97">
        <f t="shared" si="9"/>
        <v>769.61595852065386</v>
      </c>
      <c r="Y21" s="97">
        <f t="shared" si="10"/>
        <v>11.259523018003144</v>
      </c>
      <c r="Z21" s="97">
        <f t="shared" si="11"/>
        <v>626.83384500000011</v>
      </c>
      <c r="AA21" s="97">
        <f t="shared" si="12"/>
        <v>874.10168484421251</v>
      </c>
      <c r="AB21" s="97">
        <f t="shared" si="13"/>
        <v>5026.2635249999994</v>
      </c>
      <c r="AC21" s="97">
        <f t="shared" si="14"/>
        <v>675.3724575</v>
      </c>
      <c r="AD21" s="228">
        <f t="shared" si="15"/>
        <v>8565.4469938828697</v>
      </c>
      <c r="AE21" s="266">
        <f t="shared" si="16"/>
        <v>105.14213963155831</v>
      </c>
    </row>
    <row r="22" spans="1:31" x14ac:dyDescent="0.2">
      <c r="A22" s="4">
        <v>12</v>
      </c>
      <c r="B22" s="31">
        <f t="shared" si="1"/>
        <v>2024</v>
      </c>
      <c r="C22" s="158">
        <f>IN_DATA!P17</f>
        <v>4</v>
      </c>
      <c r="D22" s="33">
        <f>IN_DATA!Q17</f>
        <v>3</v>
      </c>
      <c r="F22" s="4">
        <f t="shared" si="0"/>
        <v>2024</v>
      </c>
      <c r="G22" s="24">
        <f>IF(C22="","",IN_DATA!C17*OCF*FPF)</f>
        <v>201.33557381505489</v>
      </c>
      <c r="H22" s="24">
        <f>IF(C22="","",IN_DATA!D17*OCF*FPF)</f>
        <v>117.52411668924094</v>
      </c>
      <c r="I22" s="24">
        <f>IF(C22="","",IN_DATA!E17)</f>
        <v>1159.8979999999999</v>
      </c>
      <c r="J22" s="24">
        <f>IF(C22="","",IN_DATA!F17)</f>
        <v>2753.5030000000002</v>
      </c>
      <c r="K22" s="24">
        <f>IF(C22="","",IN_DATA!H17)</f>
        <v>3119.4290000000001</v>
      </c>
      <c r="L22" s="155">
        <f>IF(C22="","",IN_DATA!G17)</f>
        <v>1250.037</v>
      </c>
      <c r="M22" s="154"/>
      <c r="N22" s="220">
        <f>IF(C22="","",IN_DATA!P17)</f>
        <v>4</v>
      </c>
      <c r="O22" s="112">
        <f>IF(C22="","",IN_DATA!Q17)</f>
        <v>3</v>
      </c>
      <c r="P22" s="25">
        <f t="shared" si="2"/>
        <v>73.487484442495031</v>
      </c>
      <c r="Q22" s="25">
        <f t="shared" si="3"/>
        <v>42.896302591572947</v>
      </c>
      <c r="R22" s="25">
        <f t="shared" si="4"/>
        <v>423.36276999999995</v>
      </c>
      <c r="S22" s="25">
        <f t="shared" si="5"/>
        <v>1005.0285950000001</v>
      </c>
      <c r="T22" s="25">
        <f t="shared" si="6"/>
        <v>1138.5915849999999</v>
      </c>
      <c r="U22" s="72">
        <f t="shared" si="7"/>
        <v>456.26350500000001</v>
      </c>
      <c r="V22" s="224">
        <f>IF(C22="","",IF(IN_DATA!R17=3, IF(IN_DATA!$L$4=5, 250, 375), 0))</f>
        <v>375</v>
      </c>
      <c r="W22" s="97">
        <f t="shared" si="8"/>
        <v>207</v>
      </c>
      <c r="X22" s="97">
        <f t="shared" si="9"/>
        <v>734.87484442495031</v>
      </c>
      <c r="Y22" s="97">
        <f t="shared" si="10"/>
        <v>10.724075647893237</v>
      </c>
      <c r="Z22" s="97">
        <f t="shared" si="11"/>
        <v>635.04415499999993</v>
      </c>
      <c r="AA22" s="97">
        <f t="shared" si="12"/>
        <v>904.52571153825113</v>
      </c>
      <c r="AB22" s="97">
        <f t="shared" si="13"/>
        <v>5123.6621324999996</v>
      </c>
      <c r="AC22" s="97">
        <f t="shared" si="14"/>
        <v>684.39525750000007</v>
      </c>
      <c r="AD22" s="228">
        <f t="shared" si="15"/>
        <v>8675.2261766110951</v>
      </c>
      <c r="AE22" s="266">
        <f t="shared" si="16"/>
        <v>111.53957317507428</v>
      </c>
    </row>
    <row r="23" spans="1:31" x14ac:dyDescent="0.2">
      <c r="A23" s="4">
        <v>13</v>
      </c>
      <c r="B23" s="31">
        <f t="shared" si="1"/>
        <v>2025</v>
      </c>
      <c r="C23" s="158">
        <f>IN_DATA!P18</f>
        <v>4</v>
      </c>
      <c r="D23" s="33">
        <f>IN_DATA!Q18</f>
        <v>3</v>
      </c>
      <c r="F23" s="4">
        <f t="shared" si="0"/>
        <v>2025</v>
      </c>
      <c r="G23" s="24">
        <f>IF(C23="","",IN_DATA!C18*OCF*FPF)</f>
        <v>190.86298219918729</v>
      </c>
      <c r="H23" s="24">
        <f>IF(C23="","",IN_DATA!D18*OCF*FPF)</f>
        <v>111.34581491585969</v>
      </c>
      <c r="I23" s="24">
        <f>IF(C23="","",IN_DATA!E18)</f>
        <v>1178.011</v>
      </c>
      <c r="J23" s="24">
        <f>IF(C23="","",IN_DATA!F18)</f>
        <v>2828.768</v>
      </c>
      <c r="K23" s="24">
        <f>IF(C23="","",IN_DATA!H18)</f>
        <v>3161.415</v>
      </c>
      <c r="L23" s="155">
        <f>IF(C23="","",IN_DATA!G18)</f>
        <v>1273.4000000000001</v>
      </c>
      <c r="M23" s="154"/>
      <c r="N23" s="220">
        <f>IF(C23="","",IN_DATA!P18)</f>
        <v>4</v>
      </c>
      <c r="O23" s="112">
        <f>IF(C23="","",IN_DATA!Q18)</f>
        <v>3</v>
      </c>
      <c r="P23" s="25">
        <f t="shared" si="2"/>
        <v>69.664988502703366</v>
      </c>
      <c r="Q23" s="25">
        <f t="shared" si="3"/>
        <v>40.641222444288786</v>
      </c>
      <c r="R23" s="25">
        <f t="shared" si="4"/>
        <v>429.97401500000001</v>
      </c>
      <c r="S23" s="25">
        <f t="shared" si="5"/>
        <v>1032.5003200000001</v>
      </c>
      <c r="T23" s="25">
        <f t="shared" si="6"/>
        <v>1153.916475</v>
      </c>
      <c r="U23" s="72">
        <f t="shared" si="7"/>
        <v>464.79100000000005</v>
      </c>
      <c r="V23" s="224">
        <f>IF(C23="","",IF(IN_DATA!R18=3, IF(IN_DATA!$L$4=5, 250, 375), 0))</f>
        <v>375</v>
      </c>
      <c r="W23" s="97">
        <f t="shared" si="8"/>
        <v>207</v>
      </c>
      <c r="X23" s="97">
        <f t="shared" si="9"/>
        <v>696.64988502703363</v>
      </c>
      <c r="Y23" s="97">
        <f t="shared" si="10"/>
        <v>10.160305611072197</v>
      </c>
      <c r="Z23" s="97">
        <f t="shared" si="11"/>
        <v>644.96102250000001</v>
      </c>
      <c r="AA23" s="97">
        <f t="shared" si="12"/>
        <v>929.25026338327416</v>
      </c>
      <c r="AB23" s="97">
        <f t="shared" si="13"/>
        <v>5192.6241375</v>
      </c>
      <c r="AC23" s="97">
        <f t="shared" si="14"/>
        <v>697.18650000000002</v>
      </c>
      <c r="AD23" s="228">
        <f t="shared" si="15"/>
        <v>8752.8321140213793</v>
      </c>
      <c r="AE23" s="266">
        <f t="shared" si="16"/>
        <v>118.71609497693323</v>
      </c>
    </row>
    <row r="24" spans="1:31" x14ac:dyDescent="0.2">
      <c r="A24" s="4">
        <v>14</v>
      </c>
      <c r="B24" s="31">
        <f t="shared" si="1"/>
        <v>2026</v>
      </c>
      <c r="C24" s="158">
        <f>IN_DATA!P19</f>
        <v>4</v>
      </c>
      <c r="D24" s="33">
        <f>IN_DATA!Q19</f>
        <v>3</v>
      </c>
      <c r="F24" s="4">
        <f t="shared" si="0"/>
        <v>2026</v>
      </c>
      <c r="G24" s="24">
        <f>IF(C24="","",IN_DATA!C19*OCF*FPF)</f>
        <v>182.43218090842723</v>
      </c>
      <c r="H24" s="24">
        <f>IF(C24="","",IN_DATA!D19*OCF*FPF)</f>
        <v>106.21355550410988</v>
      </c>
      <c r="I24" s="24">
        <f>IF(C24="","",IN_DATA!E19)</f>
        <v>1197.412</v>
      </c>
      <c r="J24" s="24">
        <f>IF(C24="","",IN_DATA!F19)</f>
        <v>2901.9870000000001</v>
      </c>
      <c r="K24" s="24">
        <f>IF(C24="","",IN_DATA!H19)</f>
        <v>3213.0329999999999</v>
      </c>
      <c r="L24" s="155">
        <f>IF(C24="","",IN_DATA!G19)</f>
        <v>1293.329</v>
      </c>
      <c r="M24" s="154"/>
      <c r="N24" s="220">
        <f>IF(C24="","",IN_DATA!P19)</f>
        <v>4</v>
      </c>
      <c r="O24" s="112">
        <f>IF(C24="","",IN_DATA!Q19)</f>
        <v>3</v>
      </c>
      <c r="P24" s="25">
        <f t="shared" si="2"/>
        <v>66.587746031575932</v>
      </c>
      <c r="Q24" s="25">
        <f t="shared" si="3"/>
        <v>38.767947759000101</v>
      </c>
      <c r="R24" s="25">
        <f t="shared" si="4"/>
        <v>437.05538000000001</v>
      </c>
      <c r="S24" s="25">
        <f t="shared" si="5"/>
        <v>1059.2252550000001</v>
      </c>
      <c r="T24" s="25">
        <f t="shared" si="6"/>
        <v>1172.7570449999998</v>
      </c>
      <c r="U24" s="72">
        <f t="shared" si="7"/>
        <v>472.06508499999995</v>
      </c>
      <c r="V24" s="224">
        <f>IF(C24="","",IF(IN_DATA!R19=3, IF(IN_DATA!$L$4=5, 250, 375), 0))</f>
        <v>375</v>
      </c>
      <c r="W24" s="97">
        <f t="shared" si="8"/>
        <v>207</v>
      </c>
      <c r="X24" s="97">
        <f t="shared" si="9"/>
        <v>665.87746031575932</v>
      </c>
      <c r="Y24" s="97">
        <f t="shared" si="10"/>
        <v>9.6919869397500253</v>
      </c>
      <c r="Z24" s="97">
        <f t="shared" si="11"/>
        <v>655.58307000000002</v>
      </c>
      <c r="AA24" s="97">
        <f t="shared" si="12"/>
        <v>953.30270424610205</v>
      </c>
      <c r="AB24" s="97">
        <f t="shared" si="13"/>
        <v>5277.4067024999995</v>
      </c>
      <c r="AC24" s="97">
        <f t="shared" si="14"/>
        <v>708.09762749999993</v>
      </c>
      <c r="AD24" s="228">
        <f t="shared" si="15"/>
        <v>8851.9595515016099</v>
      </c>
      <c r="AE24" s="266">
        <f t="shared" si="16"/>
        <v>125.62289415448032</v>
      </c>
    </row>
    <row r="25" spans="1:31" x14ac:dyDescent="0.2">
      <c r="A25" s="4">
        <v>15</v>
      </c>
      <c r="B25" s="31">
        <f t="shared" si="1"/>
        <v>2027</v>
      </c>
      <c r="C25" s="158">
        <f>IN_DATA!P20</f>
        <v>4</v>
      </c>
      <c r="D25" s="33">
        <f>IN_DATA!Q20</f>
        <v>3</v>
      </c>
      <c r="F25" s="4">
        <f t="shared" si="0"/>
        <v>2027</v>
      </c>
      <c r="G25" s="24">
        <f>IF(C25="","",IN_DATA!C20*OCF*FPF)</f>
        <v>175.73836155395512</v>
      </c>
      <c r="H25" s="24">
        <f>IF(C25="","",IN_DATA!D20*OCF*FPF)</f>
        <v>102.25753604921579</v>
      </c>
      <c r="I25" s="24">
        <f>IF(C25="","",IN_DATA!E20)</f>
        <v>1214.7919999999999</v>
      </c>
      <c r="J25" s="24">
        <f>IF(C25="","",IN_DATA!F20)</f>
        <v>2985.2660000000001</v>
      </c>
      <c r="K25" s="24">
        <f>IF(C25="","",IN_DATA!H20)</f>
        <v>3265.1840000000002</v>
      </c>
      <c r="L25" s="155">
        <f>IF(C25="","",IN_DATA!G20)</f>
        <v>1313.2860000000001</v>
      </c>
      <c r="M25" s="154"/>
      <c r="N25" s="220">
        <f>IF(C25="","",IN_DATA!P20)</f>
        <v>4</v>
      </c>
      <c r="O25" s="112">
        <f>IF(C25="","",IN_DATA!Q20)</f>
        <v>3</v>
      </c>
      <c r="P25" s="25">
        <f t="shared" si="2"/>
        <v>64.144501967193619</v>
      </c>
      <c r="Q25" s="25">
        <f t="shared" si="3"/>
        <v>37.324000657963765</v>
      </c>
      <c r="R25" s="25">
        <f t="shared" si="4"/>
        <v>443.39907999999997</v>
      </c>
      <c r="S25" s="25">
        <f t="shared" si="5"/>
        <v>1089.6220900000001</v>
      </c>
      <c r="T25" s="25">
        <f t="shared" si="6"/>
        <v>1191.7921600000002</v>
      </c>
      <c r="U25" s="72">
        <f t="shared" si="7"/>
        <v>479.34939000000003</v>
      </c>
      <c r="V25" s="224">
        <f>IF(C25="","",IF(IN_DATA!R20=3, IF(IN_DATA!$L$4=5, 250, 375), 0))</f>
        <v>375</v>
      </c>
      <c r="W25" s="97">
        <f t="shared" si="8"/>
        <v>207</v>
      </c>
      <c r="X25" s="97">
        <f t="shared" si="9"/>
        <v>641.44501967193617</v>
      </c>
      <c r="Y25" s="97">
        <f t="shared" si="10"/>
        <v>9.3310001644909413</v>
      </c>
      <c r="Z25" s="97">
        <f t="shared" si="11"/>
        <v>665.09861999999998</v>
      </c>
      <c r="AA25" s="97">
        <f t="shared" si="12"/>
        <v>980.65985502138506</v>
      </c>
      <c r="AB25" s="97">
        <f t="shared" si="13"/>
        <v>5363.0647200000012</v>
      </c>
      <c r="AC25" s="97">
        <f t="shared" si="14"/>
        <v>719.02408500000001</v>
      </c>
      <c r="AD25" s="228">
        <f t="shared" si="15"/>
        <v>8960.6232998578125</v>
      </c>
      <c r="AE25" s="266">
        <f t="shared" si="16"/>
        <v>132.01285019611987</v>
      </c>
    </row>
    <row r="26" spans="1:31" x14ac:dyDescent="0.2">
      <c r="A26" s="4">
        <v>16</v>
      </c>
      <c r="B26" s="31">
        <f t="shared" si="1"/>
        <v>2028</v>
      </c>
      <c r="C26" s="158">
        <f>IN_DATA!P21</f>
        <v>4</v>
      </c>
      <c r="D26" s="33">
        <f>IN_DATA!Q21</f>
        <v>3</v>
      </c>
      <c r="F26" s="4">
        <f t="shared" si="0"/>
        <v>2028</v>
      </c>
      <c r="G26" s="24">
        <f>IF(C26="","",IN_DATA!C21*OCF*FPF)</f>
        <v>167.89192844176057</v>
      </c>
      <c r="H26" s="24">
        <f>IF(C26="","",IN_DATA!D21*OCF*FPF)</f>
        <v>97.720200555644269</v>
      </c>
      <c r="I26" s="24">
        <f>IF(C26="","",IN_DATA!E21)</f>
        <v>1233.6980000000001</v>
      </c>
      <c r="J26" s="24">
        <f>IF(C26="","",IN_DATA!F21)</f>
        <v>3063.6210000000001</v>
      </c>
      <c r="K26" s="24">
        <f>IF(C26="","",IN_DATA!H21)</f>
        <v>3325.703</v>
      </c>
      <c r="L26" s="155">
        <f>IF(C26="","",IN_DATA!G21)</f>
        <v>1329.548</v>
      </c>
      <c r="M26" s="154"/>
      <c r="N26" s="220">
        <f>IF(C26="","",IN_DATA!P21)</f>
        <v>4</v>
      </c>
      <c r="O26" s="112">
        <f>IF(C26="","",IN_DATA!Q21)</f>
        <v>3</v>
      </c>
      <c r="P26" s="25">
        <f t="shared" si="2"/>
        <v>61.280553881242611</v>
      </c>
      <c r="Q26" s="25">
        <f t="shared" si="3"/>
        <v>35.667873202810156</v>
      </c>
      <c r="R26" s="25">
        <f t="shared" si="4"/>
        <v>450.29977000000002</v>
      </c>
      <c r="S26" s="25">
        <f t="shared" si="5"/>
        <v>1118.221665</v>
      </c>
      <c r="T26" s="25">
        <f t="shared" si="6"/>
        <v>1213.8815950000001</v>
      </c>
      <c r="U26" s="72">
        <f t="shared" si="7"/>
        <v>485.28502000000003</v>
      </c>
      <c r="V26" s="224">
        <f>IF(C26="","",IF(IN_DATA!R21=3, IF(IN_DATA!$L$4=5, 250, 375), 0))</f>
        <v>375</v>
      </c>
      <c r="W26" s="97">
        <f t="shared" si="8"/>
        <v>207</v>
      </c>
      <c r="X26" s="97">
        <f t="shared" si="9"/>
        <v>612.80553881242611</v>
      </c>
      <c r="Y26" s="97">
        <f t="shared" si="10"/>
        <v>8.9169683007025391</v>
      </c>
      <c r="Z26" s="97">
        <f t="shared" si="11"/>
        <v>675.44965500000001</v>
      </c>
      <c r="AA26" s="97">
        <f t="shared" si="12"/>
        <v>1006.399471839518</v>
      </c>
      <c r="AB26" s="97">
        <f t="shared" si="13"/>
        <v>5462.4671775000006</v>
      </c>
      <c r="AC26" s="97">
        <f t="shared" si="14"/>
        <v>727.92753000000005</v>
      </c>
      <c r="AD26" s="228">
        <f t="shared" si="15"/>
        <v>9075.9663414526476</v>
      </c>
      <c r="AE26" s="266">
        <f t="shared" si="16"/>
        <v>139.95895858316862</v>
      </c>
    </row>
    <row r="27" spans="1:31" x14ac:dyDescent="0.2">
      <c r="A27" s="4">
        <v>17</v>
      </c>
      <c r="B27" s="31">
        <f t="shared" si="1"/>
        <v>2029</v>
      </c>
      <c r="C27" s="158">
        <f>IN_DATA!P22</f>
        <v>4</v>
      </c>
      <c r="D27" s="33">
        <f>IN_DATA!Q22</f>
        <v>3</v>
      </c>
      <c r="F27" s="4">
        <f t="shared" si="0"/>
        <v>2029</v>
      </c>
      <c r="G27" s="24">
        <f>IF(C27="","",IN_DATA!C22*OCF*FPF)</f>
        <v>161.44440967825412</v>
      </c>
      <c r="H27" s="24">
        <f>IF(C27="","",IN_DATA!D22*OCF*FPF)</f>
        <v>93.857702317319863</v>
      </c>
      <c r="I27" s="24">
        <f>IF(C27="","",IN_DATA!E22)</f>
        <v>1253.329</v>
      </c>
      <c r="J27" s="24">
        <f>IF(C27="","",IN_DATA!F22)</f>
        <v>3126.0940000000001</v>
      </c>
      <c r="K27" s="24">
        <f>IF(C27="","",IN_DATA!H22)</f>
        <v>3368.1990000000001</v>
      </c>
      <c r="L27" s="155">
        <f>IF(C27="","",IN_DATA!G22)</f>
        <v>1353.1479999999999</v>
      </c>
      <c r="M27" s="154"/>
      <c r="N27" s="220">
        <f>IF(C27="","",IN_DATA!P22)</f>
        <v>4</v>
      </c>
      <c r="O27" s="112">
        <f>IF(C27="","",IN_DATA!Q22)</f>
        <v>3</v>
      </c>
      <c r="P27" s="25">
        <f t="shared" si="2"/>
        <v>58.927209532562749</v>
      </c>
      <c r="Q27" s="25">
        <f t="shared" si="3"/>
        <v>34.258061345821751</v>
      </c>
      <c r="R27" s="25">
        <f t="shared" si="4"/>
        <v>457.46508499999999</v>
      </c>
      <c r="S27" s="25">
        <f t="shared" si="5"/>
        <v>1141.02431</v>
      </c>
      <c r="T27" s="25">
        <f t="shared" si="6"/>
        <v>1229.3926349999999</v>
      </c>
      <c r="U27" s="72">
        <f t="shared" si="7"/>
        <v>493.89901999999995</v>
      </c>
      <c r="V27" s="224">
        <f>IF(C27="","",IF(IN_DATA!R22=3, IF(IN_DATA!$L$4=5, 250, 375), 0))</f>
        <v>375</v>
      </c>
      <c r="W27" s="97">
        <f t="shared" si="8"/>
        <v>207</v>
      </c>
      <c r="X27" s="97">
        <f t="shared" si="9"/>
        <v>589.27209532562745</v>
      </c>
      <c r="Y27" s="97">
        <f t="shared" si="10"/>
        <v>8.5645153364554378</v>
      </c>
      <c r="Z27" s="97">
        <f t="shared" si="11"/>
        <v>686.19762749999995</v>
      </c>
      <c r="AA27" s="97">
        <f t="shared" si="12"/>
        <v>1026.9218517958604</v>
      </c>
      <c r="AB27" s="97">
        <f t="shared" si="13"/>
        <v>5532.2668574999998</v>
      </c>
      <c r="AC27" s="97">
        <f t="shared" si="14"/>
        <v>740.84852999999998</v>
      </c>
      <c r="AD27" s="228">
        <f t="shared" si="15"/>
        <v>9166.0714774579428</v>
      </c>
      <c r="AE27" s="266">
        <f t="shared" si="16"/>
        <v>147.00285751035025</v>
      </c>
    </row>
    <row r="28" spans="1:31" x14ac:dyDescent="0.2">
      <c r="A28" s="4">
        <v>18</v>
      </c>
      <c r="B28" s="31">
        <f t="shared" si="1"/>
        <v>2030</v>
      </c>
      <c r="C28" s="158">
        <f>IN_DATA!P23</f>
        <v>4</v>
      </c>
      <c r="D28" s="33">
        <f>IN_DATA!Q23</f>
        <v>3</v>
      </c>
      <c r="F28" s="4">
        <f t="shared" si="0"/>
        <v>2030</v>
      </c>
      <c r="G28" s="24">
        <f>IF(C28="","",IN_DATA!C23*OCF*FPF)</f>
        <v>156.07933587504385</v>
      </c>
      <c r="H28" s="24">
        <f>IF(C28="","",IN_DATA!D23*OCF*FPF)</f>
        <v>90.571571797854418</v>
      </c>
      <c r="I28" s="24">
        <f>IF(C28="","",IN_DATA!E23)</f>
        <v>1274.0940000000001</v>
      </c>
      <c r="J28" s="24">
        <f>IF(C28="","",IN_DATA!F23)</f>
        <v>3180.375</v>
      </c>
      <c r="K28" s="24">
        <f>IF(C28="","",IN_DATA!H23)</f>
        <v>3420.52</v>
      </c>
      <c r="L28" s="155">
        <f>IF(C28="","",IN_DATA!G23)</f>
        <v>1373.0940000000001</v>
      </c>
      <c r="M28" s="154"/>
      <c r="N28" s="220">
        <f>IF(C28="","",IN_DATA!P23)</f>
        <v>4</v>
      </c>
      <c r="O28" s="112">
        <f>IF(C28="","",IN_DATA!Q23)</f>
        <v>3</v>
      </c>
      <c r="P28" s="25">
        <f t="shared" si="2"/>
        <v>56.968957594391007</v>
      </c>
      <c r="Q28" s="25">
        <f t="shared" si="3"/>
        <v>33.058623706216864</v>
      </c>
      <c r="R28" s="25">
        <f t="shared" si="4"/>
        <v>465.04431</v>
      </c>
      <c r="S28" s="25">
        <f t="shared" si="5"/>
        <v>1160.836875</v>
      </c>
      <c r="T28" s="25">
        <f t="shared" si="6"/>
        <v>1248.4898000000001</v>
      </c>
      <c r="U28" s="72">
        <f t="shared" si="7"/>
        <v>501.17930999999999</v>
      </c>
      <c r="V28" s="224">
        <f>IF(C28="","",IF(IN_DATA!R23=3, IF(IN_DATA!$L$4=5, 250, 375), 0))</f>
        <v>375</v>
      </c>
      <c r="W28" s="97">
        <f t="shared" si="8"/>
        <v>207</v>
      </c>
      <c r="X28" s="97">
        <f t="shared" si="9"/>
        <v>569.68957594391009</v>
      </c>
      <c r="Y28" s="97">
        <f t="shared" si="10"/>
        <v>8.2646559265542159</v>
      </c>
      <c r="Z28" s="97">
        <f t="shared" si="11"/>
        <v>697.56646499999999</v>
      </c>
      <c r="AA28" s="97">
        <f t="shared" si="12"/>
        <v>1044.7531598234921</v>
      </c>
      <c r="AB28" s="97">
        <f t="shared" si="13"/>
        <v>5618.2040999999999</v>
      </c>
      <c r="AC28" s="97">
        <f t="shared" si="14"/>
        <v>751.76896499999998</v>
      </c>
      <c r="AD28" s="228">
        <f t="shared" si="15"/>
        <v>9272.2469216939553</v>
      </c>
      <c r="AE28" s="266">
        <f t="shared" si="16"/>
        <v>153.83284308565587</v>
      </c>
    </row>
    <row r="29" spans="1:31" x14ac:dyDescent="0.2">
      <c r="A29" s="4">
        <v>19</v>
      </c>
      <c r="B29" s="31">
        <f t="shared" si="1"/>
        <v>2031</v>
      </c>
      <c r="C29" s="158">
        <f>IN_DATA!P24</f>
        <v>4</v>
      </c>
      <c r="D29" s="33">
        <f>IN_DATA!Q24</f>
        <v>3</v>
      </c>
      <c r="F29" s="4">
        <f t="shared" si="0"/>
        <v>2031</v>
      </c>
      <c r="G29" s="24">
        <f>IF(C29="","",IN_DATA!C24*OCF*FPF)</f>
        <v>151.40246384659051</v>
      </c>
      <c r="H29" s="24">
        <f>IF(C29="","",IN_DATA!D24*OCF*FPF)</f>
        <v>87.827525658505436</v>
      </c>
      <c r="I29" s="24">
        <f>IF(C29="","",IN_DATA!E24)</f>
        <v>1294.1179999999999</v>
      </c>
      <c r="J29" s="24">
        <f>IF(C29="","",IN_DATA!F24)</f>
        <v>3251.8710000000001</v>
      </c>
      <c r="K29" s="24">
        <f>IF(C29="","",IN_DATA!H24)</f>
        <v>3474</v>
      </c>
      <c r="L29" s="155">
        <f>IF(C29="","",IN_DATA!G24)</f>
        <v>1393.0719999999999</v>
      </c>
      <c r="M29" s="154"/>
      <c r="N29" s="220">
        <f>IF(C29="","",IN_DATA!P24)</f>
        <v>4</v>
      </c>
      <c r="O29" s="112">
        <f>IF(C29="","",IN_DATA!Q24)</f>
        <v>3</v>
      </c>
      <c r="P29" s="25">
        <f t="shared" si="2"/>
        <v>55.261899304005539</v>
      </c>
      <c r="Q29" s="25">
        <f t="shared" si="3"/>
        <v>32.057046865354486</v>
      </c>
      <c r="R29" s="25">
        <f t="shared" si="4"/>
        <v>472.35306999999995</v>
      </c>
      <c r="S29" s="25">
        <f t="shared" si="5"/>
        <v>1186.9329150000001</v>
      </c>
      <c r="T29" s="25">
        <f t="shared" si="6"/>
        <v>1268.01</v>
      </c>
      <c r="U29" s="72">
        <f t="shared" si="7"/>
        <v>508.47127999999998</v>
      </c>
      <c r="V29" s="224">
        <f>IF(C29="","",IF(IN_DATA!R24=3, IF(IN_DATA!$L$4=5, 250, 375), 0))</f>
        <v>375</v>
      </c>
      <c r="W29" s="97">
        <f t="shared" si="8"/>
        <v>207</v>
      </c>
      <c r="X29" s="97">
        <f t="shared" si="9"/>
        <v>552.61899304005533</v>
      </c>
      <c r="Y29" s="97">
        <f t="shared" si="10"/>
        <v>8.0142617163386216</v>
      </c>
      <c r="Z29" s="97">
        <f t="shared" si="11"/>
        <v>708.52960499999995</v>
      </c>
      <c r="AA29" s="97">
        <f t="shared" si="12"/>
        <v>1068.2395952013142</v>
      </c>
      <c r="AB29" s="97">
        <f t="shared" si="13"/>
        <v>5706.0450000000001</v>
      </c>
      <c r="AC29" s="97">
        <f t="shared" si="14"/>
        <v>762.70691999999997</v>
      </c>
      <c r="AD29" s="228">
        <f t="shared" si="15"/>
        <v>9388.1543749577086</v>
      </c>
      <c r="AE29" s="266">
        <f t="shared" si="16"/>
        <v>160.57019159664117</v>
      </c>
    </row>
    <row r="30" spans="1:31" x14ac:dyDescent="0.2">
      <c r="A30" s="4">
        <v>20</v>
      </c>
      <c r="B30" s="31">
        <f t="shared" si="1"/>
        <v>2032</v>
      </c>
      <c r="C30" s="158">
        <f>IN_DATA!P25</f>
        <v>4</v>
      </c>
      <c r="D30" s="33">
        <f>IN_DATA!Q25</f>
        <v>3</v>
      </c>
      <c r="F30" s="4">
        <f t="shared" si="0"/>
        <v>2032</v>
      </c>
      <c r="G30" s="24">
        <f>IF(C30="","",IN_DATA!C25*OCF*FPF)</f>
        <v>145.76401565340757</v>
      </c>
      <c r="H30" s="24">
        <f>IF(C30="","",IN_DATA!D25*OCF*FPF)</f>
        <v>84.494548340758328</v>
      </c>
      <c r="I30" s="24">
        <f>IF(C30="","",IN_DATA!E25)</f>
        <v>1315.04</v>
      </c>
      <c r="J30" s="24">
        <f>IF(C30="","",IN_DATA!F25)</f>
        <v>3319.37</v>
      </c>
      <c r="K30" s="24">
        <f>IF(C30="","",IN_DATA!H25)</f>
        <v>3536.7739999999999</v>
      </c>
      <c r="L30" s="155">
        <f>IF(C30="","",IN_DATA!G25)</f>
        <v>1409.133</v>
      </c>
      <c r="M30" s="154"/>
      <c r="N30" s="220">
        <f>IF(C30="","",IN_DATA!P25)</f>
        <v>4</v>
      </c>
      <c r="O30" s="112">
        <f>IF(C30="","",IN_DATA!Q25)</f>
        <v>3</v>
      </c>
      <c r="P30" s="25">
        <f t="shared" si="2"/>
        <v>53.203865713493762</v>
      </c>
      <c r="Q30" s="25">
        <f t="shared" si="3"/>
        <v>30.84051014437679</v>
      </c>
      <c r="R30" s="25">
        <f t="shared" si="4"/>
        <v>479.9896</v>
      </c>
      <c r="S30" s="25">
        <f t="shared" si="5"/>
        <v>1211.57005</v>
      </c>
      <c r="T30" s="25">
        <f t="shared" si="6"/>
        <v>1290.9225100000001</v>
      </c>
      <c r="U30" s="72">
        <f t="shared" si="7"/>
        <v>514.33354500000007</v>
      </c>
      <c r="V30" s="224">
        <f>IF(C30="","",IF(IN_DATA!R25=3, IF(IN_DATA!$L$4=5, 250, 375), 0))</f>
        <v>375</v>
      </c>
      <c r="W30" s="97">
        <f t="shared" si="8"/>
        <v>207</v>
      </c>
      <c r="X30" s="97">
        <f t="shared" si="9"/>
        <v>532.03865713493758</v>
      </c>
      <c r="Y30" s="97">
        <f t="shared" si="10"/>
        <v>7.7101275360941974</v>
      </c>
      <c r="Z30" s="97">
        <f t="shared" si="11"/>
        <v>719.98440000000005</v>
      </c>
      <c r="AA30" s="97">
        <f t="shared" si="12"/>
        <v>1090.413016113919</v>
      </c>
      <c r="AB30" s="97">
        <f t="shared" si="13"/>
        <v>5809.1512950000006</v>
      </c>
      <c r="AC30" s="97">
        <f t="shared" si="14"/>
        <v>771.50031750000016</v>
      </c>
      <c r="AD30" s="228">
        <f t="shared" si="15"/>
        <v>9512.7978132849512</v>
      </c>
      <c r="AE30" s="266">
        <f t="shared" si="16"/>
        <v>169.0024851917191</v>
      </c>
    </row>
    <row r="31" spans="1:31" x14ac:dyDescent="0.2">
      <c r="A31" s="4">
        <v>21</v>
      </c>
      <c r="B31" s="31">
        <f t="shared" si="1"/>
        <v>2033</v>
      </c>
      <c r="C31" s="158">
        <f>IN_DATA!P26</f>
        <v>4</v>
      </c>
      <c r="D31" s="33">
        <f>IN_DATA!Q26</f>
        <v>3</v>
      </c>
      <c r="F31" s="4">
        <f t="shared" si="0"/>
        <v>2033</v>
      </c>
      <c r="G31" s="24">
        <f>IF(C31="","",IN_DATA!C26*OCF*FPF)</f>
        <v>141.30606621692419</v>
      </c>
      <c r="H31" s="24">
        <f>IF(C31="","",IN_DATA!D26*OCF*FPF)</f>
        <v>81.858452637449744</v>
      </c>
      <c r="I31" s="24">
        <f>IF(C31="","",IN_DATA!E26)</f>
        <v>1334.94</v>
      </c>
      <c r="J31" s="24">
        <f>IF(C31="","",IN_DATA!F26)</f>
        <v>3383.125</v>
      </c>
      <c r="K31" s="24">
        <f>IF(C31="","",IN_DATA!H26)</f>
        <v>3580.1610000000001</v>
      </c>
      <c r="L31" s="155">
        <f>IF(C31="","",IN_DATA!G26)</f>
        <v>1432.973</v>
      </c>
      <c r="M31" s="154"/>
      <c r="N31" s="220">
        <f>IF(C31="","",IN_DATA!P26)</f>
        <v>4</v>
      </c>
      <c r="O31" s="112">
        <f>IF(C31="","",IN_DATA!Q26)</f>
        <v>3</v>
      </c>
      <c r="P31" s="25">
        <f t="shared" si="2"/>
        <v>51.576714169177329</v>
      </c>
      <c r="Q31" s="25">
        <f t="shared" si="3"/>
        <v>29.878335212669157</v>
      </c>
      <c r="R31" s="25">
        <f t="shared" si="4"/>
        <v>487.25310000000002</v>
      </c>
      <c r="S31" s="25">
        <f t="shared" si="5"/>
        <v>1234.840625</v>
      </c>
      <c r="T31" s="25">
        <f t="shared" si="6"/>
        <v>1306.758765</v>
      </c>
      <c r="U31" s="72">
        <f t="shared" si="7"/>
        <v>523.03514499999994</v>
      </c>
      <c r="V31" s="224">
        <f>IF(C31="","",IF(IN_DATA!R26=3, IF(IN_DATA!$L$4=5, 250, 375), 0))</f>
        <v>375</v>
      </c>
      <c r="W31" s="97">
        <f t="shared" si="8"/>
        <v>207</v>
      </c>
      <c r="X31" s="97">
        <f t="shared" si="9"/>
        <v>515.7671416917733</v>
      </c>
      <c r="Y31" s="97">
        <f t="shared" si="10"/>
        <v>7.4695838031672892</v>
      </c>
      <c r="Z31" s="97">
        <f t="shared" si="11"/>
        <v>730.87965000000008</v>
      </c>
      <c r="AA31" s="97">
        <f t="shared" si="12"/>
        <v>1111.3565330591052</v>
      </c>
      <c r="AB31" s="97">
        <f t="shared" si="13"/>
        <v>5880.4144425000004</v>
      </c>
      <c r="AC31" s="97">
        <f t="shared" si="14"/>
        <v>784.55271749999997</v>
      </c>
      <c r="AD31" s="228">
        <f t="shared" si="15"/>
        <v>9612.4400685540477</v>
      </c>
      <c r="AE31" s="266">
        <f t="shared" si="16"/>
        <v>176.16640246130825</v>
      </c>
    </row>
    <row r="32" spans="1:31" x14ac:dyDescent="0.2">
      <c r="A32" s="4">
        <v>22</v>
      </c>
      <c r="B32" s="31">
        <f t="shared" si="1"/>
        <v>2034</v>
      </c>
      <c r="C32" s="158">
        <f>IN_DATA!P27</f>
        <v>4</v>
      </c>
      <c r="D32" s="33">
        <f>IN_DATA!Q27</f>
        <v>3</v>
      </c>
      <c r="F32" s="4">
        <f t="shared" si="0"/>
        <v>2034</v>
      </c>
      <c r="G32" s="24">
        <f>IF(C32="","",IN_DATA!C27*OCF*FPF)</f>
        <v>138.1995759308696</v>
      </c>
      <c r="H32" s="24">
        <f>IF(C32="","",IN_DATA!D27*OCF*FPF)</f>
        <v>80.07391410290623</v>
      </c>
      <c r="I32" s="24">
        <f>IF(C32="","",IN_DATA!E27)</f>
        <v>1355.433</v>
      </c>
      <c r="J32" s="24">
        <f>IF(C32="","",IN_DATA!F27)</f>
        <v>3443.145</v>
      </c>
      <c r="K32" s="24">
        <f>IF(C32="","",IN_DATA!H27)</f>
        <v>3633.895</v>
      </c>
      <c r="L32" s="155">
        <f>IF(C32="","",IN_DATA!G27)</f>
        <v>1452.94</v>
      </c>
      <c r="M32" s="154"/>
      <c r="N32" s="220">
        <f>IF(C32="","",IN_DATA!P27)</f>
        <v>4</v>
      </c>
      <c r="O32" s="112">
        <f>IF(C32="","",IN_DATA!Q27)</f>
        <v>3</v>
      </c>
      <c r="P32" s="25">
        <f t="shared" si="2"/>
        <v>50.442845214767402</v>
      </c>
      <c r="Q32" s="25">
        <f t="shared" si="3"/>
        <v>29.226978647560774</v>
      </c>
      <c r="R32" s="25">
        <f t="shared" si="4"/>
        <v>494.733045</v>
      </c>
      <c r="S32" s="25">
        <f t="shared" si="5"/>
        <v>1256.7479250000001</v>
      </c>
      <c r="T32" s="25">
        <f t="shared" si="6"/>
        <v>1326.3716750000001</v>
      </c>
      <c r="U32" s="72">
        <f t="shared" si="7"/>
        <v>530.32309999999995</v>
      </c>
      <c r="V32" s="224">
        <f>IF(C32="","",IF(IN_DATA!R27=3, IF(IN_DATA!$L$4=5, 250, 375), 0))</f>
        <v>375</v>
      </c>
      <c r="W32" s="97">
        <f t="shared" si="8"/>
        <v>207</v>
      </c>
      <c r="X32" s="97">
        <f t="shared" si="9"/>
        <v>504.42845214767402</v>
      </c>
      <c r="Y32" s="97">
        <f t="shared" si="10"/>
        <v>7.3067446618901934</v>
      </c>
      <c r="Z32" s="97">
        <f t="shared" si="11"/>
        <v>742.09956750000003</v>
      </c>
      <c r="AA32" s="97">
        <f t="shared" si="12"/>
        <v>1131.0731025367947</v>
      </c>
      <c r="AB32" s="97">
        <f t="shared" si="13"/>
        <v>5968.6725375000005</v>
      </c>
      <c r="AC32" s="97">
        <f t="shared" si="14"/>
        <v>795.48464999999987</v>
      </c>
      <c r="AD32" s="228">
        <f t="shared" si="15"/>
        <v>9731.0650543463598</v>
      </c>
      <c r="AE32" s="266">
        <f t="shared" si="16"/>
        <v>182.34734423756291</v>
      </c>
    </row>
    <row r="33" spans="1:31" x14ac:dyDescent="0.2">
      <c r="A33" s="4">
        <v>23</v>
      </c>
      <c r="B33" s="31">
        <f t="shared" si="1"/>
        <v>2035</v>
      </c>
      <c r="C33" s="158" t="str">
        <f>IN_DATA!P28</f>
        <v/>
      </c>
      <c r="D33" s="33" t="str">
        <f>IN_DATA!Q28</f>
        <v/>
      </c>
      <c r="F33" s="4">
        <f t="shared" si="0"/>
        <v>2035</v>
      </c>
      <c r="G33" s="24" t="str">
        <f>IF(C33="","",IN_DATA!C28*OCF*FPF)</f>
        <v/>
      </c>
      <c r="H33" s="24" t="str">
        <f>IF(C33="","",IN_DATA!D28*OCF*FPF)</f>
        <v/>
      </c>
      <c r="I33" s="24" t="str">
        <f>IF(C33="","",IN_DATA!E28)</f>
        <v/>
      </c>
      <c r="J33" s="24" t="str">
        <f>IF(C33="","",IN_DATA!F28)</f>
        <v/>
      </c>
      <c r="K33" s="24" t="str">
        <f>IF(C33="","",IN_DATA!H28)</f>
        <v/>
      </c>
      <c r="L33" s="155" t="str">
        <f>IF(C33="","",IN_DATA!G28)</f>
        <v/>
      </c>
      <c r="M33" s="154"/>
      <c r="N33" s="220" t="str">
        <f>IF(C33="","",IN_DATA!P28)</f>
        <v/>
      </c>
      <c r="O33" s="112" t="str">
        <f>IF(C33="","",IN_DATA!Q28)</f>
        <v/>
      </c>
      <c r="P33" s="25" t="str">
        <f t="shared" si="2"/>
        <v/>
      </c>
      <c r="Q33" s="25" t="str">
        <f t="shared" si="3"/>
        <v/>
      </c>
      <c r="R33" s="25" t="str">
        <f t="shared" si="4"/>
        <v/>
      </c>
      <c r="S33" s="25" t="str">
        <f t="shared" si="5"/>
        <v/>
      </c>
      <c r="T33" s="25" t="str">
        <f t="shared" si="6"/>
        <v/>
      </c>
      <c r="U33" s="72" t="str">
        <f t="shared" si="7"/>
        <v/>
      </c>
      <c r="V33" s="224" t="str">
        <f>IF(C33="","",IF(IN_DATA!R28=3, IF(IN_DATA!$L$4=5, 250, 375), 0))</f>
        <v/>
      </c>
      <c r="W33" s="97" t="str">
        <f t="shared" si="8"/>
        <v/>
      </c>
      <c r="X33" s="97" t="str">
        <f t="shared" si="9"/>
        <v/>
      </c>
      <c r="Y33" s="97" t="str">
        <f t="shared" si="10"/>
        <v/>
      </c>
      <c r="Z33" s="97" t="str">
        <f t="shared" si="11"/>
        <v/>
      </c>
      <c r="AA33" s="97" t="str">
        <f t="shared" si="12"/>
        <v/>
      </c>
      <c r="AB33" s="97" t="str">
        <f t="shared" si="13"/>
        <v/>
      </c>
      <c r="AC33" s="97" t="str">
        <f t="shared" si="14"/>
        <v/>
      </c>
      <c r="AD33" s="228" t="str">
        <f t="shared" si="15"/>
        <v/>
      </c>
      <c r="AE33" s="266" t="str">
        <f t="shared" si="16"/>
        <v/>
      </c>
    </row>
    <row r="34" spans="1:31" x14ac:dyDescent="0.2">
      <c r="A34" s="4">
        <v>24</v>
      </c>
      <c r="B34" s="31">
        <f t="shared" si="1"/>
        <v>2036</v>
      </c>
      <c r="C34" s="158" t="str">
        <f>IN_DATA!P29</f>
        <v/>
      </c>
      <c r="D34" s="33" t="str">
        <f>IN_DATA!Q29</f>
        <v/>
      </c>
      <c r="F34" s="4">
        <f t="shared" si="0"/>
        <v>2036</v>
      </c>
      <c r="G34" s="24" t="str">
        <f>IF(C34="","",IN_DATA!C29*OCF*FPF)</f>
        <v/>
      </c>
      <c r="H34" s="24" t="str">
        <f>IF(C34="","",IN_DATA!D29*OCF*FPF)</f>
        <v/>
      </c>
      <c r="I34" s="24" t="str">
        <f>IF(C34="","",IN_DATA!E29)</f>
        <v/>
      </c>
      <c r="J34" s="24" t="str">
        <f>IF(C34="","",IN_DATA!F29)</f>
        <v/>
      </c>
      <c r="K34" s="24" t="str">
        <f>IF(C34="","",IN_DATA!H29)</f>
        <v/>
      </c>
      <c r="L34" s="155" t="str">
        <f>IF(C34="","",IN_DATA!G29)</f>
        <v/>
      </c>
      <c r="M34" s="154"/>
      <c r="N34" s="220" t="str">
        <f>IF(C34="","",IN_DATA!P29)</f>
        <v/>
      </c>
      <c r="O34" s="112" t="str">
        <f>IF(C34="","",IN_DATA!Q29)</f>
        <v/>
      </c>
      <c r="P34" s="25" t="str">
        <f t="shared" si="2"/>
        <v/>
      </c>
      <c r="Q34" s="25" t="str">
        <f t="shared" si="3"/>
        <v/>
      </c>
      <c r="R34" s="25" t="str">
        <f t="shared" si="4"/>
        <v/>
      </c>
      <c r="S34" s="25" t="str">
        <f t="shared" si="5"/>
        <v/>
      </c>
      <c r="T34" s="25" t="str">
        <f t="shared" si="6"/>
        <v/>
      </c>
      <c r="U34" s="72" t="str">
        <f t="shared" si="7"/>
        <v/>
      </c>
      <c r="V34" s="224" t="str">
        <f>IF(C34="","",IF(IN_DATA!R29=3, IF(IN_DATA!$L$4=5, 250, 375), 0))</f>
        <v/>
      </c>
      <c r="W34" s="97" t="str">
        <f t="shared" si="8"/>
        <v/>
      </c>
      <c r="X34" s="97" t="str">
        <f t="shared" si="9"/>
        <v/>
      </c>
      <c r="Y34" s="97" t="str">
        <f t="shared" si="10"/>
        <v/>
      </c>
      <c r="Z34" s="97" t="str">
        <f t="shared" si="11"/>
        <v/>
      </c>
      <c r="AA34" s="97" t="str">
        <f t="shared" si="12"/>
        <v/>
      </c>
      <c r="AB34" s="97" t="str">
        <f t="shared" si="13"/>
        <v/>
      </c>
      <c r="AC34" s="97" t="str">
        <f t="shared" si="14"/>
        <v/>
      </c>
      <c r="AD34" s="228" t="str">
        <f t="shared" si="15"/>
        <v/>
      </c>
      <c r="AE34" s="266" t="str">
        <f t="shared" si="16"/>
        <v/>
      </c>
    </row>
    <row r="35" spans="1:31" x14ac:dyDescent="0.2">
      <c r="A35" s="4">
        <v>25</v>
      </c>
      <c r="B35" s="31">
        <f t="shared" si="1"/>
        <v>2037</v>
      </c>
      <c r="C35" s="158" t="str">
        <f>IN_DATA!P30</f>
        <v/>
      </c>
      <c r="D35" s="33" t="str">
        <f>IN_DATA!Q30</f>
        <v/>
      </c>
      <c r="F35" s="4">
        <f t="shared" si="0"/>
        <v>2037</v>
      </c>
      <c r="G35" s="24" t="str">
        <f>IF(C35="","",IN_DATA!C30*OCF*FPF)</f>
        <v/>
      </c>
      <c r="H35" s="24" t="str">
        <f>IF(C35="","",IN_DATA!D30*OCF*FPF)</f>
        <v/>
      </c>
      <c r="I35" s="24" t="str">
        <f>IF(C35="","",IN_DATA!E30)</f>
        <v/>
      </c>
      <c r="J35" s="24" t="str">
        <f>IF(C35="","",IN_DATA!F30)</f>
        <v/>
      </c>
      <c r="K35" s="24" t="str">
        <f>IF(C35="","",IN_DATA!H30)</f>
        <v/>
      </c>
      <c r="L35" s="155" t="str">
        <f>IF(C35="","",IN_DATA!G30)</f>
        <v/>
      </c>
      <c r="M35" s="154"/>
      <c r="N35" s="220" t="str">
        <f>IF(C35="","",IN_DATA!P30)</f>
        <v/>
      </c>
      <c r="O35" s="112" t="str">
        <f>IF(C35="","",IN_DATA!Q30)</f>
        <v/>
      </c>
      <c r="P35" s="25" t="str">
        <f t="shared" si="2"/>
        <v/>
      </c>
      <c r="Q35" s="25" t="str">
        <f t="shared" si="3"/>
        <v/>
      </c>
      <c r="R35" s="25" t="str">
        <f t="shared" si="4"/>
        <v/>
      </c>
      <c r="S35" s="25" t="str">
        <f t="shared" si="5"/>
        <v/>
      </c>
      <c r="T35" s="25" t="str">
        <f t="shared" si="6"/>
        <v/>
      </c>
      <c r="U35" s="72" t="str">
        <f t="shared" si="7"/>
        <v/>
      </c>
      <c r="V35" s="224" t="str">
        <f>IF(C35="","",IF(IN_DATA!R30=3, IF(IN_DATA!$L$4=5, 250, 375), 0))</f>
        <v/>
      </c>
      <c r="W35" s="97" t="str">
        <f t="shared" si="8"/>
        <v/>
      </c>
      <c r="X35" s="97" t="str">
        <f t="shared" si="9"/>
        <v/>
      </c>
      <c r="Y35" s="97" t="str">
        <f t="shared" si="10"/>
        <v/>
      </c>
      <c r="Z35" s="97" t="str">
        <f t="shared" si="11"/>
        <v/>
      </c>
      <c r="AA35" s="97" t="str">
        <f t="shared" si="12"/>
        <v/>
      </c>
      <c r="AB35" s="97" t="str">
        <f t="shared" si="13"/>
        <v/>
      </c>
      <c r="AC35" s="97" t="str">
        <f t="shared" si="14"/>
        <v/>
      </c>
      <c r="AD35" s="228" t="str">
        <f t="shared" si="15"/>
        <v/>
      </c>
      <c r="AE35" s="266" t="str">
        <f t="shared" si="16"/>
        <v/>
      </c>
    </row>
    <row r="36" spans="1:31" x14ac:dyDescent="0.2">
      <c r="A36" s="4">
        <v>26</v>
      </c>
      <c r="B36" s="31">
        <f t="shared" si="1"/>
        <v>2038</v>
      </c>
      <c r="C36" s="158" t="str">
        <f>IN_DATA!P31</f>
        <v/>
      </c>
      <c r="D36" s="33" t="str">
        <f>IN_DATA!Q31</f>
        <v/>
      </c>
      <c r="F36" s="4">
        <f t="shared" si="0"/>
        <v>2038</v>
      </c>
      <c r="G36" s="24" t="str">
        <f>IF(C36="","",IN_DATA!C31*OCF*FPF)</f>
        <v/>
      </c>
      <c r="H36" s="24" t="str">
        <f>IF(C36="","",IN_DATA!D31*OCF*FPF)</f>
        <v/>
      </c>
      <c r="I36" s="24" t="str">
        <f>IF(C36="","",IN_DATA!E31)</f>
        <v/>
      </c>
      <c r="J36" s="24" t="str">
        <f>IF(C36="","",IN_DATA!F31)</f>
        <v/>
      </c>
      <c r="K36" s="24" t="str">
        <f>IF(C36="","",IN_DATA!H31)</f>
        <v/>
      </c>
      <c r="L36" s="155" t="str">
        <f>IF(C36="","",IN_DATA!G31)</f>
        <v/>
      </c>
      <c r="M36" s="154"/>
      <c r="N36" s="220" t="str">
        <f>IF(C36="","",IN_DATA!P31)</f>
        <v/>
      </c>
      <c r="O36" s="112" t="str">
        <f>IF(C36="","",IN_DATA!Q31)</f>
        <v/>
      </c>
      <c r="P36" s="25" t="str">
        <f t="shared" si="2"/>
        <v/>
      </c>
      <c r="Q36" s="25" t="str">
        <f t="shared" si="3"/>
        <v/>
      </c>
      <c r="R36" s="25" t="str">
        <f t="shared" si="4"/>
        <v/>
      </c>
      <c r="S36" s="25" t="str">
        <f t="shared" si="5"/>
        <v/>
      </c>
      <c r="T36" s="25" t="str">
        <f t="shared" si="6"/>
        <v/>
      </c>
      <c r="U36" s="72" t="str">
        <f t="shared" si="7"/>
        <v/>
      </c>
      <c r="V36" s="224" t="str">
        <f>IF(C36="","",IF(IN_DATA!R31=3, IF(IN_DATA!$L$4=5, 250, 375), 0))</f>
        <v/>
      </c>
      <c r="W36" s="97" t="str">
        <f t="shared" si="8"/>
        <v/>
      </c>
      <c r="X36" s="97" t="str">
        <f t="shared" si="9"/>
        <v/>
      </c>
      <c r="Y36" s="97" t="str">
        <f t="shared" si="10"/>
        <v/>
      </c>
      <c r="Z36" s="97" t="str">
        <f t="shared" si="11"/>
        <v/>
      </c>
      <c r="AA36" s="97" t="str">
        <f t="shared" si="12"/>
        <v/>
      </c>
      <c r="AB36" s="97" t="str">
        <f t="shared" si="13"/>
        <v/>
      </c>
      <c r="AC36" s="97" t="str">
        <f t="shared" si="14"/>
        <v/>
      </c>
      <c r="AD36" s="228" t="str">
        <f t="shared" si="15"/>
        <v/>
      </c>
      <c r="AE36" s="266" t="str">
        <f t="shared" si="16"/>
        <v/>
      </c>
    </row>
    <row r="37" spans="1:31" x14ac:dyDescent="0.2">
      <c r="A37" s="4">
        <v>27</v>
      </c>
      <c r="B37" s="31">
        <f t="shared" si="1"/>
        <v>2039</v>
      </c>
      <c r="C37" s="158" t="str">
        <f>IN_DATA!P32</f>
        <v/>
      </c>
      <c r="D37" s="33" t="str">
        <f>IN_DATA!Q32</f>
        <v/>
      </c>
      <c r="F37" s="4">
        <f t="shared" si="0"/>
        <v>2039</v>
      </c>
      <c r="G37" s="24" t="str">
        <f>IF(C37="","",IN_DATA!C32*OCF*FPF)</f>
        <v/>
      </c>
      <c r="H37" s="24" t="str">
        <f>IF(C37="","",IN_DATA!D32*OCF*FPF)</f>
        <v/>
      </c>
      <c r="I37" s="24" t="str">
        <f>IF(C37="","",IN_DATA!E32)</f>
        <v/>
      </c>
      <c r="J37" s="24" t="str">
        <f>IF(C37="","",IN_DATA!F32)</f>
        <v/>
      </c>
      <c r="K37" s="24" t="str">
        <f>IF(C37="","",IN_DATA!H32)</f>
        <v/>
      </c>
      <c r="L37" s="155" t="str">
        <f>IF(C37="","",IN_DATA!G32)</f>
        <v/>
      </c>
      <c r="M37" s="154"/>
      <c r="N37" s="220" t="str">
        <f>IF(C37="","",IN_DATA!P32)</f>
        <v/>
      </c>
      <c r="O37" s="112" t="str">
        <f>IF(C37="","",IN_DATA!Q32)</f>
        <v/>
      </c>
      <c r="P37" s="25" t="str">
        <f t="shared" si="2"/>
        <v/>
      </c>
      <c r="Q37" s="25" t="str">
        <f t="shared" si="3"/>
        <v/>
      </c>
      <c r="R37" s="25" t="str">
        <f t="shared" si="4"/>
        <v/>
      </c>
      <c r="S37" s="25" t="str">
        <f t="shared" si="5"/>
        <v/>
      </c>
      <c r="T37" s="25" t="str">
        <f t="shared" si="6"/>
        <v/>
      </c>
      <c r="U37" s="72" t="str">
        <f t="shared" si="7"/>
        <v/>
      </c>
      <c r="V37" s="224" t="str">
        <f>IF(C37="","",IF(IN_DATA!R32=3, IF(IN_DATA!$L$4=5, 250, 375), 0))</f>
        <v/>
      </c>
      <c r="W37" s="97" t="str">
        <f t="shared" si="8"/>
        <v/>
      </c>
      <c r="X37" s="97" t="str">
        <f t="shared" si="9"/>
        <v/>
      </c>
      <c r="Y37" s="97" t="str">
        <f t="shared" si="10"/>
        <v/>
      </c>
      <c r="Z37" s="97" t="str">
        <f t="shared" si="11"/>
        <v/>
      </c>
      <c r="AA37" s="97" t="str">
        <f t="shared" si="12"/>
        <v/>
      </c>
      <c r="AB37" s="97" t="str">
        <f t="shared" si="13"/>
        <v/>
      </c>
      <c r="AC37" s="97" t="str">
        <f t="shared" si="14"/>
        <v/>
      </c>
      <c r="AD37" s="228" t="str">
        <f t="shared" si="15"/>
        <v/>
      </c>
      <c r="AE37" s="266" t="str">
        <f t="shared" si="16"/>
        <v/>
      </c>
    </row>
    <row r="38" spans="1:31" x14ac:dyDescent="0.2">
      <c r="A38" s="4">
        <v>28</v>
      </c>
      <c r="B38" s="31">
        <f t="shared" si="1"/>
        <v>2040</v>
      </c>
      <c r="C38" s="158" t="str">
        <f>IN_DATA!P33</f>
        <v/>
      </c>
      <c r="D38" s="33" t="str">
        <f>IN_DATA!Q33</f>
        <v/>
      </c>
      <c r="F38" s="4">
        <f t="shared" si="0"/>
        <v>2040</v>
      </c>
      <c r="G38" s="24" t="str">
        <f>IF(C38="","",IN_DATA!C33*OCF*FPF)</f>
        <v/>
      </c>
      <c r="H38" s="24" t="str">
        <f>IF(C38="","",IN_DATA!D33*OCF*FPF)</f>
        <v/>
      </c>
      <c r="I38" s="24" t="str">
        <f>IF(C38="","",IN_DATA!E33)</f>
        <v/>
      </c>
      <c r="J38" s="24" t="str">
        <f>IF(C38="","",IN_DATA!F33)</f>
        <v/>
      </c>
      <c r="K38" s="24" t="str">
        <f>IF(C38="","",IN_DATA!H33)</f>
        <v/>
      </c>
      <c r="L38" s="155" t="str">
        <f>IF(C38="","",IN_DATA!G33)</f>
        <v/>
      </c>
      <c r="M38" s="154"/>
      <c r="N38" s="220" t="str">
        <f>IF(C38="","",IN_DATA!P33)</f>
        <v/>
      </c>
      <c r="O38" s="112" t="str">
        <f>IF(C38="","",IN_DATA!Q33)</f>
        <v/>
      </c>
      <c r="P38" s="25" t="str">
        <f t="shared" si="2"/>
        <v/>
      </c>
      <c r="Q38" s="25" t="str">
        <f t="shared" si="3"/>
        <v/>
      </c>
      <c r="R38" s="25" t="str">
        <f t="shared" si="4"/>
        <v/>
      </c>
      <c r="S38" s="25" t="str">
        <f t="shared" si="5"/>
        <v/>
      </c>
      <c r="T38" s="25" t="str">
        <f t="shared" si="6"/>
        <v/>
      </c>
      <c r="U38" s="72" t="str">
        <f t="shared" si="7"/>
        <v/>
      </c>
      <c r="V38" s="224" t="str">
        <f>IF(C38="","",IF(IN_DATA!R33=3, IF(IN_DATA!$L$4=5, 250, 375), 0))</f>
        <v/>
      </c>
      <c r="W38" s="97" t="str">
        <f t="shared" si="8"/>
        <v/>
      </c>
      <c r="X38" s="97" t="str">
        <f t="shared" si="9"/>
        <v/>
      </c>
      <c r="Y38" s="97" t="str">
        <f t="shared" si="10"/>
        <v/>
      </c>
      <c r="Z38" s="97" t="str">
        <f t="shared" si="11"/>
        <v/>
      </c>
      <c r="AA38" s="97" t="str">
        <f t="shared" si="12"/>
        <v/>
      </c>
      <c r="AB38" s="97" t="str">
        <f t="shared" si="13"/>
        <v/>
      </c>
      <c r="AC38" s="97" t="str">
        <f t="shared" si="14"/>
        <v/>
      </c>
      <c r="AD38" s="228" t="str">
        <f t="shared" si="15"/>
        <v/>
      </c>
      <c r="AE38" s="266" t="str">
        <f t="shared" si="16"/>
        <v/>
      </c>
    </row>
    <row r="39" spans="1:31" x14ac:dyDescent="0.2">
      <c r="A39" s="4">
        <v>29</v>
      </c>
      <c r="B39" s="31">
        <f t="shared" si="1"/>
        <v>2041</v>
      </c>
      <c r="C39" s="158" t="str">
        <f>IN_DATA!P34</f>
        <v/>
      </c>
      <c r="D39" s="33" t="str">
        <f>IN_DATA!Q34</f>
        <v/>
      </c>
      <c r="F39" s="4">
        <f t="shared" si="0"/>
        <v>2041</v>
      </c>
      <c r="G39" s="24" t="str">
        <f>IF(C39="","",IN_DATA!C34*OCF*FPF)</f>
        <v/>
      </c>
      <c r="H39" s="24" t="str">
        <f>IF(C39="","",IN_DATA!D34*OCF*FPF)</f>
        <v/>
      </c>
      <c r="I39" s="24" t="str">
        <f>IF(C39="","",IN_DATA!E34)</f>
        <v/>
      </c>
      <c r="J39" s="24" t="str">
        <f>IF(C39="","",IN_DATA!F34)</f>
        <v/>
      </c>
      <c r="K39" s="24" t="str">
        <f>IF(C39="","",IN_DATA!H34)</f>
        <v/>
      </c>
      <c r="L39" s="155" t="str">
        <f>IF(C39="","",IN_DATA!G34)</f>
        <v/>
      </c>
      <c r="M39" s="154"/>
      <c r="N39" s="220" t="str">
        <f>IF(C39="","",IN_DATA!P34)</f>
        <v/>
      </c>
      <c r="O39" s="112" t="str">
        <f>IF(C39="","",IN_DATA!Q34)</f>
        <v/>
      </c>
      <c r="P39" s="25" t="str">
        <f t="shared" si="2"/>
        <v/>
      </c>
      <c r="Q39" s="25" t="str">
        <f t="shared" si="3"/>
        <v/>
      </c>
      <c r="R39" s="25" t="str">
        <f t="shared" si="4"/>
        <v/>
      </c>
      <c r="S39" s="25" t="str">
        <f t="shared" si="5"/>
        <v/>
      </c>
      <c r="T39" s="25" t="str">
        <f t="shared" si="6"/>
        <v/>
      </c>
      <c r="U39" s="72" t="str">
        <f t="shared" si="7"/>
        <v/>
      </c>
      <c r="V39" s="224" t="str">
        <f>IF(C39="","",IF(IN_DATA!R34=3, IF(IN_DATA!$L$4=5, 250, 375), 0))</f>
        <v/>
      </c>
      <c r="W39" s="97" t="str">
        <f t="shared" si="8"/>
        <v/>
      </c>
      <c r="X39" s="97" t="str">
        <f t="shared" si="9"/>
        <v/>
      </c>
      <c r="Y39" s="97" t="str">
        <f t="shared" si="10"/>
        <v/>
      </c>
      <c r="Z39" s="97" t="str">
        <f t="shared" si="11"/>
        <v/>
      </c>
      <c r="AA39" s="97" t="str">
        <f t="shared" si="12"/>
        <v/>
      </c>
      <c r="AB39" s="97" t="str">
        <f t="shared" si="13"/>
        <v/>
      </c>
      <c r="AC39" s="97" t="str">
        <f t="shared" si="14"/>
        <v/>
      </c>
      <c r="AD39" s="228" t="str">
        <f t="shared" si="15"/>
        <v/>
      </c>
      <c r="AE39" s="266" t="str">
        <f t="shared" si="16"/>
        <v/>
      </c>
    </row>
    <row r="40" spans="1:31" x14ac:dyDescent="0.2">
      <c r="A40" s="4">
        <v>30</v>
      </c>
      <c r="B40" s="31">
        <f t="shared" si="1"/>
        <v>2042</v>
      </c>
      <c r="C40" s="158" t="str">
        <f>IN_DATA!P35</f>
        <v/>
      </c>
      <c r="D40" s="33" t="str">
        <f>IN_DATA!Q35</f>
        <v/>
      </c>
      <c r="F40" s="4">
        <f t="shared" si="0"/>
        <v>2042</v>
      </c>
      <c r="G40" s="24" t="str">
        <f>IF(C40="","",IN_DATA!C35*OCF*FPF)</f>
        <v/>
      </c>
      <c r="H40" s="24" t="str">
        <f>IF(C40="","",IN_DATA!D35*OCF*FPF)</f>
        <v/>
      </c>
      <c r="I40" s="24" t="str">
        <f>IF(C40="","",IN_DATA!E35)</f>
        <v/>
      </c>
      <c r="J40" s="24" t="str">
        <f>IF(C40="","",IN_DATA!F35)</f>
        <v/>
      </c>
      <c r="K40" s="24" t="str">
        <f>IF(C40="","",IN_DATA!H35)</f>
        <v/>
      </c>
      <c r="L40" s="155" t="str">
        <f>IF(C40="","",IN_DATA!G35)</f>
        <v/>
      </c>
      <c r="M40" s="154"/>
      <c r="N40" s="220" t="str">
        <f>IF(C40="","",IN_DATA!P35)</f>
        <v/>
      </c>
      <c r="O40" s="112" t="str">
        <f>IF(C40="","",IN_DATA!Q35)</f>
        <v/>
      </c>
      <c r="P40" s="25" t="str">
        <f t="shared" si="2"/>
        <v/>
      </c>
      <c r="Q40" s="25" t="str">
        <f t="shared" si="3"/>
        <v/>
      </c>
      <c r="R40" s="25" t="str">
        <f t="shared" si="4"/>
        <v/>
      </c>
      <c r="S40" s="25" t="str">
        <f t="shared" si="5"/>
        <v/>
      </c>
      <c r="T40" s="25" t="str">
        <f t="shared" si="6"/>
        <v/>
      </c>
      <c r="U40" s="72" t="str">
        <f t="shared" si="7"/>
        <v/>
      </c>
      <c r="V40" s="224" t="str">
        <f>IF(C40="","",IF(IN_DATA!R35=3, IF(IN_DATA!$L$4=5, 250, 375), 0))</f>
        <v/>
      </c>
      <c r="W40" s="97" t="str">
        <f t="shared" si="8"/>
        <v/>
      </c>
      <c r="X40" s="97" t="str">
        <f t="shared" si="9"/>
        <v/>
      </c>
      <c r="Y40" s="97" t="str">
        <f t="shared" si="10"/>
        <v/>
      </c>
      <c r="Z40" s="97" t="str">
        <f t="shared" si="11"/>
        <v/>
      </c>
      <c r="AA40" s="97" t="str">
        <f t="shared" si="12"/>
        <v/>
      </c>
      <c r="AB40" s="97" t="str">
        <f t="shared" si="13"/>
        <v/>
      </c>
      <c r="AC40" s="97" t="str">
        <f t="shared" si="14"/>
        <v/>
      </c>
      <c r="AD40" s="228" t="str">
        <f t="shared" si="15"/>
        <v/>
      </c>
      <c r="AE40" s="266" t="str">
        <f t="shared" si="16"/>
        <v/>
      </c>
    </row>
    <row r="41" spans="1:31" x14ac:dyDescent="0.2">
      <c r="A41" s="4">
        <v>31</v>
      </c>
      <c r="B41" s="31">
        <f t="shared" si="1"/>
        <v>2043</v>
      </c>
      <c r="C41" s="158" t="str">
        <f>IN_DATA!P36</f>
        <v/>
      </c>
      <c r="D41" s="33" t="str">
        <f>IN_DATA!Q36</f>
        <v/>
      </c>
      <c r="F41" s="4">
        <f t="shared" si="0"/>
        <v>2043</v>
      </c>
      <c r="G41" s="24" t="str">
        <f>IF(C41="","",IN_DATA!C36*OCF*FPF)</f>
        <v/>
      </c>
      <c r="H41" s="24" t="str">
        <f>IF(C41="","",IN_DATA!D36*OCF*FPF)</f>
        <v/>
      </c>
      <c r="I41" s="24" t="str">
        <f>IF(C41="","",IN_DATA!E36)</f>
        <v/>
      </c>
      <c r="J41" s="24" t="str">
        <f>IF(C41="","",IN_DATA!F36)</f>
        <v/>
      </c>
      <c r="K41" s="24" t="str">
        <f>IF(C41="","",IN_DATA!H36)</f>
        <v/>
      </c>
      <c r="L41" s="155" t="str">
        <f>IF(C41="","",IN_DATA!G36)</f>
        <v/>
      </c>
      <c r="M41" s="154"/>
      <c r="N41" s="220" t="str">
        <f>IF(C41="","",IN_DATA!P36)</f>
        <v/>
      </c>
      <c r="O41" s="112" t="str">
        <f>IF(C41="","",IN_DATA!Q36)</f>
        <v/>
      </c>
      <c r="P41" s="25" t="str">
        <f t="shared" si="2"/>
        <v/>
      </c>
      <c r="Q41" s="25" t="str">
        <f t="shared" si="3"/>
        <v/>
      </c>
      <c r="R41" s="25" t="str">
        <f t="shared" si="4"/>
        <v/>
      </c>
      <c r="S41" s="25" t="str">
        <f t="shared" si="5"/>
        <v/>
      </c>
      <c r="T41" s="25" t="str">
        <f t="shared" si="6"/>
        <v/>
      </c>
      <c r="U41" s="72" t="str">
        <f t="shared" si="7"/>
        <v/>
      </c>
      <c r="V41" s="224" t="str">
        <f>IF(C41="","",IF(IN_DATA!R36=3, IF(IN_DATA!$L$4=5, 250, 375), 0))</f>
        <v/>
      </c>
      <c r="W41" s="97" t="str">
        <f t="shared" si="8"/>
        <v/>
      </c>
      <c r="X41" s="97" t="str">
        <f t="shared" si="9"/>
        <v/>
      </c>
      <c r="Y41" s="97" t="str">
        <f t="shared" si="10"/>
        <v/>
      </c>
      <c r="Z41" s="97" t="str">
        <f t="shared" si="11"/>
        <v/>
      </c>
      <c r="AA41" s="97" t="str">
        <f t="shared" si="12"/>
        <v/>
      </c>
      <c r="AB41" s="97" t="str">
        <f t="shared" si="13"/>
        <v/>
      </c>
      <c r="AC41" s="97" t="str">
        <f t="shared" si="14"/>
        <v/>
      </c>
      <c r="AD41" s="228" t="str">
        <f t="shared" si="15"/>
        <v/>
      </c>
      <c r="AE41" s="266" t="str">
        <f t="shared" si="16"/>
        <v/>
      </c>
    </row>
    <row r="42" spans="1:31" x14ac:dyDescent="0.2">
      <c r="A42" s="4">
        <v>32</v>
      </c>
      <c r="B42" s="31">
        <f t="shared" si="1"/>
        <v>2044</v>
      </c>
      <c r="C42" s="158" t="str">
        <f>IN_DATA!P37</f>
        <v/>
      </c>
      <c r="D42" s="33" t="str">
        <f>IN_DATA!Q37</f>
        <v/>
      </c>
      <c r="F42" s="4">
        <f t="shared" si="0"/>
        <v>2044</v>
      </c>
      <c r="G42" s="24" t="str">
        <f>IF(C42="","",IN_DATA!C37*OCF*FPF)</f>
        <v/>
      </c>
      <c r="H42" s="24" t="str">
        <f>IF(C42="","",IN_DATA!D37*OCF*FPF)</f>
        <v/>
      </c>
      <c r="I42" s="24" t="str">
        <f>IF(C42="","",IN_DATA!E37)</f>
        <v/>
      </c>
      <c r="J42" s="24" t="str">
        <f>IF(C42="","",IN_DATA!F37)</f>
        <v/>
      </c>
      <c r="K42" s="24" t="str">
        <f>IF(C42="","",IN_DATA!H37)</f>
        <v/>
      </c>
      <c r="L42" s="155" t="str">
        <f>IF(C42="","",IN_DATA!G37)</f>
        <v/>
      </c>
      <c r="M42" s="154"/>
      <c r="N42" s="220" t="str">
        <f>IF(C42="","",IN_DATA!P37)</f>
        <v/>
      </c>
      <c r="O42" s="112" t="str">
        <f>IF(C42="","",IN_DATA!Q37)</f>
        <v/>
      </c>
      <c r="P42" s="25" t="str">
        <f t="shared" si="2"/>
        <v/>
      </c>
      <c r="Q42" s="25" t="str">
        <f t="shared" si="3"/>
        <v/>
      </c>
      <c r="R42" s="25" t="str">
        <f t="shared" si="4"/>
        <v/>
      </c>
      <c r="S42" s="25" t="str">
        <f t="shared" si="5"/>
        <v/>
      </c>
      <c r="T42" s="25" t="str">
        <f t="shared" si="6"/>
        <v/>
      </c>
      <c r="U42" s="72" t="str">
        <f t="shared" si="7"/>
        <v/>
      </c>
      <c r="V42" s="224" t="str">
        <f>IF(C42="","",IF(IN_DATA!R37=3, IF(IN_DATA!$L$4=5, 250, 375), 0))</f>
        <v/>
      </c>
      <c r="W42" s="97" t="str">
        <f t="shared" si="8"/>
        <v/>
      </c>
      <c r="X42" s="97" t="str">
        <f t="shared" si="9"/>
        <v/>
      </c>
      <c r="Y42" s="97" t="str">
        <f t="shared" si="10"/>
        <v/>
      </c>
      <c r="Z42" s="97" t="str">
        <f t="shared" si="11"/>
        <v/>
      </c>
      <c r="AA42" s="97" t="str">
        <f t="shared" si="12"/>
        <v/>
      </c>
      <c r="AB42" s="97" t="str">
        <f t="shared" si="13"/>
        <v/>
      </c>
      <c r="AC42" s="97" t="str">
        <f t="shared" si="14"/>
        <v/>
      </c>
      <c r="AD42" s="228" t="str">
        <f t="shared" si="15"/>
        <v/>
      </c>
      <c r="AE42" s="266" t="str">
        <f t="shared" si="16"/>
        <v/>
      </c>
    </row>
    <row r="43" spans="1:31" x14ac:dyDescent="0.2">
      <c r="A43" s="4">
        <v>33</v>
      </c>
      <c r="B43" s="31">
        <f t="shared" si="1"/>
        <v>2045</v>
      </c>
      <c r="C43" s="158" t="str">
        <f>IN_DATA!P38</f>
        <v/>
      </c>
      <c r="D43" s="33" t="str">
        <f>IN_DATA!Q38</f>
        <v/>
      </c>
      <c r="F43" s="4">
        <f t="shared" si="0"/>
        <v>2045</v>
      </c>
      <c r="G43" s="24" t="str">
        <f>IF(C43="","",IN_DATA!C38*OCF*FPF)</f>
        <v/>
      </c>
      <c r="H43" s="24" t="str">
        <f>IF(C43="","",IN_DATA!D38*OCF*FPF)</f>
        <v/>
      </c>
      <c r="I43" s="24" t="str">
        <f>IF(C43="","",IN_DATA!E38)</f>
        <v/>
      </c>
      <c r="J43" s="24" t="str">
        <f>IF(C43="","",IN_DATA!F38)</f>
        <v/>
      </c>
      <c r="K43" s="24" t="str">
        <f>IF(C43="","",IN_DATA!H38)</f>
        <v/>
      </c>
      <c r="L43" s="155" t="str">
        <f>IF(C43="","",IN_DATA!G38)</f>
        <v/>
      </c>
      <c r="M43" s="154"/>
      <c r="N43" s="220" t="str">
        <f>IF(C43="","",IN_DATA!P38)</f>
        <v/>
      </c>
      <c r="O43" s="112" t="str">
        <f>IF(C43="","",IN_DATA!Q38)</f>
        <v/>
      </c>
      <c r="P43" s="25" t="str">
        <f t="shared" si="2"/>
        <v/>
      </c>
      <c r="Q43" s="25" t="str">
        <f t="shared" si="3"/>
        <v/>
      </c>
      <c r="R43" s="25" t="str">
        <f t="shared" si="4"/>
        <v/>
      </c>
      <c r="S43" s="25" t="str">
        <f t="shared" si="5"/>
        <v/>
      </c>
      <c r="T43" s="25" t="str">
        <f t="shared" si="6"/>
        <v/>
      </c>
      <c r="U43" s="72" t="str">
        <f t="shared" si="7"/>
        <v/>
      </c>
      <c r="V43" s="224" t="str">
        <f>IF(C43="","",IF(IN_DATA!R38=3, IF(IN_DATA!$L$4=5, 250, 375), 0))</f>
        <v/>
      </c>
      <c r="W43" s="97" t="str">
        <f t="shared" si="8"/>
        <v/>
      </c>
      <c r="X43" s="97" t="str">
        <f t="shared" si="9"/>
        <v/>
      </c>
      <c r="Y43" s="97" t="str">
        <f t="shared" si="10"/>
        <v/>
      </c>
      <c r="Z43" s="97" t="str">
        <f t="shared" si="11"/>
        <v/>
      </c>
      <c r="AA43" s="97" t="str">
        <f t="shared" si="12"/>
        <v/>
      </c>
      <c r="AB43" s="97" t="str">
        <f t="shared" si="13"/>
        <v/>
      </c>
      <c r="AC43" s="97" t="str">
        <f t="shared" si="14"/>
        <v/>
      </c>
      <c r="AD43" s="228" t="str">
        <f t="shared" si="15"/>
        <v/>
      </c>
      <c r="AE43" s="266" t="str">
        <f t="shared" si="16"/>
        <v/>
      </c>
    </row>
    <row r="44" spans="1:31" x14ac:dyDescent="0.2">
      <c r="A44" s="4">
        <v>34</v>
      </c>
      <c r="B44" s="31">
        <f t="shared" si="1"/>
        <v>2046</v>
      </c>
      <c r="C44" s="158" t="str">
        <f>IN_DATA!P39</f>
        <v/>
      </c>
      <c r="D44" s="33" t="str">
        <f>IN_DATA!Q39</f>
        <v/>
      </c>
      <c r="F44" s="4">
        <f t="shared" si="0"/>
        <v>2046</v>
      </c>
      <c r="G44" s="24" t="str">
        <f>IF(C44="","",IN_DATA!C39*OCF*FPF)</f>
        <v/>
      </c>
      <c r="H44" s="24" t="str">
        <f>IF(C44="","",IN_DATA!D39*OCF*FPF)</f>
        <v/>
      </c>
      <c r="I44" s="24" t="str">
        <f>IF(C44="","",IN_DATA!E39)</f>
        <v/>
      </c>
      <c r="J44" s="24" t="str">
        <f>IF(C44="","",IN_DATA!F39)</f>
        <v/>
      </c>
      <c r="K44" s="24" t="str">
        <f>IF(C44="","",IN_DATA!H39)</f>
        <v/>
      </c>
      <c r="L44" s="155" t="str">
        <f>IF(C44="","",IN_DATA!G39)</f>
        <v/>
      </c>
      <c r="M44" s="154"/>
      <c r="N44" s="220" t="str">
        <f>IF(C44="","",IN_DATA!P39)</f>
        <v/>
      </c>
      <c r="O44" s="112" t="str">
        <f>IF(C44="","",IN_DATA!Q39)</f>
        <v/>
      </c>
      <c r="P44" s="25" t="str">
        <f t="shared" si="2"/>
        <v/>
      </c>
      <c r="Q44" s="25" t="str">
        <f t="shared" si="3"/>
        <v/>
      </c>
      <c r="R44" s="25" t="str">
        <f t="shared" si="4"/>
        <v/>
      </c>
      <c r="S44" s="25" t="str">
        <f t="shared" si="5"/>
        <v/>
      </c>
      <c r="T44" s="25" t="str">
        <f t="shared" si="6"/>
        <v/>
      </c>
      <c r="U44" s="72" t="str">
        <f t="shared" si="7"/>
        <v/>
      </c>
      <c r="V44" s="224" t="str">
        <f>IF(C44="","",IF(IN_DATA!R39=3, IF(IN_DATA!$L$4=5, 250, 375), 0))</f>
        <v/>
      </c>
      <c r="W44" s="97" t="str">
        <f t="shared" si="8"/>
        <v/>
      </c>
      <c r="X44" s="97" t="str">
        <f t="shared" si="9"/>
        <v/>
      </c>
      <c r="Y44" s="97" t="str">
        <f t="shared" si="10"/>
        <v/>
      </c>
      <c r="Z44" s="97" t="str">
        <f t="shared" si="11"/>
        <v/>
      </c>
      <c r="AA44" s="97" t="str">
        <f t="shared" si="12"/>
        <v/>
      </c>
      <c r="AB44" s="97" t="str">
        <f t="shared" si="13"/>
        <v/>
      </c>
      <c r="AC44" s="97" t="str">
        <f t="shared" si="14"/>
        <v/>
      </c>
      <c r="AD44" s="228" t="str">
        <f t="shared" si="15"/>
        <v/>
      </c>
      <c r="AE44" s="266" t="str">
        <f t="shared" si="16"/>
        <v/>
      </c>
    </row>
    <row r="45" spans="1:31" x14ac:dyDescent="0.2">
      <c r="A45" s="4">
        <v>35</v>
      </c>
      <c r="B45" s="31">
        <f t="shared" si="1"/>
        <v>2047</v>
      </c>
      <c r="C45" s="158" t="str">
        <f>IN_DATA!P40</f>
        <v/>
      </c>
      <c r="D45" s="33" t="str">
        <f>IN_DATA!Q40</f>
        <v/>
      </c>
      <c r="F45" s="4">
        <f t="shared" si="0"/>
        <v>2047</v>
      </c>
      <c r="G45" s="24" t="str">
        <f>IF(C45="","",IN_DATA!C40*OCF*FPF)</f>
        <v/>
      </c>
      <c r="H45" s="24" t="str">
        <f>IF(C45="","",IN_DATA!D40*OCF*FPF)</f>
        <v/>
      </c>
      <c r="I45" s="24" t="str">
        <f>IF(C45="","",IN_DATA!E40)</f>
        <v/>
      </c>
      <c r="J45" s="24" t="str">
        <f>IF(C45="","",IN_DATA!F40)</f>
        <v/>
      </c>
      <c r="K45" s="24" t="str">
        <f>IF(C45="","",IN_DATA!H40)</f>
        <v/>
      </c>
      <c r="L45" s="155" t="str">
        <f>IF(C45="","",IN_DATA!G40)</f>
        <v/>
      </c>
      <c r="M45" s="154"/>
      <c r="N45" s="220" t="str">
        <f>IF(C45="","",IN_DATA!P40)</f>
        <v/>
      </c>
      <c r="O45" s="112" t="str">
        <f>IF(C45="","",IN_DATA!Q40)</f>
        <v/>
      </c>
      <c r="P45" s="25" t="str">
        <f t="shared" si="2"/>
        <v/>
      </c>
      <c r="Q45" s="25" t="str">
        <f t="shared" si="3"/>
        <v/>
      </c>
      <c r="R45" s="25" t="str">
        <f t="shared" si="4"/>
        <v/>
      </c>
      <c r="S45" s="25" t="str">
        <f t="shared" si="5"/>
        <v/>
      </c>
      <c r="T45" s="25" t="str">
        <f t="shared" si="6"/>
        <v/>
      </c>
      <c r="U45" s="72" t="str">
        <f t="shared" si="7"/>
        <v/>
      </c>
      <c r="V45" s="224" t="str">
        <f>IF(C45="","",IF(IN_DATA!R40=3, IF(IN_DATA!$L$4=5, 250, 375), 0))</f>
        <v/>
      </c>
      <c r="W45" s="97" t="str">
        <f t="shared" si="8"/>
        <v/>
      </c>
      <c r="X45" s="97" t="str">
        <f t="shared" si="9"/>
        <v/>
      </c>
      <c r="Y45" s="97" t="str">
        <f t="shared" si="10"/>
        <v/>
      </c>
      <c r="Z45" s="97" t="str">
        <f t="shared" si="11"/>
        <v/>
      </c>
      <c r="AA45" s="97" t="str">
        <f t="shared" si="12"/>
        <v/>
      </c>
      <c r="AB45" s="97" t="str">
        <f t="shared" si="13"/>
        <v/>
      </c>
      <c r="AC45" s="97" t="str">
        <f t="shared" si="14"/>
        <v/>
      </c>
      <c r="AD45" s="228" t="str">
        <f t="shared" si="15"/>
        <v/>
      </c>
      <c r="AE45" s="266" t="str">
        <f t="shared" si="16"/>
        <v/>
      </c>
    </row>
    <row r="46" spans="1:31" x14ac:dyDescent="0.2">
      <c r="A46" s="4">
        <v>36</v>
      </c>
      <c r="B46" s="31">
        <f t="shared" si="1"/>
        <v>2048</v>
      </c>
      <c r="C46" s="158" t="str">
        <f>IN_DATA!P41</f>
        <v/>
      </c>
      <c r="D46" s="33" t="str">
        <f>IN_DATA!Q41</f>
        <v/>
      </c>
      <c r="F46" s="4">
        <f t="shared" si="0"/>
        <v>2048</v>
      </c>
      <c r="G46" s="24" t="str">
        <f>IF(C46="","",IN_DATA!C41*OCF*FPF)</f>
        <v/>
      </c>
      <c r="H46" s="24" t="str">
        <f>IF(C46="","",IN_DATA!D41*OCF*FPF)</f>
        <v/>
      </c>
      <c r="I46" s="24" t="str">
        <f>IF(C46="","",IN_DATA!E41)</f>
        <v/>
      </c>
      <c r="J46" s="24" t="str">
        <f>IF(C46="","",IN_DATA!F41)</f>
        <v/>
      </c>
      <c r="K46" s="24" t="str">
        <f>IF(C46="","",IN_DATA!H41)</f>
        <v/>
      </c>
      <c r="L46" s="155" t="str">
        <f>IF(C46="","",IN_DATA!G41)</f>
        <v/>
      </c>
      <c r="M46" s="154"/>
      <c r="N46" s="220" t="str">
        <f>IF(C46="","",IN_DATA!P41)</f>
        <v/>
      </c>
      <c r="O46" s="112" t="str">
        <f>IF(C46="","",IN_DATA!Q41)</f>
        <v/>
      </c>
      <c r="P46" s="25" t="str">
        <f t="shared" si="2"/>
        <v/>
      </c>
      <c r="Q46" s="25" t="str">
        <f t="shared" si="3"/>
        <v/>
      </c>
      <c r="R46" s="25" t="str">
        <f t="shared" si="4"/>
        <v/>
      </c>
      <c r="S46" s="25" t="str">
        <f t="shared" si="5"/>
        <v/>
      </c>
      <c r="T46" s="25" t="str">
        <f t="shared" si="6"/>
        <v/>
      </c>
      <c r="U46" s="72" t="str">
        <f t="shared" si="7"/>
        <v/>
      </c>
      <c r="V46" s="224" t="str">
        <f>IF(C46="","",IF(IN_DATA!R41=3, IF(IN_DATA!$L$4=5, 250, 375), 0))</f>
        <v/>
      </c>
      <c r="W46" s="97" t="str">
        <f t="shared" si="8"/>
        <v/>
      </c>
      <c r="X46" s="97" t="str">
        <f t="shared" si="9"/>
        <v/>
      </c>
      <c r="Y46" s="97" t="str">
        <f t="shared" si="10"/>
        <v/>
      </c>
      <c r="Z46" s="97" t="str">
        <f t="shared" si="11"/>
        <v/>
      </c>
      <c r="AA46" s="97" t="str">
        <f t="shared" si="12"/>
        <v/>
      </c>
      <c r="AB46" s="97" t="str">
        <f t="shared" si="13"/>
        <v/>
      </c>
      <c r="AC46" s="97" t="str">
        <f t="shared" si="14"/>
        <v/>
      </c>
      <c r="AD46" s="228" t="str">
        <f t="shared" si="15"/>
        <v/>
      </c>
      <c r="AE46" s="266" t="str">
        <f t="shared" si="16"/>
        <v/>
      </c>
    </row>
    <row r="47" spans="1:31" x14ac:dyDescent="0.2">
      <c r="A47" s="4">
        <v>37</v>
      </c>
      <c r="B47" s="31">
        <f t="shared" si="1"/>
        <v>2049</v>
      </c>
      <c r="C47" s="158" t="str">
        <f>IN_DATA!P42</f>
        <v/>
      </c>
      <c r="D47" s="33" t="str">
        <f>IN_DATA!Q42</f>
        <v/>
      </c>
      <c r="F47" s="4">
        <f t="shared" si="0"/>
        <v>2049</v>
      </c>
      <c r="G47" s="24" t="str">
        <f>IF(C47="","",IN_DATA!C42*OCF*FPF)</f>
        <v/>
      </c>
      <c r="H47" s="24" t="str">
        <f>IF(C47="","",IN_DATA!D42*OCF*FPF)</f>
        <v/>
      </c>
      <c r="I47" s="24" t="str">
        <f>IF(C47="","",IN_DATA!E42)</f>
        <v/>
      </c>
      <c r="J47" s="24" t="str">
        <f>IF(C47="","",IN_DATA!F42)</f>
        <v/>
      </c>
      <c r="K47" s="24" t="str">
        <f>IF(C47="","",IN_DATA!H42)</f>
        <v/>
      </c>
      <c r="L47" s="155" t="str">
        <f>IF(C47="","",IN_DATA!G42)</f>
        <v/>
      </c>
      <c r="M47" s="154"/>
      <c r="N47" s="220" t="str">
        <f>IF(C47="","",IN_DATA!P42)</f>
        <v/>
      </c>
      <c r="O47" s="112" t="str">
        <f>IF(C47="","",IN_DATA!Q42)</f>
        <v/>
      </c>
      <c r="P47" s="25" t="str">
        <f t="shared" si="2"/>
        <v/>
      </c>
      <c r="Q47" s="25" t="str">
        <f t="shared" si="3"/>
        <v/>
      </c>
      <c r="R47" s="25" t="str">
        <f t="shared" si="4"/>
        <v/>
      </c>
      <c r="S47" s="25" t="str">
        <f t="shared" si="5"/>
        <v/>
      </c>
      <c r="T47" s="25" t="str">
        <f t="shared" si="6"/>
        <v/>
      </c>
      <c r="U47" s="72" t="str">
        <f t="shared" si="7"/>
        <v/>
      </c>
      <c r="V47" s="224" t="str">
        <f>IF(C47="","",IF(IN_DATA!R42=3, IF(IN_DATA!$L$4=5, 250, 375), 0))</f>
        <v/>
      </c>
      <c r="W47" s="97" t="str">
        <f t="shared" si="8"/>
        <v/>
      </c>
      <c r="X47" s="97" t="str">
        <f t="shared" si="9"/>
        <v/>
      </c>
      <c r="Y47" s="97" t="str">
        <f t="shared" si="10"/>
        <v/>
      </c>
      <c r="Z47" s="97" t="str">
        <f t="shared" si="11"/>
        <v/>
      </c>
      <c r="AA47" s="97" t="str">
        <f t="shared" si="12"/>
        <v/>
      </c>
      <c r="AB47" s="97" t="str">
        <f t="shared" si="13"/>
        <v/>
      </c>
      <c r="AC47" s="97" t="str">
        <f t="shared" si="14"/>
        <v/>
      </c>
      <c r="AD47" s="228" t="str">
        <f t="shared" si="15"/>
        <v/>
      </c>
      <c r="AE47" s="266" t="str">
        <f t="shared" si="16"/>
        <v/>
      </c>
    </row>
    <row r="48" spans="1:31" x14ac:dyDescent="0.2">
      <c r="A48" s="4">
        <v>38</v>
      </c>
      <c r="B48" s="31">
        <f t="shared" si="1"/>
        <v>2050</v>
      </c>
      <c r="C48" s="158" t="str">
        <f>IN_DATA!P43</f>
        <v/>
      </c>
      <c r="D48" s="33" t="str">
        <f>IN_DATA!Q43</f>
        <v/>
      </c>
      <c r="F48" s="4">
        <f t="shared" si="0"/>
        <v>2050</v>
      </c>
      <c r="G48" s="24" t="str">
        <f>IF(C48="","",IN_DATA!C43*OCF*FPF)</f>
        <v/>
      </c>
      <c r="H48" s="24" t="str">
        <f>IF(C48="","",IN_DATA!D43*OCF*FPF)</f>
        <v/>
      </c>
      <c r="I48" s="24" t="str">
        <f>IF(C48="","",IN_DATA!E43)</f>
        <v/>
      </c>
      <c r="J48" s="24" t="str">
        <f>IF(C48="","",IN_DATA!F43)</f>
        <v/>
      </c>
      <c r="K48" s="24" t="str">
        <f>IF(C48="","",IN_DATA!H43)</f>
        <v/>
      </c>
      <c r="L48" s="155" t="str">
        <f>IF(C48="","",IN_DATA!G43)</f>
        <v/>
      </c>
      <c r="M48" s="154"/>
      <c r="N48" s="220" t="str">
        <f>IF(C48="","",IN_DATA!P43)</f>
        <v/>
      </c>
      <c r="O48" s="112" t="str">
        <f>IF(C48="","",IN_DATA!Q43)</f>
        <v/>
      </c>
      <c r="P48" s="25" t="str">
        <f t="shared" si="2"/>
        <v/>
      </c>
      <c r="Q48" s="25" t="str">
        <f t="shared" si="3"/>
        <v/>
      </c>
      <c r="R48" s="25" t="str">
        <f t="shared" si="4"/>
        <v/>
      </c>
      <c r="S48" s="25" t="str">
        <f t="shared" si="5"/>
        <v/>
      </c>
      <c r="T48" s="25" t="str">
        <f t="shared" si="6"/>
        <v/>
      </c>
      <c r="U48" s="72" t="str">
        <f t="shared" si="7"/>
        <v/>
      </c>
      <c r="V48" s="224" t="str">
        <f>IF(C48="","",IF(IN_DATA!R43=3, IF(IN_DATA!$L$4=5, 250, 375), 0))</f>
        <v/>
      </c>
      <c r="W48" s="97" t="str">
        <f t="shared" si="8"/>
        <v/>
      </c>
      <c r="X48" s="97" t="str">
        <f t="shared" si="9"/>
        <v/>
      </c>
      <c r="Y48" s="97" t="str">
        <f t="shared" si="10"/>
        <v/>
      </c>
      <c r="Z48" s="97" t="str">
        <f t="shared" si="11"/>
        <v/>
      </c>
      <c r="AA48" s="97" t="str">
        <f t="shared" si="12"/>
        <v/>
      </c>
      <c r="AB48" s="97" t="str">
        <f t="shared" si="13"/>
        <v/>
      </c>
      <c r="AC48" s="97" t="str">
        <f t="shared" si="14"/>
        <v/>
      </c>
      <c r="AD48" s="228" t="str">
        <f t="shared" si="15"/>
        <v/>
      </c>
      <c r="AE48" s="266" t="str">
        <f t="shared" si="16"/>
        <v/>
      </c>
    </row>
    <row r="49" spans="1:33" x14ac:dyDescent="0.2">
      <c r="A49" s="4">
        <v>39</v>
      </c>
      <c r="B49" s="31">
        <f t="shared" si="1"/>
        <v>2051</v>
      </c>
      <c r="C49" s="158" t="str">
        <f>IN_DATA!P44</f>
        <v/>
      </c>
      <c r="D49" s="33" t="str">
        <f>IN_DATA!Q44</f>
        <v/>
      </c>
      <c r="F49" s="4">
        <f t="shared" si="0"/>
        <v>2051</v>
      </c>
      <c r="G49" s="24" t="str">
        <f>IF(C49="","",IN_DATA!C44*OCF*FPF)</f>
        <v/>
      </c>
      <c r="H49" s="24" t="str">
        <f>IF(C49="","",IN_DATA!D44*OCF*FPF)</f>
        <v/>
      </c>
      <c r="I49" s="24" t="str">
        <f>IF(C49="","",IN_DATA!E44)</f>
        <v/>
      </c>
      <c r="J49" s="24" t="str">
        <f>IF(C49="","",IN_DATA!F44)</f>
        <v/>
      </c>
      <c r="K49" s="24" t="str">
        <f>IF(C49="","",IN_DATA!H44)</f>
        <v/>
      </c>
      <c r="L49" s="155" t="str">
        <f>IF(C49="","",IN_DATA!G44)</f>
        <v/>
      </c>
      <c r="M49" s="154"/>
      <c r="N49" s="220" t="str">
        <f>IF(C49="","",IN_DATA!P44)</f>
        <v/>
      </c>
      <c r="O49" s="112" t="str">
        <f>IF(C49="","",IN_DATA!Q44)</f>
        <v/>
      </c>
      <c r="P49" s="25" t="str">
        <f t="shared" si="2"/>
        <v/>
      </c>
      <c r="Q49" s="25" t="str">
        <f t="shared" si="3"/>
        <v/>
      </c>
      <c r="R49" s="25" t="str">
        <f t="shared" si="4"/>
        <v/>
      </c>
      <c r="S49" s="25" t="str">
        <f t="shared" si="5"/>
        <v/>
      </c>
      <c r="T49" s="25" t="str">
        <f t="shared" si="6"/>
        <v/>
      </c>
      <c r="U49" s="72" t="str">
        <f t="shared" si="7"/>
        <v/>
      </c>
      <c r="V49" s="224" t="str">
        <f>IF(C49="","",IF(IN_DATA!R44=3, IF(IN_DATA!$L$4=5, 250, 375), 0))</f>
        <v/>
      </c>
      <c r="W49" s="97" t="str">
        <f t="shared" si="8"/>
        <v/>
      </c>
      <c r="X49" s="97" t="str">
        <f t="shared" si="9"/>
        <v/>
      </c>
      <c r="Y49" s="97" t="str">
        <f t="shared" si="10"/>
        <v/>
      </c>
      <c r="Z49" s="97" t="str">
        <f t="shared" si="11"/>
        <v/>
      </c>
      <c r="AA49" s="97" t="str">
        <f t="shared" si="12"/>
        <v/>
      </c>
      <c r="AB49" s="97" t="str">
        <f t="shared" si="13"/>
        <v/>
      </c>
      <c r="AC49" s="97" t="str">
        <f t="shared" si="14"/>
        <v/>
      </c>
      <c r="AD49" s="228" t="str">
        <f t="shared" si="15"/>
        <v/>
      </c>
      <c r="AE49" s="266" t="str">
        <f t="shared" si="16"/>
        <v/>
      </c>
    </row>
    <row r="50" spans="1:33" x14ac:dyDescent="0.2">
      <c r="A50" s="4">
        <v>40</v>
      </c>
      <c r="B50" s="31">
        <f t="shared" si="1"/>
        <v>2052</v>
      </c>
      <c r="C50" s="158" t="str">
        <f>IN_DATA!P45</f>
        <v/>
      </c>
      <c r="D50" s="33" t="str">
        <f>IN_DATA!Q45</f>
        <v/>
      </c>
      <c r="F50" s="4">
        <f t="shared" si="0"/>
        <v>2052</v>
      </c>
      <c r="G50" s="24" t="str">
        <f>IF(C50="","",IN_DATA!C45*OCF*FPF)</f>
        <v/>
      </c>
      <c r="H50" s="24" t="str">
        <f>IF(C50="","",IN_DATA!D45*OCF*FPF)</f>
        <v/>
      </c>
      <c r="I50" s="24" t="str">
        <f>IF(C50="","",IN_DATA!E45)</f>
        <v/>
      </c>
      <c r="J50" s="24" t="str">
        <f>IF(C50="","",IN_DATA!F45)</f>
        <v/>
      </c>
      <c r="K50" s="24" t="str">
        <f>IF(C50="","",IN_DATA!H45)</f>
        <v/>
      </c>
      <c r="L50" s="155" t="str">
        <f>IF(C50="","",IN_DATA!G45)</f>
        <v/>
      </c>
      <c r="M50" s="154"/>
      <c r="N50" s="220" t="str">
        <f>IF(C50="","",IN_DATA!P45)</f>
        <v/>
      </c>
      <c r="O50" s="112" t="str">
        <f>IF(C50="","",IN_DATA!Q45)</f>
        <v/>
      </c>
      <c r="P50" s="25" t="str">
        <f t="shared" si="2"/>
        <v/>
      </c>
      <c r="Q50" s="25" t="str">
        <f t="shared" si="3"/>
        <v/>
      </c>
      <c r="R50" s="25" t="str">
        <f t="shared" si="4"/>
        <v/>
      </c>
      <c r="S50" s="25" t="str">
        <f t="shared" si="5"/>
        <v/>
      </c>
      <c r="T50" s="25" t="str">
        <f t="shared" si="6"/>
        <v/>
      </c>
      <c r="U50" s="72" t="str">
        <f t="shared" si="7"/>
        <v/>
      </c>
      <c r="V50" s="224" t="str">
        <f>IF(C50="","",IF(IN_DATA!R45=3, IF(IN_DATA!$L$4=5, 250, 375), 0))</f>
        <v/>
      </c>
      <c r="W50" s="97" t="str">
        <f t="shared" si="8"/>
        <v/>
      </c>
      <c r="X50" s="97" t="str">
        <f t="shared" si="9"/>
        <v/>
      </c>
      <c r="Y50" s="97" t="str">
        <f t="shared" si="10"/>
        <v/>
      </c>
      <c r="Z50" s="97" t="str">
        <f t="shared" si="11"/>
        <v/>
      </c>
      <c r="AA50" s="97" t="str">
        <f t="shared" si="12"/>
        <v/>
      </c>
      <c r="AB50" s="97" t="str">
        <f t="shared" si="13"/>
        <v/>
      </c>
      <c r="AC50" s="97" t="str">
        <f t="shared" si="14"/>
        <v/>
      </c>
      <c r="AD50" s="228" t="str">
        <f t="shared" si="15"/>
        <v/>
      </c>
      <c r="AE50" s="266" t="str">
        <f t="shared" si="16"/>
        <v/>
      </c>
      <c r="AF50" s="20"/>
      <c r="AG50" s="20"/>
    </row>
    <row r="51" spans="1:33" x14ac:dyDescent="0.2">
      <c r="A51" s="4">
        <v>41</v>
      </c>
      <c r="B51" s="30">
        <f>A51+$B$5</f>
        <v>2053</v>
      </c>
      <c r="C51" s="159" t="str">
        <f>IN_DATA!P46</f>
        <v/>
      </c>
      <c r="D51" s="32" t="str">
        <f>IN_DATA!Q46</f>
        <v/>
      </c>
      <c r="F51" s="16">
        <f t="shared" ref="F51:F91" si="17">B51</f>
        <v>2053</v>
      </c>
      <c r="G51" s="24" t="str">
        <f>IF(C51="","",IN_DATA!C46*OCF*FPF)</f>
        <v/>
      </c>
      <c r="H51" s="24" t="str">
        <f>IF(C51="","",IN_DATA!D46*OCF*FPF)</f>
        <v/>
      </c>
      <c r="I51" s="24" t="str">
        <f>IF(C51="","",IN_DATA!E46)</f>
        <v/>
      </c>
      <c r="J51" s="24" t="str">
        <f>IF(C51="","",IN_DATA!F46)</f>
        <v/>
      </c>
      <c r="K51" s="24" t="str">
        <f>IF(C51="","",IN_DATA!H46)</f>
        <v/>
      </c>
      <c r="L51" s="155" t="str">
        <f>IF(C51="","",IN_DATA!G46)</f>
        <v/>
      </c>
      <c r="M51" s="154"/>
      <c r="N51" s="220" t="str">
        <f>IF(C51="","",IN_DATA!P46)</f>
        <v/>
      </c>
      <c r="O51" s="112" t="str">
        <f>IF(C51="","",IN_DATA!Q46)</f>
        <v/>
      </c>
      <c r="P51" s="25" t="str">
        <f t="shared" si="2"/>
        <v/>
      </c>
      <c r="Q51" s="25" t="str">
        <f t="shared" si="3"/>
        <v/>
      </c>
      <c r="R51" s="25" t="str">
        <f t="shared" si="4"/>
        <v/>
      </c>
      <c r="S51" s="25" t="str">
        <f t="shared" si="5"/>
        <v/>
      </c>
      <c r="T51" s="25" t="str">
        <f t="shared" si="6"/>
        <v/>
      </c>
      <c r="U51" s="72" t="str">
        <f t="shared" si="7"/>
        <v/>
      </c>
      <c r="V51" s="224" t="str">
        <f>IF(C51="","",IF(IN_DATA!R46=3, IF(IN_DATA!$L$4=5, 250, 375), 0))</f>
        <v/>
      </c>
      <c r="W51" s="97" t="str">
        <f t="shared" si="8"/>
        <v/>
      </c>
      <c r="X51" s="97" t="str">
        <f t="shared" si="9"/>
        <v/>
      </c>
      <c r="Y51" s="97" t="str">
        <f t="shared" si="10"/>
        <v/>
      </c>
      <c r="Z51" s="97" t="str">
        <f t="shared" si="11"/>
        <v/>
      </c>
      <c r="AA51" s="97" t="str">
        <f t="shared" si="12"/>
        <v/>
      </c>
      <c r="AB51" s="97" t="str">
        <f t="shared" si="13"/>
        <v/>
      </c>
      <c r="AC51" s="97" t="str">
        <f t="shared" si="14"/>
        <v/>
      </c>
      <c r="AD51" s="228" t="str">
        <f t="shared" si="15"/>
        <v/>
      </c>
      <c r="AE51" s="266" t="str">
        <f t="shared" si="16"/>
        <v/>
      </c>
    </row>
    <row r="52" spans="1:33" x14ac:dyDescent="0.2">
      <c r="A52" s="4">
        <v>42</v>
      </c>
      <c r="B52" s="31">
        <f t="shared" ref="B52:B91" si="18">A52+$B$5</f>
        <v>2054</v>
      </c>
      <c r="C52" s="158" t="str">
        <f>IN_DATA!P47</f>
        <v/>
      </c>
      <c r="D52" s="33" t="str">
        <f>IN_DATA!Q47</f>
        <v/>
      </c>
      <c r="F52" s="4">
        <f t="shared" si="17"/>
        <v>2054</v>
      </c>
      <c r="G52" s="24" t="str">
        <f>IF(C52="","",IN_DATA!C47*OCF*FPF)</f>
        <v/>
      </c>
      <c r="H52" s="24" t="str">
        <f>IF(C52="","",IN_DATA!D47*OCF*FPF)</f>
        <v/>
      </c>
      <c r="I52" s="24" t="str">
        <f>IF(C52="","",IN_DATA!E47)</f>
        <v/>
      </c>
      <c r="J52" s="24" t="str">
        <f>IF(C52="","",IN_DATA!F47)</f>
        <v/>
      </c>
      <c r="K52" s="24" t="str">
        <f>IF(C52="","",IN_DATA!H47)</f>
        <v/>
      </c>
      <c r="L52" s="155" t="str">
        <f>IF(C52="","",IN_DATA!G47)</f>
        <v/>
      </c>
      <c r="M52" s="154"/>
      <c r="N52" s="220" t="str">
        <f>IF(C52="","",IN_DATA!P47)</f>
        <v/>
      </c>
      <c r="O52" s="112" t="str">
        <f>IF(C52="","",IN_DATA!Q47)</f>
        <v/>
      </c>
      <c r="P52" s="25" t="str">
        <f t="shared" si="2"/>
        <v/>
      </c>
      <c r="Q52" s="25" t="str">
        <f t="shared" si="3"/>
        <v/>
      </c>
      <c r="R52" s="25" t="str">
        <f t="shared" si="4"/>
        <v/>
      </c>
      <c r="S52" s="25" t="str">
        <f t="shared" si="5"/>
        <v/>
      </c>
      <c r="T52" s="25" t="str">
        <f t="shared" si="6"/>
        <v/>
      </c>
      <c r="U52" s="72" t="str">
        <f t="shared" si="7"/>
        <v/>
      </c>
      <c r="V52" s="224" t="str">
        <f>IF(C52="","",IF(IN_DATA!R47=3, IF(IN_DATA!$L$4=5, 250, 375), 0))</f>
        <v/>
      </c>
      <c r="W52" s="97" t="str">
        <f t="shared" si="8"/>
        <v/>
      </c>
      <c r="X52" s="97" t="str">
        <f t="shared" si="9"/>
        <v/>
      </c>
      <c r="Y52" s="97" t="str">
        <f t="shared" si="10"/>
        <v/>
      </c>
      <c r="Z52" s="97" t="str">
        <f t="shared" si="11"/>
        <v/>
      </c>
      <c r="AA52" s="97" t="str">
        <f t="shared" si="12"/>
        <v/>
      </c>
      <c r="AB52" s="97" t="str">
        <f t="shared" si="13"/>
        <v/>
      </c>
      <c r="AC52" s="97" t="str">
        <f t="shared" si="14"/>
        <v/>
      </c>
      <c r="AD52" s="228" t="str">
        <f t="shared" si="15"/>
        <v/>
      </c>
      <c r="AE52" s="266" t="str">
        <f t="shared" si="16"/>
        <v/>
      </c>
    </row>
    <row r="53" spans="1:33" x14ac:dyDescent="0.2">
      <c r="A53" s="4">
        <v>43</v>
      </c>
      <c r="B53" s="31">
        <f t="shared" si="18"/>
        <v>2055</v>
      </c>
      <c r="C53" s="158" t="str">
        <f>IN_DATA!P48</f>
        <v/>
      </c>
      <c r="D53" s="33" t="str">
        <f>IN_DATA!Q48</f>
        <v/>
      </c>
      <c r="F53" s="4">
        <f t="shared" si="17"/>
        <v>2055</v>
      </c>
      <c r="G53" s="24" t="str">
        <f>IF(C53="","",IN_DATA!C48*OCF*FPF)</f>
        <v/>
      </c>
      <c r="H53" s="24" t="str">
        <f>IF(C53="","",IN_DATA!D48*OCF*FPF)</f>
        <v/>
      </c>
      <c r="I53" s="24" t="str">
        <f>IF(C53="","",IN_DATA!E48)</f>
        <v/>
      </c>
      <c r="J53" s="24" t="str">
        <f>IF(C53="","",IN_DATA!F48)</f>
        <v/>
      </c>
      <c r="K53" s="24" t="str">
        <f>IF(C53="","",IN_DATA!H48)</f>
        <v/>
      </c>
      <c r="L53" s="155" t="str">
        <f>IF(C53="","",IN_DATA!G48)</f>
        <v/>
      </c>
      <c r="M53" s="154"/>
      <c r="N53" s="220" t="str">
        <f>IF(C53="","",IN_DATA!P48)</f>
        <v/>
      </c>
      <c r="O53" s="112" t="str">
        <f>IF(C53="","",IN_DATA!Q48)</f>
        <v/>
      </c>
      <c r="P53" s="25" t="str">
        <f t="shared" si="2"/>
        <v/>
      </c>
      <c r="Q53" s="25" t="str">
        <f t="shared" si="3"/>
        <v/>
      </c>
      <c r="R53" s="25" t="str">
        <f t="shared" si="4"/>
        <v/>
      </c>
      <c r="S53" s="25" t="str">
        <f t="shared" si="5"/>
        <v/>
      </c>
      <c r="T53" s="25" t="str">
        <f t="shared" si="6"/>
        <v/>
      </c>
      <c r="U53" s="72" t="str">
        <f t="shared" si="7"/>
        <v/>
      </c>
      <c r="V53" s="224" t="str">
        <f>IF(C53="","",IF(IN_DATA!R48=3, IF(IN_DATA!$L$4=5, 250, 375), 0))</f>
        <v/>
      </c>
      <c r="W53" s="97" t="str">
        <f t="shared" si="8"/>
        <v/>
      </c>
      <c r="X53" s="97" t="str">
        <f t="shared" si="9"/>
        <v/>
      </c>
      <c r="Y53" s="97" t="str">
        <f t="shared" si="10"/>
        <v/>
      </c>
      <c r="Z53" s="97" t="str">
        <f t="shared" si="11"/>
        <v/>
      </c>
      <c r="AA53" s="97" t="str">
        <f t="shared" si="12"/>
        <v/>
      </c>
      <c r="AB53" s="97" t="str">
        <f t="shared" si="13"/>
        <v/>
      </c>
      <c r="AC53" s="97" t="str">
        <f t="shared" si="14"/>
        <v/>
      </c>
      <c r="AD53" s="228" t="str">
        <f t="shared" si="15"/>
        <v/>
      </c>
      <c r="AE53" s="266" t="str">
        <f t="shared" si="16"/>
        <v/>
      </c>
    </row>
    <row r="54" spans="1:33" x14ac:dyDescent="0.2">
      <c r="A54" s="4">
        <v>44</v>
      </c>
      <c r="B54" s="31">
        <f t="shared" si="18"/>
        <v>2056</v>
      </c>
      <c r="C54" s="158" t="str">
        <f>IN_DATA!P49</f>
        <v/>
      </c>
      <c r="D54" s="33" t="str">
        <f>IN_DATA!Q49</f>
        <v/>
      </c>
      <c r="F54" s="4">
        <f t="shared" si="17"/>
        <v>2056</v>
      </c>
      <c r="G54" s="24" t="str">
        <f>IF(C54="","",IN_DATA!C49*OCF*FPF)</f>
        <v/>
      </c>
      <c r="H54" s="24" t="str">
        <f>IF(C54="","",IN_DATA!D49*OCF*FPF)</f>
        <v/>
      </c>
      <c r="I54" s="24" t="str">
        <f>IF(C54="","",IN_DATA!E49)</f>
        <v/>
      </c>
      <c r="J54" s="24" t="str">
        <f>IF(C54="","",IN_DATA!F49)</f>
        <v/>
      </c>
      <c r="K54" s="24" t="str">
        <f>IF(C54="","",IN_DATA!H49)</f>
        <v/>
      </c>
      <c r="L54" s="155" t="str">
        <f>IF(C54="","",IN_DATA!G49)</f>
        <v/>
      </c>
      <c r="M54" s="154"/>
      <c r="N54" s="220" t="str">
        <f>IF(C54="","",IN_DATA!P49)</f>
        <v/>
      </c>
      <c r="O54" s="112" t="str">
        <f>IF(C54="","",IN_DATA!Q49)</f>
        <v/>
      </c>
      <c r="P54" s="25" t="str">
        <f t="shared" si="2"/>
        <v/>
      </c>
      <c r="Q54" s="25" t="str">
        <f t="shared" si="3"/>
        <v/>
      </c>
      <c r="R54" s="25" t="str">
        <f t="shared" si="4"/>
        <v/>
      </c>
      <c r="S54" s="25" t="str">
        <f t="shared" si="5"/>
        <v/>
      </c>
      <c r="T54" s="25" t="str">
        <f t="shared" si="6"/>
        <v/>
      </c>
      <c r="U54" s="72" t="str">
        <f t="shared" si="7"/>
        <v/>
      </c>
      <c r="V54" s="224" t="str">
        <f>IF(C54="","",IF(IN_DATA!R49=3, IF(IN_DATA!$L$4=5, 250, 375), 0))</f>
        <v/>
      </c>
      <c r="W54" s="97" t="str">
        <f t="shared" si="8"/>
        <v/>
      </c>
      <c r="X54" s="97" t="str">
        <f t="shared" si="9"/>
        <v/>
      </c>
      <c r="Y54" s="97" t="str">
        <f t="shared" si="10"/>
        <v/>
      </c>
      <c r="Z54" s="97" t="str">
        <f t="shared" si="11"/>
        <v/>
      </c>
      <c r="AA54" s="97" t="str">
        <f t="shared" si="12"/>
        <v/>
      </c>
      <c r="AB54" s="97" t="str">
        <f t="shared" si="13"/>
        <v/>
      </c>
      <c r="AC54" s="97" t="str">
        <f t="shared" si="14"/>
        <v/>
      </c>
      <c r="AD54" s="228" t="str">
        <f t="shared" si="15"/>
        <v/>
      </c>
      <c r="AE54" s="266" t="str">
        <f t="shared" si="16"/>
        <v/>
      </c>
    </row>
    <row r="55" spans="1:33" x14ac:dyDescent="0.2">
      <c r="A55" s="4">
        <v>45</v>
      </c>
      <c r="B55" s="31">
        <f t="shared" si="18"/>
        <v>2057</v>
      </c>
      <c r="C55" s="158" t="str">
        <f>IN_DATA!P50</f>
        <v/>
      </c>
      <c r="D55" s="33" t="str">
        <f>IN_DATA!Q50</f>
        <v/>
      </c>
      <c r="F55" s="4">
        <f t="shared" si="17"/>
        <v>2057</v>
      </c>
      <c r="G55" s="24" t="str">
        <f>IF(C55="","",IN_DATA!C50*OCF*FPF)</f>
        <v/>
      </c>
      <c r="H55" s="24" t="str">
        <f>IF(C55="","",IN_DATA!D50*OCF*FPF)</f>
        <v/>
      </c>
      <c r="I55" s="24" t="str">
        <f>IF(C55="","",IN_DATA!E50)</f>
        <v/>
      </c>
      <c r="J55" s="24" t="str">
        <f>IF(C55="","",IN_DATA!F50)</f>
        <v/>
      </c>
      <c r="K55" s="24" t="str">
        <f>IF(C55="","",IN_DATA!H50)</f>
        <v/>
      </c>
      <c r="L55" s="155" t="str">
        <f>IF(C55="","",IN_DATA!G50)</f>
        <v/>
      </c>
      <c r="M55" s="154"/>
      <c r="N55" s="220" t="str">
        <f>IF(C55="","",IN_DATA!P50)</f>
        <v/>
      </c>
      <c r="O55" s="112" t="str">
        <f>IF(C55="","",IN_DATA!Q50)</f>
        <v/>
      </c>
      <c r="P55" s="25" t="str">
        <f t="shared" si="2"/>
        <v/>
      </c>
      <c r="Q55" s="25" t="str">
        <f t="shared" si="3"/>
        <v/>
      </c>
      <c r="R55" s="25" t="str">
        <f t="shared" si="4"/>
        <v/>
      </c>
      <c r="S55" s="25" t="str">
        <f t="shared" si="5"/>
        <v/>
      </c>
      <c r="T55" s="25" t="str">
        <f t="shared" si="6"/>
        <v/>
      </c>
      <c r="U55" s="72" t="str">
        <f t="shared" si="7"/>
        <v/>
      </c>
      <c r="V55" s="224" t="str">
        <f>IF(C55="","",IF(IN_DATA!R50=3, IF(IN_DATA!$L$4=5, 250, 375), 0))</f>
        <v/>
      </c>
      <c r="W55" s="97" t="str">
        <f t="shared" si="8"/>
        <v/>
      </c>
      <c r="X55" s="97" t="str">
        <f t="shared" si="9"/>
        <v/>
      </c>
      <c r="Y55" s="97" t="str">
        <f t="shared" si="10"/>
        <v/>
      </c>
      <c r="Z55" s="97" t="str">
        <f t="shared" si="11"/>
        <v/>
      </c>
      <c r="AA55" s="97" t="str">
        <f t="shared" si="12"/>
        <v/>
      </c>
      <c r="AB55" s="97" t="str">
        <f t="shared" si="13"/>
        <v/>
      </c>
      <c r="AC55" s="97" t="str">
        <f t="shared" si="14"/>
        <v/>
      </c>
      <c r="AD55" s="228" t="str">
        <f t="shared" si="15"/>
        <v/>
      </c>
      <c r="AE55" s="266" t="str">
        <f t="shared" si="16"/>
        <v/>
      </c>
    </row>
    <row r="56" spans="1:33" x14ac:dyDescent="0.2">
      <c r="A56" s="4">
        <v>46</v>
      </c>
      <c r="B56" s="31">
        <f t="shared" si="18"/>
        <v>2058</v>
      </c>
      <c r="C56" s="158" t="str">
        <f>IN_DATA!P51</f>
        <v/>
      </c>
      <c r="D56" s="33" t="str">
        <f>IN_DATA!Q51</f>
        <v/>
      </c>
      <c r="F56" s="4">
        <f t="shared" si="17"/>
        <v>2058</v>
      </c>
      <c r="G56" s="24" t="str">
        <f>IF(C56="","",IN_DATA!C51*OCF*FPF)</f>
        <v/>
      </c>
      <c r="H56" s="24" t="str">
        <f>IF(C56="","",IN_DATA!D51*OCF*FPF)</f>
        <v/>
      </c>
      <c r="I56" s="24" t="str">
        <f>IF(C56="","",IN_DATA!E51)</f>
        <v/>
      </c>
      <c r="J56" s="24" t="str">
        <f>IF(C56="","",IN_DATA!F51)</f>
        <v/>
      </c>
      <c r="K56" s="24" t="str">
        <f>IF(C56="","",IN_DATA!H51)</f>
        <v/>
      </c>
      <c r="L56" s="155" t="str">
        <f>IF(C56="","",IN_DATA!G51)</f>
        <v/>
      </c>
      <c r="M56" s="154"/>
      <c r="N56" s="220" t="str">
        <f>IF(C56="","",IN_DATA!P51)</f>
        <v/>
      </c>
      <c r="O56" s="112" t="str">
        <f>IF(C56="","",IN_DATA!Q51)</f>
        <v/>
      </c>
      <c r="P56" s="25" t="str">
        <f t="shared" si="2"/>
        <v/>
      </c>
      <c r="Q56" s="25" t="str">
        <f t="shared" si="3"/>
        <v/>
      </c>
      <c r="R56" s="25" t="str">
        <f t="shared" si="4"/>
        <v/>
      </c>
      <c r="S56" s="25" t="str">
        <f t="shared" si="5"/>
        <v/>
      </c>
      <c r="T56" s="25" t="str">
        <f t="shared" si="6"/>
        <v/>
      </c>
      <c r="U56" s="72" t="str">
        <f t="shared" si="7"/>
        <v/>
      </c>
      <c r="V56" s="224" t="str">
        <f>IF(C56="","",IF(IN_DATA!R51=3, IF(IN_DATA!$L$4=5, 250, 375), 0))</f>
        <v/>
      </c>
      <c r="W56" s="97" t="str">
        <f t="shared" si="8"/>
        <v/>
      </c>
      <c r="X56" s="97" t="str">
        <f t="shared" si="9"/>
        <v/>
      </c>
      <c r="Y56" s="97" t="str">
        <f t="shared" si="10"/>
        <v/>
      </c>
      <c r="Z56" s="97" t="str">
        <f t="shared" si="11"/>
        <v/>
      </c>
      <c r="AA56" s="97" t="str">
        <f t="shared" si="12"/>
        <v/>
      </c>
      <c r="AB56" s="97" t="str">
        <f t="shared" si="13"/>
        <v/>
      </c>
      <c r="AC56" s="97" t="str">
        <f t="shared" si="14"/>
        <v/>
      </c>
      <c r="AD56" s="228" t="str">
        <f t="shared" si="15"/>
        <v/>
      </c>
      <c r="AE56" s="266" t="str">
        <f t="shared" si="16"/>
        <v/>
      </c>
    </row>
    <row r="57" spans="1:33" x14ac:dyDescent="0.2">
      <c r="A57" s="4">
        <v>47</v>
      </c>
      <c r="B57" s="31">
        <f t="shared" si="18"/>
        <v>2059</v>
      </c>
      <c r="C57" s="158" t="str">
        <f>IN_DATA!P52</f>
        <v/>
      </c>
      <c r="D57" s="33" t="str">
        <f>IN_DATA!Q52</f>
        <v/>
      </c>
      <c r="F57" s="4">
        <f t="shared" si="17"/>
        <v>2059</v>
      </c>
      <c r="G57" s="24" t="str">
        <f>IF(C57="","",IN_DATA!C52*OCF*FPF)</f>
        <v/>
      </c>
      <c r="H57" s="24" t="str">
        <f>IF(C57="","",IN_DATA!D52*OCF*FPF)</f>
        <v/>
      </c>
      <c r="I57" s="24" t="str">
        <f>IF(C57="","",IN_DATA!E52)</f>
        <v/>
      </c>
      <c r="J57" s="24" t="str">
        <f>IF(C57="","",IN_DATA!F52)</f>
        <v/>
      </c>
      <c r="K57" s="24" t="str">
        <f>IF(C57="","",IN_DATA!H52)</f>
        <v/>
      </c>
      <c r="L57" s="155" t="str">
        <f>IF(C57="","",IN_DATA!G52)</f>
        <v/>
      </c>
      <c r="M57" s="154"/>
      <c r="N57" s="220" t="str">
        <f>IF(C57="","",IN_DATA!P52)</f>
        <v/>
      </c>
      <c r="O57" s="112" t="str">
        <f>IF(C57="","",IN_DATA!Q52)</f>
        <v/>
      </c>
      <c r="P57" s="25" t="str">
        <f t="shared" si="2"/>
        <v/>
      </c>
      <c r="Q57" s="25" t="str">
        <f t="shared" si="3"/>
        <v/>
      </c>
      <c r="R57" s="25" t="str">
        <f t="shared" si="4"/>
        <v/>
      </c>
      <c r="S57" s="25" t="str">
        <f t="shared" si="5"/>
        <v/>
      </c>
      <c r="T57" s="25" t="str">
        <f t="shared" si="6"/>
        <v/>
      </c>
      <c r="U57" s="72" t="str">
        <f t="shared" si="7"/>
        <v/>
      </c>
      <c r="V57" s="224" t="str">
        <f>IF(C57="","",IF(IN_DATA!R52=3, IF(IN_DATA!$L$4=5, 250, 375), 0))</f>
        <v/>
      </c>
      <c r="W57" s="97" t="str">
        <f t="shared" si="8"/>
        <v/>
      </c>
      <c r="X57" s="97" t="str">
        <f t="shared" si="9"/>
        <v/>
      </c>
      <c r="Y57" s="97" t="str">
        <f t="shared" si="10"/>
        <v/>
      </c>
      <c r="Z57" s="97" t="str">
        <f t="shared" si="11"/>
        <v/>
      </c>
      <c r="AA57" s="97" t="str">
        <f t="shared" si="12"/>
        <v/>
      </c>
      <c r="AB57" s="97" t="str">
        <f t="shared" si="13"/>
        <v/>
      </c>
      <c r="AC57" s="97" t="str">
        <f t="shared" si="14"/>
        <v/>
      </c>
      <c r="AD57" s="228" t="str">
        <f t="shared" si="15"/>
        <v/>
      </c>
      <c r="AE57" s="266" t="str">
        <f t="shared" si="16"/>
        <v/>
      </c>
    </row>
    <row r="58" spans="1:33" x14ac:dyDescent="0.2">
      <c r="A58" s="4">
        <v>48</v>
      </c>
      <c r="B58" s="31">
        <f t="shared" si="18"/>
        <v>2060</v>
      </c>
      <c r="C58" s="158" t="str">
        <f>IN_DATA!P53</f>
        <v/>
      </c>
      <c r="D58" s="33" t="str">
        <f>IN_DATA!Q53</f>
        <v/>
      </c>
      <c r="F58" s="4">
        <f t="shared" si="17"/>
        <v>2060</v>
      </c>
      <c r="G58" s="24" t="str">
        <f>IF(C58="","",IN_DATA!C53*OCF*FPF)</f>
        <v/>
      </c>
      <c r="H58" s="24" t="str">
        <f>IF(C58="","",IN_DATA!D53*OCF*FPF)</f>
        <v/>
      </c>
      <c r="I58" s="24" t="str">
        <f>IF(C58="","",IN_DATA!E53)</f>
        <v/>
      </c>
      <c r="J58" s="24" t="str">
        <f>IF(C58="","",IN_DATA!F53)</f>
        <v/>
      </c>
      <c r="K58" s="24" t="str">
        <f>IF(C58="","",IN_DATA!H53)</f>
        <v/>
      </c>
      <c r="L58" s="155" t="str">
        <f>IF(C58="","",IN_DATA!G53)</f>
        <v/>
      </c>
      <c r="M58" s="154"/>
      <c r="N58" s="220" t="str">
        <f>IF(C58="","",IN_DATA!P53)</f>
        <v/>
      </c>
      <c r="O58" s="112" t="str">
        <f>IF(C58="","",IN_DATA!Q53)</f>
        <v/>
      </c>
      <c r="P58" s="25" t="str">
        <f t="shared" si="2"/>
        <v/>
      </c>
      <c r="Q58" s="25" t="str">
        <f t="shared" si="3"/>
        <v/>
      </c>
      <c r="R58" s="25" t="str">
        <f t="shared" si="4"/>
        <v/>
      </c>
      <c r="S58" s="25" t="str">
        <f t="shared" si="5"/>
        <v/>
      </c>
      <c r="T58" s="25" t="str">
        <f t="shared" si="6"/>
        <v/>
      </c>
      <c r="U58" s="72" t="str">
        <f t="shared" si="7"/>
        <v/>
      </c>
      <c r="V58" s="224" t="str">
        <f>IF(C58="","",IF(IN_DATA!R53=3, IF(IN_DATA!$L$4=5, 250, 375), 0))</f>
        <v/>
      </c>
      <c r="W58" s="97" t="str">
        <f t="shared" si="8"/>
        <v/>
      </c>
      <c r="X58" s="97" t="str">
        <f t="shared" si="9"/>
        <v/>
      </c>
      <c r="Y58" s="97" t="str">
        <f t="shared" si="10"/>
        <v/>
      </c>
      <c r="Z58" s="97" t="str">
        <f t="shared" si="11"/>
        <v/>
      </c>
      <c r="AA58" s="97" t="str">
        <f t="shared" si="12"/>
        <v/>
      </c>
      <c r="AB58" s="97" t="str">
        <f t="shared" si="13"/>
        <v/>
      </c>
      <c r="AC58" s="97" t="str">
        <f t="shared" si="14"/>
        <v/>
      </c>
      <c r="AD58" s="228" t="str">
        <f t="shared" si="15"/>
        <v/>
      </c>
      <c r="AE58" s="266" t="str">
        <f t="shared" si="16"/>
        <v/>
      </c>
    </row>
    <row r="59" spans="1:33" x14ac:dyDescent="0.2">
      <c r="A59" s="4">
        <v>49</v>
      </c>
      <c r="B59" s="31">
        <f t="shared" si="18"/>
        <v>2061</v>
      </c>
      <c r="C59" s="158" t="str">
        <f>IN_DATA!P54</f>
        <v/>
      </c>
      <c r="D59" s="33" t="str">
        <f>IN_DATA!Q54</f>
        <v/>
      </c>
      <c r="F59" s="4">
        <f t="shared" si="17"/>
        <v>2061</v>
      </c>
      <c r="G59" s="24" t="str">
        <f>IF(C59="","",IN_DATA!C54*OCF*FPF)</f>
        <v/>
      </c>
      <c r="H59" s="24" t="str">
        <f>IF(C59="","",IN_DATA!D54*OCF*FPF)</f>
        <v/>
      </c>
      <c r="I59" s="24" t="str">
        <f>IF(C59="","",IN_DATA!E54)</f>
        <v/>
      </c>
      <c r="J59" s="24" t="str">
        <f>IF(C59="","",IN_DATA!F54)</f>
        <v/>
      </c>
      <c r="K59" s="24" t="str">
        <f>IF(C59="","",IN_DATA!H54)</f>
        <v/>
      </c>
      <c r="L59" s="155" t="str">
        <f>IF(C59="","",IN_DATA!G54)</f>
        <v/>
      </c>
      <c r="M59" s="154"/>
      <c r="N59" s="220" t="str">
        <f>IF(C59="","",IN_DATA!P54)</f>
        <v/>
      </c>
      <c r="O59" s="112" t="str">
        <f>IF(C59="","",IN_DATA!Q54)</f>
        <v/>
      </c>
      <c r="P59" s="25" t="str">
        <f t="shared" si="2"/>
        <v/>
      </c>
      <c r="Q59" s="25" t="str">
        <f t="shared" si="3"/>
        <v/>
      </c>
      <c r="R59" s="25" t="str">
        <f t="shared" si="4"/>
        <v/>
      </c>
      <c r="S59" s="25" t="str">
        <f t="shared" si="5"/>
        <v/>
      </c>
      <c r="T59" s="25" t="str">
        <f t="shared" si="6"/>
        <v/>
      </c>
      <c r="U59" s="72" t="str">
        <f t="shared" si="7"/>
        <v/>
      </c>
      <c r="V59" s="224" t="str">
        <f>IF(C59="","",IF(IN_DATA!R54=3, IF(IN_DATA!$L$4=5, 250, 375), 0))</f>
        <v/>
      </c>
      <c r="W59" s="97" t="str">
        <f t="shared" si="8"/>
        <v/>
      </c>
      <c r="X59" s="97" t="str">
        <f t="shared" si="9"/>
        <v/>
      </c>
      <c r="Y59" s="97" t="str">
        <f t="shared" si="10"/>
        <v/>
      </c>
      <c r="Z59" s="97" t="str">
        <f t="shared" si="11"/>
        <v/>
      </c>
      <c r="AA59" s="97" t="str">
        <f t="shared" si="12"/>
        <v/>
      </c>
      <c r="AB59" s="97" t="str">
        <f t="shared" si="13"/>
        <v/>
      </c>
      <c r="AC59" s="97" t="str">
        <f t="shared" si="14"/>
        <v/>
      </c>
      <c r="AD59" s="228" t="str">
        <f t="shared" si="15"/>
        <v/>
      </c>
      <c r="AE59" s="266" t="str">
        <f t="shared" si="16"/>
        <v/>
      </c>
    </row>
    <row r="60" spans="1:33" x14ac:dyDescent="0.2">
      <c r="A60" s="4">
        <v>50</v>
      </c>
      <c r="B60" s="31">
        <f t="shared" si="18"/>
        <v>2062</v>
      </c>
      <c r="C60" s="158" t="str">
        <f>IN_DATA!P55</f>
        <v/>
      </c>
      <c r="D60" s="33" t="str">
        <f>IN_DATA!Q55</f>
        <v/>
      </c>
      <c r="F60" s="4">
        <f t="shared" si="17"/>
        <v>2062</v>
      </c>
      <c r="G60" s="24" t="str">
        <f>IF(C60="","",IN_DATA!C55*OCF*FPF)</f>
        <v/>
      </c>
      <c r="H60" s="24" t="str">
        <f>IF(C60="","",IN_DATA!D55*OCF*FPF)</f>
        <v/>
      </c>
      <c r="I60" s="24" t="str">
        <f>IF(C60="","",IN_DATA!E55)</f>
        <v/>
      </c>
      <c r="J60" s="24" t="str">
        <f>IF(C60="","",IN_DATA!F55)</f>
        <v/>
      </c>
      <c r="K60" s="24" t="str">
        <f>IF(C60="","",IN_DATA!H55)</f>
        <v/>
      </c>
      <c r="L60" s="155" t="str">
        <f>IF(C60="","",IN_DATA!G55)</f>
        <v/>
      </c>
      <c r="M60" s="154"/>
      <c r="N60" s="220" t="str">
        <f>IF(C60="","",IN_DATA!P55)</f>
        <v/>
      </c>
      <c r="O60" s="112" t="str">
        <f>IF(C60="","",IN_DATA!Q55)</f>
        <v/>
      </c>
      <c r="P60" s="25" t="str">
        <f t="shared" si="2"/>
        <v/>
      </c>
      <c r="Q60" s="25" t="str">
        <f t="shared" si="3"/>
        <v/>
      </c>
      <c r="R60" s="25" t="str">
        <f t="shared" si="4"/>
        <v/>
      </c>
      <c r="S60" s="25" t="str">
        <f t="shared" si="5"/>
        <v/>
      </c>
      <c r="T60" s="25" t="str">
        <f t="shared" si="6"/>
        <v/>
      </c>
      <c r="U60" s="72" t="str">
        <f t="shared" si="7"/>
        <v/>
      </c>
      <c r="V60" s="224" t="str">
        <f>IF(C60="","",IF(IN_DATA!R55=3, IF(IN_DATA!$L$4=5, 250, 375), 0))</f>
        <v/>
      </c>
      <c r="W60" s="97" t="str">
        <f t="shared" si="8"/>
        <v/>
      </c>
      <c r="X60" s="97" t="str">
        <f t="shared" si="9"/>
        <v/>
      </c>
      <c r="Y60" s="97" t="str">
        <f t="shared" si="10"/>
        <v/>
      </c>
      <c r="Z60" s="97" t="str">
        <f t="shared" si="11"/>
        <v/>
      </c>
      <c r="AA60" s="97" t="str">
        <f t="shared" si="12"/>
        <v/>
      </c>
      <c r="AB60" s="97" t="str">
        <f t="shared" si="13"/>
        <v/>
      </c>
      <c r="AC60" s="97" t="str">
        <f t="shared" si="14"/>
        <v/>
      </c>
      <c r="AD60" s="228" t="str">
        <f t="shared" si="15"/>
        <v/>
      </c>
      <c r="AE60" s="266" t="str">
        <f t="shared" si="16"/>
        <v/>
      </c>
    </row>
    <row r="61" spans="1:33" x14ac:dyDescent="0.2">
      <c r="A61" s="4">
        <v>51</v>
      </c>
      <c r="B61" s="31">
        <f t="shared" si="18"/>
        <v>2063</v>
      </c>
      <c r="C61" s="158" t="str">
        <f>IN_DATA!P56</f>
        <v/>
      </c>
      <c r="D61" s="33" t="str">
        <f>IN_DATA!Q56</f>
        <v/>
      </c>
      <c r="F61" s="4">
        <f t="shared" si="17"/>
        <v>2063</v>
      </c>
      <c r="G61" s="24" t="str">
        <f>IF(C61="","",IN_DATA!C56*OCF*FPF)</f>
        <v/>
      </c>
      <c r="H61" s="24" t="str">
        <f>IF(C61="","",IN_DATA!D56*OCF*FPF)</f>
        <v/>
      </c>
      <c r="I61" s="24" t="str">
        <f>IF(C61="","",IN_DATA!E56)</f>
        <v/>
      </c>
      <c r="J61" s="24" t="str">
        <f>IF(C61="","",IN_DATA!F56)</f>
        <v/>
      </c>
      <c r="K61" s="24" t="str">
        <f>IF(C61="","",IN_DATA!H56)</f>
        <v/>
      </c>
      <c r="L61" s="155" t="str">
        <f>IF(C61="","",IN_DATA!G56)</f>
        <v/>
      </c>
      <c r="M61" s="154"/>
      <c r="N61" s="220" t="str">
        <f>IF(C61="","",IN_DATA!P56)</f>
        <v/>
      </c>
      <c r="O61" s="112" t="str">
        <f>IF(C61="","",IN_DATA!Q56)</f>
        <v/>
      </c>
      <c r="P61" s="25" t="str">
        <f t="shared" si="2"/>
        <v/>
      </c>
      <c r="Q61" s="25" t="str">
        <f t="shared" si="3"/>
        <v/>
      </c>
      <c r="R61" s="25" t="str">
        <f t="shared" si="4"/>
        <v/>
      </c>
      <c r="S61" s="25" t="str">
        <f t="shared" si="5"/>
        <v/>
      </c>
      <c r="T61" s="25" t="str">
        <f t="shared" si="6"/>
        <v/>
      </c>
      <c r="U61" s="72" t="str">
        <f t="shared" si="7"/>
        <v/>
      </c>
      <c r="V61" s="224" t="str">
        <f>IF(C61="","",IF(IN_DATA!R56=3, IF(IN_DATA!$L$4=5, 250, 375), 0))</f>
        <v/>
      </c>
      <c r="W61" s="97" t="str">
        <f t="shared" si="8"/>
        <v/>
      </c>
      <c r="X61" s="97" t="str">
        <f t="shared" si="9"/>
        <v/>
      </c>
      <c r="Y61" s="97" t="str">
        <f t="shared" si="10"/>
        <v/>
      </c>
      <c r="Z61" s="97" t="str">
        <f t="shared" si="11"/>
        <v/>
      </c>
      <c r="AA61" s="97" t="str">
        <f t="shared" si="12"/>
        <v/>
      </c>
      <c r="AB61" s="97" t="str">
        <f t="shared" si="13"/>
        <v/>
      </c>
      <c r="AC61" s="97" t="str">
        <f t="shared" si="14"/>
        <v/>
      </c>
      <c r="AD61" s="228" t="str">
        <f t="shared" si="15"/>
        <v/>
      </c>
      <c r="AE61" s="266" t="str">
        <f t="shared" si="16"/>
        <v/>
      </c>
    </row>
    <row r="62" spans="1:33" x14ac:dyDescent="0.2">
      <c r="A62" s="4">
        <v>52</v>
      </c>
      <c r="B62" s="31">
        <f t="shared" si="18"/>
        <v>2064</v>
      </c>
      <c r="C62" s="158" t="str">
        <f>IN_DATA!P57</f>
        <v/>
      </c>
      <c r="D62" s="33" t="str">
        <f>IN_DATA!Q57</f>
        <v/>
      </c>
      <c r="F62" s="4">
        <f t="shared" si="17"/>
        <v>2064</v>
      </c>
      <c r="G62" s="24" t="str">
        <f>IF(C62="","",IN_DATA!C57*OCF*FPF)</f>
        <v/>
      </c>
      <c r="H62" s="24" t="str">
        <f>IF(C62="","",IN_DATA!D57*OCF*FPF)</f>
        <v/>
      </c>
      <c r="I62" s="24" t="str">
        <f>IF(C62="","",IN_DATA!E57)</f>
        <v/>
      </c>
      <c r="J62" s="24" t="str">
        <f>IF(C62="","",IN_DATA!F57)</f>
        <v/>
      </c>
      <c r="K62" s="24" t="str">
        <f>IF(C62="","",IN_DATA!H57)</f>
        <v/>
      </c>
      <c r="L62" s="155" t="str">
        <f>IF(C62="","",IN_DATA!G57)</f>
        <v/>
      </c>
      <c r="M62" s="154"/>
      <c r="N62" s="220" t="str">
        <f>IF(C62="","",IN_DATA!P57)</f>
        <v/>
      </c>
      <c r="O62" s="112" t="str">
        <f>IF(C62="","",IN_DATA!Q57)</f>
        <v/>
      </c>
      <c r="P62" s="25" t="str">
        <f t="shared" si="2"/>
        <v/>
      </c>
      <c r="Q62" s="25" t="str">
        <f t="shared" si="3"/>
        <v/>
      </c>
      <c r="R62" s="25" t="str">
        <f t="shared" si="4"/>
        <v/>
      </c>
      <c r="S62" s="25" t="str">
        <f t="shared" si="5"/>
        <v/>
      </c>
      <c r="T62" s="25" t="str">
        <f t="shared" si="6"/>
        <v/>
      </c>
      <c r="U62" s="72" t="str">
        <f t="shared" si="7"/>
        <v/>
      </c>
      <c r="V62" s="224" t="str">
        <f>IF(C62="","",IF(IN_DATA!R57=3, IF(IN_DATA!$L$4=5, 250, 375), 0))</f>
        <v/>
      </c>
      <c r="W62" s="97" t="str">
        <f t="shared" si="8"/>
        <v/>
      </c>
      <c r="X62" s="97" t="str">
        <f t="shared" si="9"/>
        <v/>
      </c>
      <c r="Y62" s="97" t="str">
        <f t="shared" si="10"/>
        <v/>
      </c>
      <c r="Z62" s="97" t="str">
        <f t="shared" si="11"/>
        <v/>
      </c>
      <c r="AA62" s="97" t="str">
        <f t="shared" si="12"/>
        <v/>
      </c>
      <c r="AB62" s="97" t="str">
        <f t="shared" si="13"/>
        <v/>
      </c>
      <c r="AC62" s="97" t="str">
        <f t="shared" si="14"/>
        <v/>
      </c>
      <c r="AD62" s="228" t="str">
        <f t="shared" si="15"/>
        <v/>
      </c>
      <c r="AE62" s="266" t="str">
        <f t="shared" si="16"/>
        <v/>
      </c>
    </row>
    <row r="63" spans="1:33" x14ac:dyDescent="0.2">
      <c r="A63" s="4">
        <v>53</v>
      </c>
      <c r="B63" s="31">
        <f t="shared" si="18"/>
        <v>2065</v>
      </c>
      <c r="C63" s="158" t="str">
        <f>IN_DATA!P58</f>
        <v/>
      </c>
      <c r="D63" s="33" t="str">
        <f>IN_DATA!Q58</f>
        <v/>
      </c>
      <c r="F63" s="4">
        <f t="shared" si="17"/>
        <v>2065</v>
      </c>
      <c r="G63" s="24" t="str">
        <f>IF(C63="","",IN_DATA!C58*OCF*FPF)</f>
        <v/>
      </c>
      <c r="H63" s="24" t="str">
        <f>IF(C63="","",IN_DATA!D58*OCF*FPF)</f>
        <v/>
      </c>
      <c r="I63" s="24" t="str">
        <f>IF(C63="","",IN_DATA!E58)</f>
        <v/>
      </c>
      <c r="J63" s="24" t="str">
        <f>IF(C63="","",IN_DATA!F58)</f>
        <v/>
      </c>
      <c r="K63" s="24" t="str">
        <f>IF(C63="","",IN_DATA!H58)</f>
        <v/>
      </c>
      <c r="L63" s="155" t="str">
        <f>IF(C63="","",IN_DATA!G58)</f>
        <v/>
      </c>
      <c r="M63" s="154"/>
      <c r="N63" s="220" t="str">
        <f>IF(C63="","",IN_DATA!P58)</f>
        <v/>
      </c>
      <c r="O63" s="112" t="str">
        <f>IF(C63="","",IN_DATA!Q58)</f>
        <v/>
      </c>
      <c r="P63" s="25" t="str">
        <f t="shared" si="2"/>
        <v/>
      </c>
      <c r="Q63" s="25" t="str">
        <f t="shared" si="3"/>
        <v/>
      </c>
      <c r="R63" s="25" t="str">
        <f t="shared" si="4"/>
        <v/>
      </c>
      <c r="S63" s="25" t="str">
        <f t="shared" si="5"/>
        <v/>
      </c>
      <c r="T63" s="25" t="str">
        <f t="shared" si="6"/>
        <v/>
      </c>
      <c r="U63" s="72" t="str">
        <f t="shared" si="7"/>
        <v/>
      </c>
      <c r="V63" s="224" t="str">
        <f>IF(C63="","",IF(IN_DATA!R58=3, IF(IN_DATA!$L$4=5, 250, 375), 0))</f>
        <v/>
      </c>
      <c r="W63" s="97" t="str">
        <f t="shared" si="8"/>
        <v/>
      </c>
      <c r="X63" s="97" t="str">
        <f t="shared" si="9"/>
        <v/>
      </c>
      <c r="Y63" s="97" t="str">
        <f t="shared" si="10"/>
        <v/>
      </c>
      <c r="Z63" s="97" t="str">
        <f t="shared" si="11"/>
        <v/>
      </c>
      <c r="AA63" s="97" t="str">
        <f t="shared" si="12"/>
        <v/>
      </c>
      <c r="AB63" s="97" t="str">
        <f t="shared" si="13"/>
        <v/>
      </c>
      <c r="AC63" s="97" t="str">
        <f t="shared" si="14"/>
        <v/>
      </c>
      <c r="AD63" s="228" t="str">
        <f t="shared" si="15"/>
        <v/>
      </c>
      <c r="AE63" s="266" t="str">
        <f t="shared" si="16"/>
        <v/>
      </c>
    </row>
    <row r="64" spans="1:33" x14ac:dyDescent="0.2">
      <c r="A64" s="4">
        <v>54</v>
      </c>
      <c r="B64" s="31">
        <f t="shared" si="18"/>
        <v>2066</v>
      </c>
      <c r="C64" s="158" t="str">
        <f>IN_DATA!P59</f>
        <v/>
      </c>
      <c r="D64" s="33" t="str">
        <f>IN_DATA!Q59</f>
        <v/>
      </c>
      <c r="F64" s="4">
        <f t="shared" si="17"/>
        <v>2066</v>
      </c>
      <c r="G64" s="24" t="str">
        <f>IF(C64="","",IN_DATA!C59*OCF*FPF)</f>
        <v/>
      </c>
      <c r="H64" s="24" t="str">
        <f>IF(C64="","",IN_DATA!D59*OCF*FPF)</f>
        <v/>
      </c>
      <c r="I64" s="24" t="str">
        <f>IF(C64="","",IN_DATA!E59)</f>
        <v/>
      </c>
      <c r="J64" s="24" t="str">
        <f>IF(C64="","",IN_DATA!F59)</f>
        <v/>
      </c>
      <c r="K64" s="24" t="str">
        <f>IF(C64="","",IN_DATA!H59)</f>
        <v/>
      </c>
      <c r="L64" s="155" t="str">
        <f>IF(C64="","",IN_DATA!G59)</f>
        <v/>
      </c>
      <c r="M64" s="154"/>
      <c r="N64" s="220" t="str">
        <f>IF(C64="","",IN_DATA!P59)</f>
        <v/>
      </c>
      <c r="O64" s="112" t="str">
        <f>IF(C64="","",IN_DATA!Q59)</f>
        <v/>
      </c>
      <c r="P64" s="25" t="str">
        <f t="shared" si="2"/>
        <v/>
      </c>
      <c r="Q64" s="25" t="str">
        <f t="shared" si="3"/>
        <v/>
      </c>
      <c r="R64" s="25" t="str">
        <f t="shared" si="4"/>
        <v/>
      </c>
      <c r="S64" s="25" t="str">
        <f t="shared" si="5"/>
        <v/>
      </c>
      <c r="T64" s="25" t="str">
        <f t="shared" si="6"/>
        <v/>
      </c>
      <c r="U64" s="72" t="str">
        <f t="shared" si="7"/>
        <v/>
      </c>
      <c r="V64" s="224" t="str">
        <f>IF(C64="","",IF(IN_DATA!R59=3, IF(IN_DATA!$L$4=5, 250, 375), 0))</f>
        <v/>
      </c>
      <c r="W64" s="97" t="str">
        <f t="shared" si="8"/>
        <v/>
      </c>
      <c r="X64" s="97" t="str">
        <f t="shared" si="9"/>
        <v/>
      </c>
      <c r="Y64" s="97" t="str">
        <f t="shared" si="10"/>
        <v/>
      </c>
      <c r="Z64" s="97" t="str">
        <f t="shared" si="11"/>
        <v/>
      </c>
      <c r="AA64" s="97" t="str">
        <f t="shared" si="12"/>
        <v/>
      </c>
      <c r="AB64" s="97" t="str">
        <f t="shared" si="13"/>
        <v/>
      </c>
      <c r="AC64" s="97" t="str">
        <f t="shared" si="14"/>
        <v/>
      </c>
      <c r="AD64" s="228" t="str">
        <f t="shared" si="15"/>
        <v/>
      </c>
      <c r="AE64" s="266" t="str">
        <f t="shared" si="16"/>
        <v/>
      </c>
    </row>
    <row r="65" spans="1:31" x14ac:dyDescent="0.2">
      <c r="A65" s="4">
        <v>55</v>
      </c>
      <c r="B65" s="31">
        <f t="shared" si="18"/>
        <v>2067</v>
      </c>
      <c r="C65" s="158" t="str">
        <f>IN_DATA!P60</f>
        <v/>
      </c>
      <c r="D65" s="33" t="str">
        <f>IN_DATA!Q60</f>
        <v/>
      </c>
      <c r="F65" s="4">
        <f t="shared" si="17"/>
        <v>2067</v>
      </c>
      <c r="G65" s="24" t="str">
        <f>IF(C65="","",IN_DATA!C60*OCF*FPF)</f>
        <v/>
      </c>
      <c r="H65" s="24" t="str">
        <f>IF(C65="","",IN_DATA!D60*OCF*FPF)</f>
        <v/>
      </c>
      <c r="I65" s="24" t="str">
        <f>IF(C65="","",IN_DATA!E60)</f>
        <v/>
      </c>
      <c r="J65" s="24" t="str">
        <f>IF(C65="","",IN_DATA!F60)</f>
        <v/>
      </c>
      <c r="K65" s="24" t="str">
        <f>IF(C65="","",IN_DATA!H60)</f>
        <v/>
      </c>
      <c r="L65" s="155" t="str">
        <f>IF(C65="","",IN_DATA!G60)</f>
        <v/>
      </c>
      <c r="M65" s="154"/>
      <c r="N65" s="220" t="str">
        <f>IF(C65="","",IN_DATA!P60)</f>
        <v/>
      </c>
      <c r="O65" s="112" t="str">
        <f>IF(C65="","",IN_DATA!Q60)</f>
        <v/>
      </c>
      <c r="P65" s="25" t="str">
        <f t="shared" si="2"/>
        <v/>
      </c>
      <c r="Q65" s="25" t="str">
        <f t="shared" si="3"/>
        <v/>
      </c>
      <c r="R65" s="25" t="str">
        <f t="shared" si="4"/>
        <v/>
      </c>
      <c r="S65" s="25" t="str">
        <f t="shared" si="5"/>
        <v/>
      </c>
      <c r="T65" s="25" t="str">
        <f t="shared" si="6"/>
        <v/>
      </c>
      <c r="U65" s="72" t="str">
        <f t="shared" si="7"/>
        <v/>
      </c>
      <c r="V65" s="224" t="str">
        <f>IF(C65="","",IF(IN_DATA!R60=3, IF(IN_DATA!$L$4=5, 250, 375), 0))</f>
        <v/>
      </c>
      <c r="W65" s="97" t="str">
        <f t="shared" si="8"/>
        <v/>
      </c>
      <c r="X65" s="97" t="str">
        <f t="shared" si="9"/>
        <v/>
      </c>
      <c r="Y65" s="97" t="str">
        <f t="shared" si="10"/>
        <v/>
      </c>
      <c r="Z65" s="97" t="str">
        <f t="shared" si="11"/>
        <v/>
      </c>
      <c r="AA65" s="97" t="str">
        <f t="shared" si="12"/>
        <v/>
      </c>
      <c r="AB65" s="97" t="str">
        <f t="shared" si="13"/>
        <v/>
      </c>
      <c r="AC65" s="97" t="str">
        <f t="shared" si="14"/>
        <v/>
      </c>
      <c r="AD65" s="228" t="str">
        <f t="shared" si="15"/>
        <v/>
      </c>
      <c r="AE65" s="266" t="str">
        <f t="shared" si="16"/>
        <v/>
      </c>
    </row>
    <row r="66" spans="1:31" x14ac:dyDescent="0.2">
      <c r="A66" s="4">
        <v>56</v>
      </c>
      <c r="B66" s="31">
        <f t="shared" si="18"/>
        <v>2068</v>
      </c>
      <c r="C66" s="158" t="str">
        <f>IN_DATA!P61</f>
        <v/>
      </c>
      <c r="D66" s="33" t="str">
        <f>IN_DATA!Q61</f>
        <v/>
      </c>
      <c r="F66" s="4">
        <f t="shared" si="17"/>
        <v>2068</v>
      </c>
      <c r="G66" s="24" t="str">
        <f>IF(C66="","",IN_DATA!C61*OCF*FPF)</f>
        <v/>
      </c>
      <c r="H66" s="24" t="str">
        <f>IF(C66="","",IN_DATA!D61*OCF*FPF)</f>
        <v/>
      </c>
      <c r="I66" s="24" t="str">
        <f>IF(C66="","",IN_DATA!E61)</f>
        <v/>
      </c>
      <c r="J66" s="24" t="str">
        <f>IF(C66="","",IN_DATA!F61)</f>
        <v/>
      </c>
      <c r="K66" s="24" t="str">
        <f>IF(C66="","",IN_DATA!H61)</f>
        <v/>
      </c>
      <c r="L66" s="155" t="str">
        <f>IF(C66="","",IN_DATA!G61)</f>
        <v/>
      </c>
      <c r="M66" s="154"/>
      <c r="N66" s="220" t="str">
        <f>IF(C66="","",IN_DATA!P61)</f>
        <v/>
      </c>
      <c r="O66" s="112" t="str">
        <f>IF(C66="","",IN_DATA!Q61)</f>
        <v/>
      </c>
      <c r="P66" s="25" t="str">
        <f t="shared" si="2"/>
        <v/>
      </c>
      <c r="Q66" s="25" t="str">
        <f t="shared" si="3"/>
        <v/>
      </c>
      <c r="R66" s="25" t="str">
        <f t="shared" si="4"/>
        <v/>
      </c>
      <c r="S66" s="25" t="str">
        <f t="shared" si="5"/>
        <v/>
      </c>
      <c r="T66" s="25" t="str">
        <f t="shared" si="6"/>
        <v/>
      </c>
      <c r="U66" s="72" t="str">
        <f t="shared" si="7"/>
        <v/>
      </c>
      <c r="V66" s="224" t="str">
        <f>IF(C66="","",IF(IN_DATA!R61=3, IF(IN_DATA!$L$4=5, 250, 375), 0))</f>
        <v/>
      </c>
      <c r="W66" s="97" t="str">
        <f t="shared" si="8"/>
        <v/>
      </c>
      <c r="X66" s="97" t="str">
        <f t="shared" si="9"/>
        <v/>
      </c>
      <c r="Y66" s="97" t="str">
        <f t="shared" si="10"/>
        <v/>
      </c>
      <c r="Z66" s="97" t="str">
        <f t="shared" si="11"/>
        <v/>
      </c>
      <c r="AA66" s="97" t="str">
        <f t="shared" si="12"/>
        <v/>
      </c>
      <c r="AB66" s="97" t="str">
        <f t="shared" si="13"/>
        <v/>
      </c>
      <c r="AC66" s="97" t="str">
        <f t="shared" si="14"/>
        <v/>
      </c>
      <c r="AD66" s="228" t="str">
        <f t="shared" si="15"/>
        <v/>
      </c>
      <c r="AE66" s="266" t="str">
        <f t="shared" si="16"/>
        <v/>
      </c>
    </row>
    <row r="67" spans="1:31" x14ac:dyDescent="0.2">
      <c r="A67" s="4">
        <v>57</v>
      </c>
      <c r="B67" s="31">
        <f t="shared" si="18"/>
        <v>2069</v>
      </c>
      <c r="C67" s="158" t="str">
        <f>IN_DATA!P62</f>
        <v/>
      </c>
      <c r="D67" s="33" t="str">
        <f>IN_DATA!Q62</f>
        <v/>
      </c>
      <c r="F67" s="4">
        <f t="shared" si="17"/>
        <v>2069</v>
      </c>
      <c r="G67" s="24" t="str">
        <f>IF(C67="","",IN_DATA!C62*OCF*FPF)</f>
        <v/>
      </c>
      <c r="H67" s="24" t="str">
        <f>IF(C67="","",IN_DATA!D62*OCF*FPF)</f>
        <v/>
      </c>
      <c r="I67" s="24" t="str">
        <f>IF(C67="","",IN_DATA!E62)</f>
        <v/>
      </c>
      <c r="J67" s="24" t="str">
        <f>IF(C67="","",IN_DATA!F62)</f>
        <v/>
      </c>
      <c r="K67" s="24" t="str">
        <f>IF(C67="","",IN_DATA!H62)</f>
        <v/>
      </c>
      <c r="L67" s="155" t="str">
        <f>IF(C67="","",IN_DATA!G62)</f>
        <v/>
      </c>
      <c r="M67" s="154"/>
      <c r="N67" s="220" t="str">
        <f>IF(C67="","",IN_DATA!P62)</f>
        <v/>
      </c>
      <c r="O67" s="112" t="str">
        <f>IF(C67="","",IN_DATA!Q62)</f>
        <v/>
      </c>
      <c r="P67" s="25" t="str">
        <f t="shared" si="2"/>
        <v/>
      </c>
      <c r="Q67" s="25" t="str">
        <f t="shared" si="3"/>
        <v/>
      </c>
      <c r="R67" s="25" t="str">
        <f t="shared" si="4"/>
        <v/>
      </c>
      <c r="S67" s="25" t="str">
        <f t="shared" si="5"/>
        <v/>
      </c>
      <c r="T67" s="25" t="str">
        <f t="shared" si="6"/>
        <v/>
      </c>
      <c r="U67" s="72" t="str">
        <f t="shared" si="7"/>
        <v/>
      </c>
      <c r="V67" s="224" t="str">
        <f>IF(C67="","",IF(IN_DATA!R62=3, IF(IN_DATA!$L$4=5, 250, 375), 0))</f>
        <v/>
      </c>
      <c r="W67" s="97" t="str">
        <f t="shared" si="8"/>
        <v/>
      </c>
      <c r="X67" s="97" t="str">
        <f t="shared" si="9"/>
        <v/>
      </c>
      <c r="Y67" s="97" t="str">
        <f t="shared" si="10"/>
        <v/>
      </c>
      <c r="Z67" s="97" t="str">
        <f t="shared" si="11"/>
        <v/>
      </c>
      <c r="AA67" s="97" t="str">
        <f t="shared" si="12"/>
        <v/>
      </c>
      <c r="AB67" s="97" t="str">
        <f t="shared" si="13"/>
        <v/>
      </c>
      <c r="AC67" s="97" t="str">
        <f t="shared" si="14"/>
        <v/>
      </c>
      <c r="AD67" s="228" t="str">
        <f t="shared" si="15"/>
        <v/>
      </c>
      <c r="AE67" s="266" t="str">
        <f t="shared" si="16"/>
        <v/>
      </c>
    </row>
    <row r="68" spans="1:31" x14ac:dyDescent="0.2">
      <c r="A68" s="4">
        <v>58</v>
      </c>
      <c r="B68" s="31">
        <f t="shared" si="18"/>
        <v>2070</v>
      </c>
      <c r="C68" s="158" t="str">
        <f>IN_DATA!P63</f>
        <v/>
      </c>
      <c r="D68" s="33" t="str">
        <f>IN_DATA!Q63</f>
        <v/>
      </c>
      <c r="F68" s="4">
        <f t="shared" si="17"/>
        <v>2070</v>
      </c>
      <c r="G68" s="24" t="str">
        <f>IF(C68="","",IN_DATA!C63*OCF*FPF)</f>
        <v/>
      </c>
      <c r="H68" s="24" t="str">
        <f>IF(C68="","",IN_DATA!D63*OCF*FPF)</f>
        <v/>
      </c>
      <c r="I68" s="24" t="str">
        <f>IF(C68="","",IN_DATA!E63)</f>
        <v/>
      </c>
      <c r="J68" s="24" t="str">
        <f>IF(C68="","",IN_DATA!F63)</f>
        <v/>
      </c>
      <c r="K68" s="24" t="str">
        <f>IF(C68="","",IN_DATA!H63)</f>
        <v/>
      </c>
      <c r="L68" s="155" t="str">
        <f>IF(C68="","",IN_DATA!G63)</f>
        <v/>
      </c>
      <c r="M68" s="154"/>
      <c r="N68" s="220" t="str">
        <f>IF(C68="","",IN_DATA!P63)</f>
        <v/>
      </c>
      <c r="O68" s="112" t="str">
        <f>IF(C68="","",IN_DATA!Q63)</f>
        <v/>
      </c>
      <c r="P68" s="25" t="str">
        <f t="shared" si="2"/>
        <v/>
      </c>
      <c r="Q68" s="25" t="str">
        <f t="shared" si="3"/>
        <v/>
      </c>
      <c r="R68" s="25" t="str">
        <f t="shared" si="4"/>
        <v/>
      </c>
      <c r="S68" s="25" t="str">
        <f t="shared" si="5"/>
        <v/>
      </c>
      <c r="T68" s="25" t="str">
        <f t="shared" si="6"/>
        <v/>
      </c>
      <c r="U68" s="72" t="str">
        <f t="shared" si="7"/>
        <v/>
      </c>
      <c r="V68" s="224" t="str">
        <f>IF(C68="","",IF(IN_DATA!R63=3, IF(IN_DATA!$L$4=5, 250, 375), 0))</f>
        <v/>
      </c>
      <c r="W68" s="97" t="str">
        <f t="shared" si="8"/>
        <v/>
      </c>
      <c r="X68" s="97" t="str">
        <f t="shared" si="9"/>
        <v/>
      </c>
      <c r="Y68" s="97" t="str">
        <f t="shared" si="10"/>
        <v/>
      </c>
      <c r="Z68" s="97" t="str">
        <f t="shared" si="11"/>
        <v/>
      </c>
      <c r="AA68" s="97" t="str">
        <f t="shared" si="12"/>
        <v/>
      </c>
      <c r="AB68" s="97" t="str">
        <f t="shared" si="13"/>
        <v/>
      </c>
      <c r="AC68" s="97" t="str">
        <f t="shared" si="14"/>
        <v/>
      </c>
      <c r="AD68" s="228" t="str">
        <f t="shared" si="15"/>
        <v/>
      </c>
      <c r="AE68" s="266" t="str">
        <f t="shared" si="16"/>
        <v/>
      </c>
    </row>
    <row r="69" spans="1:31" x14ac:dyDescent="0.2">
      <c r="A69" s="4">
        <v>59</v>
      </c>
      <c r="B69" s="31">
        <f t="shared" si="18"/>
        <v>2071</v>
      </c>
      <c r="C69" s="158" t="str">
        <f>IN_DATA!P64</f>
        <v/>
      </c>
      <c r="D69" s="33" t="str">
        <f>IN_DATA!Q64</f>
        <v/>
      </c>
      <c r="F69" s="4">
        <f t="shared" si="17"/>
        <v>2071</v>
      </c>
      <c r="G69" s="24" t="str">
        <f>IF(C69="","",IN_DATA!C64*OCF*FPF)</f>
        <v/>
      </c>
      <c r="H69" s="24" t="str">
        <f>IF(C69="","",IN_DATA!D64*OCF*FPF)</f>
        <v/>
      </c>
      <c r="I69" s="24" t="str">
        <f>IF(C69="","",IN_DATA!E64)</f>
        <v/>
      </c>
      <c r="J69" s="24" t="str">
        <f>IF(C69="","",IN_DATA!F64)</f>
        <v/>
      </c>
      <c r="K69" s="24" t="str">
        <f>IF(C69="","",IN_DATA!H64)</f>
        <v/>
      </c>
      <c r="L69" s="155" t="str">
        <f>IF(C69="","",IN_DATA!G64)</f>
        <v/>
      </c>
      <c r="M69" s="154"/>
      <c r="N69" s="220" t="str">
        <f>IF(C69="","",IN_DATA!P64)</f>
        <v/>
      </c>
      <c r="O69" s="112" t="str">
        <f>IF(C69="","",IN_DATA!Q64)</f>
        <v/>
      </c>
      <c r="P69" s="25" t="str">
        <f t="shared" si="2"/>
        <v/>
      </c>
      <c r="Q69" s="25" t="str">
        <f t="shared" si="3"/>
        <v/>
      </c>
      <c r="R69" s="25" t="str">
        <f t="shared" si="4"/>
        <v/>
      </c>
      <c r="S69" s="25" t="str">
        <f t="shared" si="5"/>
        <v/>
      </c>
      <c r="T69" s="25" t="str">
        <f t="shared" si="6"/>
        <v/>
      </c>
      <c r="U69" s="72" t="str">
        <f t="shared" si="7"/>
        <v/>
      </c>
      <c r="V69" s="224" t="str">
        <f>IF(C69="","",IF(IN_DATA!R64=3, IF(IN_DATA!$L$4=5, 250, 375), 0))</f>
        <v/>
      </c>
      <c r="W69" s="97" t="str">
        <f t="shared" si="8"/>
        <v/>
      </c>
      <c r="X69" s="97" t="str">
        <f t="shared" si="9"/>
        <v/>
      </c>
      <c r="Y69" s="97" t="str">
        <f t="shared" si="10"/>
        <v/>
      </c>
      <c r="Z69" s="97" t="str">
        <f t="shared" si="11"/>
        <v/>
      </c>
      <c r="AA69" s="97" t="str">
        <f t="shared" si="12"/>
        <v/>
      </c>
      <c r="AB69" s="97" t="str">
        <f t="shared" si="13"/>
        <v/>
      </c>
      <c r="AC69" s="97" t="str">
        <f t="shared" si="14"/>
        <v/>
      </c>
      <c r="AD69" s="228" t="str">
        <f t="shared" si="15"/>
        <v/>
      </c>
      <c r="AE69" s="266" t="str">
        <f t="shared" si="16"/>
        <v/>
      </c>
    </row>
    <row r="70" spans="1:31" x14ac:dyDescent="0.2">
      <c r="A70" s="4">
        <v>60</v>
      </c>
      <c r="B70" s="31">
        <f t="shared" si="18"/>
        <v>2072</v>
      </c>
      <c r="C70" s="158" t="str">
        <f>IN_DATA!P65</f>
        <v/>
      </c>
      <c r="D70" s="33" t="str">
        <f>IN_DATA!Q65</f>
        <v/>
      </c>
      <c r="F70" s="4">
        <f t="shared" si="17"/>
        <v>2072</v>
      </c>
      <c r="G70" s="24" t="str">
        <f>IF(C70="","",IN_DATA!C65*OCF*FPF)</f>
        <v/>
      </c>
      <c r="H70" s="24" t="str">
        <f>IF(C70="","",IN_DATA!D65*OCF*FPF)</f>
        <v/>
      </c>
      <c r="I70" s="24" t="str">
        <f>IF(C70="","",IN_DATA!E65)</f>
        <v/>
      </c>
      <c r="J70" s="24" t="str">
        <f>IF(C70="","",IN_DATA!F65)</f>
        <v/>
      </c>
      <c r="K70" s="24" t="str">
        <f>IF(C70="","",IN_DATA!H65)</f>
        <v/>
      </c>
      <c r="L70" s="155" t="str">
        <f>IF(C70="","",IN_DATA!G65)</f>
        <v/>
      </c>
      <c r="M70" s="154"/>
      <c r="N70" s="220" t="str">
        <f>IF(C70="","",IN_DATA!P65)</f>
        <v/>
      </c>
      <c r="O70" s="112" t="str">
        <f>IF(C70="","",IN_DATA!Q65)</f>
        <v/>
      </c>
      <c r="P70" s="25" t="str">
        <f t="shared" si="2"/>
        <v/>
      </c>
      <c r="Q70" s="25" t="str">
        <f t="shared" si="3"/>
        <v/>
      </c>
      <c r="R70" s="25" t="str">
        <f t="shared" si="4"/>
        <v/>
      </c>
      <c r="S70" s="25" t="str">
        <f t="shared" si="5"/>
        <v/>
      </c>
      <c r="T70" s="25" t="str">
        <f t="shared" si="6"/>
        <v/>
      </c>
      <c r="U70" s="72" t="str">
        <f t="shared" si="7"/>
        <v/>
      </c>
      <c r="V70" s="224" t="str">
        <f>IF(C70="","",IF(IN_DATA!R65=3, IF(IN_DATA!$L$4=5, 250, 375), 0))</f>
        <v/>
      </c>
      <c r="W70" s="97" t="str">
        <f t="shared" si="8"/>
        <v/>
      </c>
      <c r="X70" s="97" t="str">
        <f t="shared" si="9"/>
        <v/>
      </c>
      <c r="Y70" s="97" t="str">
        <f t="shared" si="10"/>
        <v/>
      </c>
      <c r="Z70" s="97" t="str">
        <f t="shared" si="11"/>
        <v/>
      </c>
      <c r="AA70" s="97" t="str">
        <f t="shared" si="12"/>
        <v/>
      </c>
      <c r="AB70" s="97" t="str">
        <f t="shared" si="13"/>
        <v/>
      </c>
      <c r="AC70" s="97" t="str">
        <f t="shared" si="14"/>
        <v/>
      </c>
      <c r="AD70" s="228" t="str">
        <f t="shared" si="15"/>
        <v/>
      </c>
      <c r="AE70" s="266" t="str">
        <f t="shared" si="16"/>
        <v/>
      </c>
    </row>
    <row r="71" spans="1:31" x14ac:dyDescent="0.2">
      <c r="A71" s="4">
        <v>61</v>
      </c>
      <c r="B71" s="31">
        <f t="shared" si="18"/>
        <v>2073</v>
      </c>
      <c r="C71" s="158" t="str">
        <f>IN_DATA!P66</f>
        <v/>
      </c>
      <c r="D71" s="33" t="str">
        <f>IN_DATA!Q66</f>
        <v/>
      </c>
      <c r="F71" s="4">
        <f t="shared" si="17"/>
        <v>2073</v>
      </c>
      <c r="G71" s="24" t="str">
        <f>IF(C71="","",IN_DATA!C66*OCF*FPF)</f>
        <v/>
      </c>
      <c r="H71" s="24" t="str">
        <f>IF(C71="","",IN_DATA!D66*OCF*FPF)</f>
        <v/>
      </c>
      <c r="I71" s="24" t="str">
        <f>IF(C71="","",IN_DATA!E66)</f>
        <v/>
      </c>
      <c r="J71" s="24" t="str">
        <f>IF(C71="","",IN_DATA!F66)</f>
        <v/>
      </c>
      <c r="K71" s="24" t="str">
        <f>IF(C71="","",IN_DATA!H66)</f>
        <v/>
      </c>
      <c r="L71" s="155" t="str">
        <f>IF(C71="","",IN_DATA!G66)</f>
        <v/>
      </c>
      <c r="M71" s="154"/>
      <c r="N71" s="220" t="str">
        <f>IF(C71="","",IN_DATA!P66)</f>
        <v/>
      </c>
      <c r="O71" s="112" t="str">
        <f>IF(C71="","",IN_DATA!Q66)</f>
        <v/>
      </c>
      <c r="P71" s="25" t="str">
        <f t="shared" si="2"/>
        <v/>
      </c>
      <c r="Q71" s="25" t="str">
        <f t="shared" si="3"/>
        <v/>
      </c>
      <c r="R71" s="25" t="str">
        <f t="shared" si="4"/>
        <v/>
      </c>
      <c r="S71" s="25" t="str">
        <f t="shared" si="5"/>
        <v/>
      </c>
      <c r="T71" s="25" t="str">
        <f t="shared" si="6"/>
        <v/>
      </c>
      <c r="U71" s="72" t="str">
        <f t="shared" si="7"/>
        <v/>
      </c>
      <c r="V71" s="224" t="str">
        <f>IF(C71="","",IF(IN_DATA!R66=3, IF(IN_DATA!$L$4=5, 250, 375), 0))</f>
        <v/>
      </c>
      <c r="W71" s="97" t="str">
        <f t="shared" si="8"/>
        <v/>
      </c>
      <c r="X71" s="97" t="str">
        <f t="shared" si="9"/>
        <v/>
      </c>
      <c r="Y71" s="97" t="str">
        <f t="shared" si="10"/>
        <v/>
      </c>
      <c r="Z71" s="97" t="str">
        <f t="shared" si="11"/>
        <v/>
      </c>
      <c r="AA71" s="97" t="str">
        <f t="shared" si="12"/>
        <v/>
      </c>
      <c r="AB71" s="97" t="str">
        <f t="shared" si="13"/>
        <v/>
      </c>
      <c r="AC71" s="97" t="str">
        <f t="shared" si="14"/>
        <v/>
      </c>
      <c r="AD71" s="228" t="str">
        <f t="shared" si="15"/>
        <v/>
      </c>
      <c r="AE71" s="266" t="str">
        <f t="shared" si="16"/>
        <v/>
      </c>
    </row>
    <row r="72" spans="1:31" x14ac:dyDescent="0.2">
      <c r="A72" s="4">
        <v>62</v>
      </c>
      <c r="B72" s="31">
        <f t="shared" si="18"/>
        <v>2074</v>
      </c>
      <c r="C72" s="158" t="str">
        <f>IN_DATA!P67</f>
        <v/>
      </c>
      <c r="D72" s="33" t="str">
        <f>IN_DATA!Q67</f>
        <v/>
      </c>
      <c r="F72" s="4">
        <f t="shared" si="17"/>
        <v>2074</v>
      </c>
      <c r="G72" s="24" t="str">
        <f>IF(C72="","",IN_DATA!C67*OCF*FPF)</f>
        <v/>
      </c>
      <c r="H72" s="24" t="str">
        <f>IF(C72="","",IN_DATA!D67*OCF*FPF)</f>
        <v/>
      </c>
      <c r="I72" s="24" t="str">
        <f>IF(C72="","",IN_DATA!E67)</f>
        <v/>
      </c>
      <c r="J72" s="24" t="str">
        <f>IF(C72="","",IN_DATA!F67)</f>
        <v/>
      </c>
      <c r="K72" s="24" t="str">
        <f>IF(C72="","",IN_DATA!H67)</f>
        <v/>
      </c>
      <c r="L72" s="155" t="str">
        <f>IF(C72="","",IN_DATA!G67)</f>
        <v/>
      </c>
      <c r="M72" s="154"/>
      <c r="N72" s="220" t="str">
        <f>IF(C72="","",IN_DATA!P67)</f>
        <v/>
      </c>
      <c r="O72" s="112" t="str">
        <f>IF(C72="","",IN_DATA!Q67)</f>
        <v/>
      </c>
      <c r="P72" s="25" t="str">
        <f t="shared" si="2"/>
        <v/>
      </c>
      <c r="Q72" s="25" t="str">
        <f t="shared" si="3"/>
        <v/>
      </c>
      <c r="R72" s="25" t="str">
        <f t="shared" si="4"/>
        <v/>
      </c>
      <c r="S72" s="25" t="str">
        <f t="shared" si="5"/>
        <v/>
      </c>
      <c r="T72" s="25" t="str">
        <f t="shared" si="6"/>
        <v/>
      </c>
      <c r="U72" s="72" t="str">
        <f t="shared" si="7"/>
        <v/>
      </c>
      <c r="V72" s="224" t="str">
        <f>IF(C72="","",IF(IN_DATA!R67=3, IF(IN_DATA!$L$4=5, 250, 375), 0))</f>
        <v/>
      </c>
      <c r="W72" s="97" t="str">
        <f t="shared" si="8"/>
        <v/>
      </c>
      <c r="X72" s="97" t="str">
        <f t="shared" si="9"/>
        <v/>
      </c>
      <c r="Y72" s="97" t="str">
        <f t="shared" si="10"/>
        <v/>
      </c>
      <c r="Z72" s="97" t="str">
        <f t="shared" si="11"/>
        <v/>
      </c>
      <c r="AA72" s="97" t="str">
        <f t="shared" si="12"/>
        <v/>
      </c>
      <c r="AB72" s="97" t="str">
        <f t="shared" si="13"/>
        <v/>
      </c>
      <c r="AC72" s="97" t="str">
        <f t="shared" si="14"/>
        <v/>
      </c>
      <c r="AD72" s="228" t="str">
        <f t="shared" si="15"/>
        <v/>
      </c>
      <c r="AE72" s="266" t="str">
        <f t="shared" si="16"/>
        <v/>
      </c>
    </row>
    <row r="73" spans="1:31" x14ac:dyDescent="0.2">
      <c r="A73" s="4">
        <v>63</v>
      </c>
      <c r="B73" s="31">
        <f t="shared" si="18"/>
        <v>2075</v>
      </c>
      <c r="C73" s="158" t="str">
        <f>IN_DATA!P68</f>
        <v/>
      </c>
      <c r="D73" s="33" t="str">
        <f>IN_DATA!Q68</f>
        <v/>
      </c>
      <c r="F73" s="4">
        <f t="shared" si="17"/>
        <v>2075</v>
      </c>
      <c r="G73" s="24" t="str">
        <f>IF(C73="","",IN_DATA!C68*OCF*FPF)</f>
        <v/>
      </c>
      <c r="H73" s="24" t="str">
        <f>IF(C73="","",IN_DATA!D68*OCF*FPF)</f>
        <v/>
      </c>
      <c r="I73" s="24" t="str">
        <f>IF(C73="","",IN_DATA!E68)</f>
        <v/>
      </c>
      <c r="J73" s="24" t="str">
        <f>IF(C73="","",IN_DATA!F68)</f>
        <v/>
      </c>
      <c r="K73" s="24" t="str">
        <f>IF(C73="","",IN_DATA!H68)</f>
        <v/>
      </c>
      <c r="L73" s="155" t="str">
        <f>IF(C73="","",IN_DATA!G68)</f>
        <v/>
      </c>
      <c r="M73" s="154"/>
      <c r="N73" s="220" t="str">
        <f>IF(C73="","",IN_DATA!P68)</f>
        <v/>
      </c>
      <c r="O73" s="112" t="str">
        <f>IF(C73="","",IN_DATA!Q68)</f>
        <v/>
      </c>
      <c r="P73" s="25" t="str">
        <f t="shared" si="2"/>
        <v/>
      </c>
      <c r="Q73" s="25" t="str">
        <f t="shared" si="3"/>
        <v/>
      </c>
      <c r="R73" s="25" t="str">
        <f t="shared" si="4"/>
        <v/>
      </c>
      <c r="S73" s="25" t="str">
        <f t="shared" si="5"/>
        <v/>
      </c>
      <c r="T73" s="25" t="str">
        <f t="shared" si="6"/>
        <v/>
      </c>
      <c r="U73" s="72" t="str">
        <f t="shared" si="7"/>
        <v/>
      </c>
      <c r="V73" s="224" t="str">
        <f>IF(C73="","",IF(IN_DATA!R68=3, IF(IN_DATA!$L$4=5, 250, 375), 0))</f>
        <v/>
      </c>
      <c r="W73" s="97" t="str">
        <f t="shared" si="8"/>
        <v/>
      </c>
      <c r="X73" s="97" t="str">
        <f t="shared" si="9"/>
        <v/>
      </c>
      <c r="Y73" s="97" t="str">
        <f t="shared" si="10"/>
        <v/>
      </c>
      <c r="Z73" s="97" t="str">
        <f t="shared" si="11"/>
        <v/>
      </c>
      <c r="AA73" s="97" t="str">
        <f t="shared" si="12"/>
        <v/>
      </c>
      <c r="AB73" s="97" t="str">
        <f t="shared" si="13"/>
        <v/>
      </c>
      <c r="AC73" s="97" t="str">
        <f t="shared" si="14"/>
        <v/>
      </c>
      <c r="AD73" s="228" t="str">
        <f t="shared" si="15"/>
        <v/>
      </c>
      <c r="AE73" s="266" t="str">
        <f t="shared" si="16"/>
        <v/>
      </c>
    </row>
    <row r="74" spans="1:31" x14ac:dyDescent="0.2">
      <c r="A74" s="4">
        <v>64</v>
      </c>
      <c r="B74" s="31">
        <f t="shared" si="18"/>
        <v>2076</v>
      </c>
      <c r="C74" s="158" t="str">
        <f>IN_DATA!P69</f>
        <v/>
      </c>
      <c r="D74" s="33" t="str">
        <f>IN_DATA!Q69</f>
        <v/>
      </c>
      <c r="F74" s="4">
        <f t="shared" si="17"/>
        <v>2076</v>
      </c>
      <c r="G74" s="24" t="str">
        <f>IF(C74="","",IN_DATA!C69*OCF*FPF)</f>
        <v/>
      </c>
      <c r="H74" s="24" t="str">
        <f>IF(C74="","",IN_DATA!D69*OCF*FPF)</f>
        <v/>
      </c>
      <c r="I74" s="24" t="str">
        <f>IF(C74="","",IN_DATA!E69)</f>
        <v/>
      </c>
      <c r="J74" s="24" t="str">
        <f>IF(C74="","",IN_DATA!F69)</f>
        <v/>
      </c>
      <c r="K74" s="24" t="str">
        <f>IF(C74="","",IN_DATA!H69)</f>
        <v/>
      </c>
      <c r="L74" s="155" t="str">
        <f>IF(C74="","",IN_DATA!G69)</f>
        <v/>
      </c>
      <c r="M74" s="154"/>
      <c r="N74" s="220" t="str">
        <f>IF(C74="","",IN_DATA!P69)</f>
        <v/>
      </c>
      <c r="O74" s="112" t="str">
        <f>IF(C74="","",IN_DATA!Q69)</f>
        <v/>
      </c>
      <c r="P74" s="25" t="str">
        <f t="shared" si="2"/>
        <v/>
      </c>
      <c r="Q74" s="25" t="str">
        <f t="shared" si="3"/>
        <v/>
      </c>
      <c r="R74" s="25" t="str">
        <f t="shared" si="4"/>
        <v/>
      </c>
      <c r="S74" s="25" t="str">
        <f t="shared" si="5"/>
        <v/>
      </c>
      <c r="T74" s="25" t="str">
        <f t="shared" si="6"/>
        <v/>
      </c>
      <c r="U74" s="72" t="str">
        <f t="shared" si="7"/>
        <v/>
      </c>
      <c r="V74" s="224" t="str">
        <f>IF(C74="","",IF(IN_DATA!R69=3, IF(IN_DATA!$L$4=5, 250, 375), 0))</f>
        <v/>
      </c>
      <c r="W74" s="97" t="str">
        <f t="shared" si="8"/>
        <v/>
      </c>
      <c r="X74" s="97" t="str">
        <f t="shared" si="9"/>
        <v/>
      </c>
      <c r="Y74" s="97" t="str">
        <f t="shared" si="10"/>
        <v/>
      </c>
      <c r="Z74" s="97" t="str">
        <f t="shared" si="11"/>
        <v/>
      </c>
      <c r="AA74" s="97" t="str">
        <f t="shared" si="12"/>
        <v/>
      </c>
      <c r="AB74" s="97" t="str">
        <f t="shared" si="13"/>
        <v/>
      </c>
      <c r="AC74" s="97" t="str">
        <f t="shared" si="14"/>
        <v/>
      </c>
      <c r="AD74" s="228" t="str">
        <f t="shared" si="15"/>
        <v/>
      </c>
      <c r="AE74" s="266" t="str">
        <f t="shared" si="16"/>
        <v/>
      </c>
    </row>
    <row r="75" spans="1:31" x14ac:dyDescent="0.2">
      <c r="A75" s="4">
        <v>65</v>
      </c>
      <c r="B75" s="31">
        <f t="shared" si="18"/>
        <v>2077</v>
      </c>
      <c r="C75" s="158" t="str">
        <f>IN_DATA!P70</f>
        <v/>
      </c>
      <c r="D75" s="33" t="str">
        <f>IN_DATA!Q70</f>
        <v/>
      </c>
      <c r="F75" s="4">
        <f t="shared" si="17"/>
        <v>2077</v>
      </c>
      <c r="G75" s="24" t="str">
        <f>IF(C75="","",IN_DATA!C70*OCF*FPF)</f>
        <v/>
      </c>
      <c r="H75" s="24" t="str">
        <f>IF(C75="","",IN_DATA!D70*OCF*FPF)</f>
        <v/>
      </c>
      <c r="I75" s="24" t="str">
        <f>IF(C75="","",IN_DATA!E70)</f>
        <v/>
      </c>
      <c r="J75" s="24" t="str">
        <f>IF(C75="","",IN_DATA!F70)</f>
        <v/>
      </c>
      <c r="K75" s="24" t="str">
        <f>IF(C75="","",IN_DATA!H70)</f>
        <v/>
      </c>
      <c r="L75" s="155" t="str">
        <f>IF(C75="","",IN_DATA!G70)</f>
        <v/>
      </c>
      <c r="M75" s="154"/>
      <c r="N75" s="220" t="str">
        <f>IF(C75="","",IN_DATA!P70)</f>
        <v/>
      </c>
      <c r="O75" s="112" t="str">
        <f>IF(C75="","",IN_DATA!Q70)</f>
        <v/>
      </c>
      <c r="P75" s="25" t="str">
        <f t="shared" ref="P75:P138" si="19">IF(C75="","",365*G75/1000)</f>
        <v/>
      </c>
      <c r="Q75" s="25" t="str">
        <f t="shared" ref="Q75:Q138" si="20">IF(C75="","",365*H75/1000)</f>
        <v/>
      </c>
      <c r="R75" s="25" t="str">
        <f t="shared" ref="R75:R138" si="21">IF(C75="","",365*I75/1000)</f>
        <v/>
      </c>
      <c r="S75" s="25" t="str">
        <f t="shared" ref="S75:S138" si="22">IF(C75="","",365*J75/1000)</f>
        <v/>
      </c>
      <c r="T75" s="25" t="str">
        <f t="shared" ref="T75:T138" si="23">IF(C75="","",365*K75/1000)</f>
        <v/>
      </c>
      <c r="U75" s="72" t="str">
        <f t="shared" ref="U75:U138" si="24">IF(C75="","",365*L75/1000)</f>
        <v/>
      </c>
      <c r="V75" s="224" t="str">
        <f>IF(C75="","",IF(IN_DATA!R70=3, IF(IN_DATA!$L$4=5, 250, 375), 0))</f>
        <v/>
      </c>
      <c r="W75" s="97" t="str">
        <f t="shared" ref="W75:W138" si="25">IF(C75="","",(G$5*N75+H$5*O75))</f>
        <v/>
      </c>
      <c r="X75" s="97" t="str">
        <f t="shared" ref="X75:X138" si="26">IF(C75="","",I$5*P75)</f>
        <v/>
      </c>
      <c r="Y75" s="97" t="str">
        <f t="shared" ref="Y75:Y138" si="27">IF(C75="","",J$5*Q75)</f>
        <v/>
      </c>
      <c r="Z75" s="97" t="str">
        <f t="shared" ref="Z75:Z138" si="28">IF(C75="","",K$5*R75)</f>
        <v/>
      </c>
      <c r="AA75" s="97" t="str">
        <f t="shared" ref="AA75:AA138" si="29">IF(C75="","",L$5*S75)</f>
        <v/>
      </c>
      <c r="AB75" s="97" t="str">
        <f t="shared" ref="AB75:AB138" si="30">IF(C75="","",M$5*T75)</f>
        <v/>
      </c>
      <c r="AC75" s="97" t="str">
        <f t="shared" ref="AC75:AC138" si="31">IF(C75="","",N$5*U75)</f>
        <v/>
      </c>
      <c r="AD75" s="228" t="str">
        <f t="shared" ref="AD75:AD138" si="32">IF(C75="","", SUM(V75:AC75))</f>
        <v/>
      </c>
      <c r="AE75" s="266" t="str">
        <f t="shared" ref="AE75:AE138" si="33">IF(C75="","",IF(AD75/(P75+Q75/10)&gt;$O$5,"",AD75/(P75+Q75/10)))</f>
        <v/>
      </c>
    </row>
    <row r="76" spans="1:31" x14ac:dyDescent="0.2">
      <c r="A76" s="4">
        <v>66</v>
      </c>
      <c r="B76" s="31">
        <f t="shared" si="18"/>
        <v>2078</v>
      </c>
      <c r="C76" s="158" t="str">
        <f>IN_DATA!P71</f>
        <v/>
      </c>
      <c r="D76" s="33" t="str">
        <f>IN_DATA!Q71</f>
        <v/>
      </c>
      <c r="F76" s="4">
        <f t="shared" si="17"/>
        <v>2078</v>
      </c>
      <c r="G76" s="24" t="str">
        <f>IF(C76="","",IN_DATA!C71*OCF*FPF)</f>
        <v/>
      </c>
      <c r="H76" s="24" t="str">
        <f>IF(C76="","",IN_DATA!D71*OCF*FPF)</f>
        <v/>
      </c>
      <c r="I76" s="24" t="str">
        <f>IF(C76="","",IN_DATA!E71)</f>
        <v/>
      </c>
      <c r="J76" s="24" t="str">
        <f>IF(C76="","",IN_DATA!F71)</f>
        <v/>
      </c>
      <c r="K76" s="24" t="str">
        <f>IF(C76="","",IN_DATA!H71)</f>
        <v/>
      </c>
      <c r="L76" s="155" t="str">
        <f>IF(C76="","",IN_DATA!G71)</f>
        <v/>
      </c>
      <c r="M76" s="154"/>
      <c r="N76" s="220" t="str">
        <f>IF(C76="","",IN_DATA!P71)</f>
        <v/>
      </c>
      <c r="O76" s="112" t="str">
        <f>IF(C76="","",IN_DATA!Q71)</f>
        <v/>
      </c>
      <c r="P76" s="25" t="str">
        <f t="shared" si="19"/>
        <v/>
      </c>
      <c r="Q76" s="25" t="str">
        <f t="shared" si="20"/>
        <v/>
      </c>
      <c r="R76" s="25" t="str">
        <f t="shared" si="21"/>
        <v/>
      </c>
      <c r="S76" s="25" t="str">
        <f t="shared" si="22"/>
        <v/>
      </c>
      <c r="T76" s="25" t="str">
        <f t="shared" si="23"/>
        <v/>
      </c>
      <c r="U76" s="72" t="str">
        <f t="shared" si="24"/>
        <v/>
      </c>
      <c r="V76" s="224" t="str">
        <f>IF(C76="","",IF(IN_DATA!R71=3, IF(IN_DATA!$L$4=5, 250, 375), 0))</f>
        <v/>
      </c>
      <c r="W76" s="97" t="str">
        <f t="shared" si="25"/>
        <v/>
      </c>
      <c r="X76" s="97" t="str">
        <f t="shared" si="26"/>
        <v/>
      </c>
      <c r="Y76" s="97" t="str">
        <f t="shared" si="27"/>
        <v/>
      </c>
      <c r="Z76" s="97" t="str">
        <f t="shared" si="28"/>
        <v/>
      </c>
      <c r="AA76" s="97" t="str">
        <f t="shared" si="29"/>
        <v/>
      </c>
      <c r="AB76" s="97" t="str">
        <f t="shared" si="30"/>
        <v/>
      </c>
      <c r="AC76" s="97" t="str">
        <f t="shared" si="31"/>
        <v/>
      </c>
      <c r="AD76" s="228" t="str">
        <f t="shared" si="32"/>
        <v/>
      </c>
      <c r="AE76" s="266" t="str">
        <f t="shared" si="33"/>
        <v/>
      </c>
    </row>
    <row r="77" spans="1:31" x14ac:dyDescent="0.2">
      <c r="A77" s="4">
        <v>67</v>
      </c>
      <c r="B77" s="31">
        <f t="shared" si="18"/>
        <v>2079</v>
      </c>
      <c r="C77" s="158" t="str">
        <f>IN_DATA!P72</f>
        <v/>
      </c>
      <c r="D77" s="33" t="str">
        <f>IN_DATA!Q72</f>
        <v/>
      </c>
      <c r="F77" s="4">
        <f t="shared" si="17"/>
        <v>2079</v>
      </c>
      <c r="G77" s="24" t="str">
        <f>IF(C77="","",IN_DATA!C72*OCF*FPF)</f>
        <v/>
      </c>
      <c r="H77" s="24" t="str">
        <f>IF(C77="","",IN_DATA!D72*OCF*FPF)</f>
        <v/>
      </c>
      <c r="I77" s="24" t="str">
        <f>IF(C77="","",IN_DATA!E72)</f>
        <v/>
      </c>
      <c r="J77" s="24" t="str">
        <f>IF(C77="","",IN_DATA!F72)</f>
        <v/>
      </c>
      <c r="K77" s="24" t="str">
        <f>IF(C77="","",IN_DATA!H72)</f>
        <v/>
      </c>
      <c r="L77" s="155" t="str">
        <f>IF(C77="","",IN_DATA!G72)</f>
        <v/>
      </c>
      <c r="M77" s="154"/>
      <c r="N77" s="220" t="str">
        <f>IF(C77="","",IN_DATA!P72)</f>
        <v/>
      </c>
      <c r="O77" s="112" t="str">
        <f>IF(C77="","",IN_DATA!Q72)</f>
        <v/>
      </c>
      <c r="P77" s="25" t="str">
        <f t="shared" si="19"/>
        <v/>
      </c>
      <c r="Q77" s="25" t="str">
        <f t="shared" si="20"/>
        <v/>
      </c>
      <c r="R77" s="25" t="str">
        <f t="shared" si="21"/>
        <v/>
      </c>
      <c r="S77" s="25" t="str">
        <f t="shared" si="22"/>
        <v/>
      </c>
      <c r="T77" s="25" t="str">
        <f t="shared" si="23"/>
        <v/>
      </c>
      <c r="U77" s="72" t="str">
        <f t="shared" si="24"/>
        <v/>
      </c>
      <c r="V77" s="224" t="str">
        <f>IF(C77="","",IF(IN_DATA!R72=3, IF(IN_DATA!$L$4=5, 250, 375), 0))</f>
        <v/>
      </c>
      <c r="W77" s="97" t="str">
        <f t="shared" si="25"/>
        <v/>
      </c>
      <c r="X77" s="97" t="str">
        <f t="shared" si="26"/>
        <v/>
      </c>
      <c r="Y77" s="97" t="str">
        <f t="shared" si="27"/>
        <v/>
      </c>
      <c r="Z77" s="97" t="str">
        <f t="shared" si="28"/>
        <v/>
      </c>
      <c r="AA77" s="97" t="str">
        <f t="shared" si="29"/>
        <v/>
      </c>
      <c r="AB77" s="97" t="str">
        <f t="shared" si="30"/>
        <v/>
      </c>
      <c r="AC77" s="97" t="str">
        <f t="shared" si="31"/>
        <v/>
      </c>
      <c r="AD77" s="228" t="str">
        <f t="shared" si="32"/>
        <v/>
      </c>
      <c r="AE77" s="266" t="str">
        <f t="shared" si="33"/>
        <v/>
      </c>
    </row>
    <row r="78" spans="1:31" x14ac:dyDescent="0.2">
      <c r="A78" s="4">
        <v>68</v>
      </c>
      <c r="B78" s="31">
        <f t="shared" si="18"/>
        <v>2080</v>
      </c>
      <c r="C78" s="158" t="str">
        <f>IN_DATA!P73</f>
        <v/>
      </c>
      <c r="D78" s="33" t="str">
        <f>IN_DATA!Q73</f>
        <v/>
      </c>
      <c r="F78" s="4">
        <f t="shared" si="17"/>
        <v>2080</v>
      </c>
      <c r="G78" s="24" t="str">
        <f>IF(C78="","",IN_DATA!C73*OCF*FPF)</f>
        <v/>
      </c>
      <c r="H78" s="24" t="str">
        <f>IF(C78="","",IN_DATA!D73*OCF*FPF)</f>
        <v/>
      </c>
      <c r="I78" s="24" t="str">
        <f>IF(C78="","",IN_DATA!E73)</f>
        <v/>
      </c>
      <c r="J78" s="24" t="str">
        <f>IF(C78="","",IN_DATA!F73)</f>
        <v/>
      </c>
      <c r="K78" s="24" t="str">
        <f>IF(C78="","",IN_DATA!H73)</f>
        <v/>
      </c>
      <c r="L78" s="155" t="str">
        <f>IF(C78="","",IN_DATA!G73)</f>
        <v/>
      </c>
      <c r="M78" s="154"/>
      <c r="N78" s="220" t="str">
        <f>IF(C78="","",IN_DATA!P73)</f>
        <v/>
      </c>
      <c r="O78" s="112" t="str">
        <f>IF(C78="","",IN_DATA!Q73)</f>
        <v/>
      </c>
      <c r="P78" s="25" t="str">
        <f t="shared" si="19"/>
        <v/>
      </c>
      <c r="Q78" s="25" t="str">
        <f t="shared" si="20"/>
        <v/>
      </c>
      <c r="R78" s="25" t="str">
        <f t="shared" si="21"/>
        <v/>
      </c>
      <c r="S78" s="25" t="str">
        <f t="shared" si="22"/>
        <v/>
      </c>
      <c r="T78" s="25" t="str">
        <f t="shared" si="23"/>
        <v/>
      </c>
      <c r="U78" s="72" t="str">
        <f t="shared" si="24"/>
        <v/>
      </c>
      <c r="V78" s="224" t="str">
        <f>IF(C78="","",IF(IN_DATA!R73=3, IF(IN_DATA!$L$4=5, 250, 375), 0))</f>
        <v/>
      </c>
      <c r="W78" s="97" t="str">
        <f t="shared" si="25"/>
        <v/>
      </c>
      <c r="X78" s="97" t="str">
        <f t="shared" si="26"/>
        <v/>
      </c>
      <c r="Y78" s="97" t="str">
        <f t="shared" si="27"/>
        <v/>
      </c>
      <c r="Z78" s="97" t="str">
        <f t="shared" si="28"/>
        <v/>
      </c>
      <c r="AA78" s="97" t="str">
        <f t="shared" si="29"/>
        <v/>
      </c>
      <c r="AB78" s="97" t="str">
        <f t="shared" si="30"/>
        <v/>
      </c>
      <c r="AC78" s="97" t="str">
        <f t="shared" si="31"/>
        <v/>
      </c>
      <c r="AD78" s="228" t="str">
        <f t="shared" si="32"/>
        <v/>
      </c>
      <c r="AE78" s="266" t="str">
        <f t="shared" si="33"/>
        <v/>
      </c>
    </row>
    <row r="79" spans="1:31" x14ac:dyDescent="0.2">
      <c r="A79" s="4">
        <v>69</v>
      </c>
      <c r="B79" s="31">
        <f t="shared" si="18"/>
        <v>2081</v>
      </c>
      <c r="C79" s="158" t="str">
        <f>IN_DATA!P74</f>
        <v/>
      </c>
      <c r="D79" s="33" t="str">
        <f>IN_DATA!Q74</f>
        <v/>
      </c>
      <c r="F79" s="4">
        <f t="shared" si="17"/>
        <v>2081</v>
      </c>
      <c r="G79" s="24" t="str">
        <f>IF(C79="","",IN_DATA!C74*OCF*FPF)</f>
        <v/>
      </c>
      <c r="H79" s="24" t="str">
        <f>IF(C79="","",IN_DATA!D74*OCF*FPF)</f>
        <v/>
      </c>
      <c r="I79" s="24" t="str">
        <f>IF(C79="","",IN_DATA!E74)</f>
        <v/>
      </c>
      <c r="J79" s="24" t="str">
        <f>IF(C79="","",IN_DATA!F74)</f>
        <v/>
      </c>
      <c r="K79" s="24" t="str">
        <f>IF(C79="","",IN_DATA!H74)</f>
        <v/>
      </c>
      <c r="L79" s="155" t="str">
        <f>IF(C79="","",IN_DATA!G74)</f>
        <v/>
      </c>
      <c r="M79" s="154"/>
      <c r="N79" s="220" t="str">
        <f>IF(C79="","",IN_DATA!P74)</f>
        <v/>
      </c>
      <c r="O79" s="112" t="str">
        <f>IF(C79="","",IN_DATA!Q74)</f>
        <v/>
      </c>
      <c r="P79" s="25" t="str">
        <f t="shared" si="19"/>
        <v/>
      </c>
      <c r="Q79" s="25" t="str">
        <f t="shared" si="20"/>
        <v/>
      </c>
      <c r="R79" s="25" t="str">
        <f t="shared" si="21"/>
        <v/>
      </c>
      <c r="S79" s="25" t="str">
        <f t="shared" si="22"/>
        <v/>
      </c>
      <c r="T79" s="25" t="str">
        <f t="shared" si="23"/>
        <v/>
      </c>
      <c r="U79" s="72" t="str">
        <f t="shared" si="24"/>
        <v/>
      </c>
      <c r="V79" s="224" t="str">
        <f>IF(C79="","",IF(IN_DATA!R74=3, IF(IN_DATA!$L$4=5, 250, 375), 0))</f>
        <v/>
      </c>
      <c r="W79" s="97" t="str">
        <f t="shared" si="25"/>
        <v/>
      </c>
      <c r="X79" s="97" t="str">
        <f t="shared" si="26"/>
        <v/>
      </c>
      <c r="Y79" s="97" t="str">
        <f t="shared" si="27"/>
        <v/>
      </c>
      <c r="Z79" s="97" t="str">
        <f t="shared" si="28"/>
        <v/>
      </c>
      <c r="AA79" s="97" t="str">
        <f t="shared" si="29"/>
        <v/>
      </c>
      <c r="AB79" s="97" t="str">
        <f t="shared" si="30"/>
        <v/>
      </c>
      <c r="AC79" s="97" t="str">
        <f t="shared" si="31"/>
        <v/>
      </c>
      <c r="AD79" s="228" t="str">
        <f t="shared" si="32"/>
        <v/>
      </c>
      <c r="AE79" s="266" t="str">
        <f t="shared" si="33"/>
        <v/>
      </c>
    </row>
    <row r="80" spans="1:31" x14ac:dyDescent="0.2">
      <c r="A80" s="4">
        <v>70</v>
      </c>
      <c r="B80" s="31">
        <f t="shared" si="18"/>
        <v>2082</v>
      </c>
      <c r="C80" s="158" t="str">
        <f>IN_DATA!P75</f>
        <v/>
      </c>
      <c r="D80" s="33" t="str">
        <f>IN_DATA!Q75</f>
        <v/>
      </c>
      <c r="F80" s="4">
        <f t="shared" si="17"/>
        <v>2082</v>
      </c>
      <c r="G80" s="24" t="str">
        <f>IF(C80="","",IN_DATA!C75*OCF*FPF)</f>
        <v/>
      </c>
      <c r="H80" s="24" t="str">
        <f>IF(C80="","",IN_DATA!D75*OCF*FPF)</f>
        <v/>
      </c>
      <c r="I80" s="24" t="str">
        <f>IF(C80="","",IN_DATA!E75)</f>
        <v/>
      </c>
      <c r="J80" s="24" t="str">
        <f>IF(C80="","",IN_DATA!F75)</f>
        <v/>
      </c>
      <c r="K80" s="24" t="str">
        <f>IF(C80="","",IN_DATA!H75)</f>
        <v/>
      </c>
      <c r="L80" s="155" t="str">
        <f>IF(C80="","",IN_DATA!G75)</f>
        <v/>
      </c>
      <c r="M80" s="154"/>
      <c r="N80" s="220" t="str">
        <f>IF(C80="","",IN_DATA!P75)</f>
        <v/>
      </c>
      <c r="O80" s="112" t="str">
        <f>IF(C80="","",IN_DATA!Q75)</f>
        <v/>
      </c>
      <c r="P80" s="25" t="str">
        <f t="shared" si="19"/>
        <v/>
      </c>
      <c r="Q80" s="25" t="str">
        <f t="shared" si="20"/>
        <v/>
      </c>
      <c r="R80" s="25" t="str">
        <f t="shared" si="21"/>
        <v/>
      </c>
      <c r="S80" s="25" t="str">
        <f t="shared" si="22"/>
        <v/>
      </c>
      <c r="T80" s="25" t="str">
        <f t="shared" si="23"/>
        <v/>
      </c>
      <c r="U80" s="72" t="str">
        <f t="shared" si="24"/>
        <v/>
      </c>
      <c r="V80" s="224" t="str">
        <f>IF(C80="","",IF(IN_DATA!R75=3, IF(IN_DATA!$L$4=5, 250, 375), 0))</f>
        <v/>
      </c>
      <c r="W80" s="97" t="str">
        <f t="shared" si="25"/>
        <v/>
      </c>
      <c r="X80" s="97" t="str">
        <f t="shared" si="26"/>
        <v/>
      </c>
      <c r="Y80" s="97" t="str">
        <f t="shared" si="27"/>
        <v/>
      </c>
      <c r="Z80" s="97" t="str">
        <f t="shared" si="28"/>
        <v/>
      </c>
      <c r="AA80" s="97" t="str">
        <f t="shared" si="29"/>
        <v/>
      </c>
      <c r="AB80" s="97" t="str">
        <f t="shared" si="30"/>
        <v/>
      </c>
      <c r="AC80" s="97" t="str">
        <f t="shared" si="31"/>
        <v/>
      </c>
      <c r="AD80" s="228" t="str">
        <f t="shared" si="32"/>
        <v/>
      </c>
      <c r="AE80" s="266" t="str">
        <f t="shared" si="33"/>
        <v/>
      </c>
    </row>
    <row r="81" spans="1:31" x14ac:dyDescent="0.2">
      <c r="A81" s="4">
        <v>71</v>
      </c>
      <c r="B81" s="31">
        <f t="shared" si="18"/>
        <v>2083</v>
      </c>
      <c r="C81" s="158" t="str">
        <f>IN_DATA!P76</f>
        <v/>
      </c>
      <c r="D81" s="33" t="str">
        <f>IN_DATA!Q76</f>
        <v/>
      </c>
      <c r="F81" s="4">
        <f t="shared" si="17"/>
        <v>2083</v>
      </c>
      <c r="G81" s="24" t="str">
        <f>IF(C81="","",IN_DATA!C76*OCF*FPF)</f>
        <v/>
      </c>
      <c r="H81" s="24" t="str">
        <f>IF(C81="","",IN_DATA!D76*OCF*FPF)</f>
        <v/>
      </c>
      <c r="I81" s="24" t="str">
        <f>IF(C81="","",IN_DATA!E76)</f>
        <v/>
      </c>
      <c r="J81" s="24" t="str">
        <f>IF(C81="","",IN_DATA!F76)</f>
        <v/>
      </c>
      <c r="K81" s="24" t="str">
        <f>IF(C81="","",IN_DATA!H76)</f>
        <v/>
      </c>
      <c r="L81" s="155" t="str">
        <f>IF(C81="","",IN_DATA!G76)</f>
        <v/>
      </c>
      <c r="M81" s="154"/>
      <c r="N81" s="220" t="str">
        <f>IF(C81="","",IN_DATA!P76)</f>
        <v/>
      </c>
      <c r="O81" s="112" t="str">
        <f>IF(C81="","",IN_DATA!Q76)</f>
        <v/>
      </c>
      <c r="P81" s="25" t="str">
        <f t="shared" si="19"/>
        <v/>
      </c>
      <c r="Q81" s="25" t="str">
        <f t="shared" si="20"/>
        <v/>
      </c>
      <c r="R81" s="25" t="str">
        <f t="shared" si="21"/>
        <v/>
      </c>
      <c r="S81" s="25" t="str">
        <f t="shared" si="22"/>
        <v/>
      </c>
      <c r="T81" s="25" t="str">
        <f t="shared" si="23"/>
        <v/>
      </c>
      <c r="U81" s="72" t="str">
        <f t="shared" si="24"/>
        <v/>
      </c>
      <c r="V81" s="224" t="str">
        <f>IF(C81="","",IF(IN_DATA!R76=3, IF(IN_DATA!$L$4=5, 250, 375), 0))</f>
        <v/>
      </c>
      <c r="W81" s="97" t="str">
        <f t="shared" si="25"/>
        <v/>
      </c>
      <c r="X81" s="97" t="str">
        <f t="shared" si="26"/>
        <v/>
      </c>
      <c r="Y81" s="97" t="str">
        <f t="shared" si="27"/>
        <v/>
      </c>
      <c r="Z81" s="97" t="str">
        <f t="shared" si="28"/>
        <v/>
      </c>
      <c r="AA81" s="97" t="str">
        <f t="shared" si="29"/>
        <v/>
      </c>
      <c r="AB81" s="97" t="str">
        <f t="shared" si="30"/>
        <v/>
      </c>
      <c r="AC81" s="97" t="str">
        <f t="shared" si="31"/>
        <v/>
      </c>
      <c r="AD81" s="228" t="str">
        <f t="shared" si="32"/>
        <v/>
      </c>
      <c r="AE81" s="266" t="str">
        <f t="shared" si="33"/>
        <v/>
      </c>
    </row>
    <row r="82" spans="1:31" x14ac:dyDescent="0.2">
      <c r="A82" s="4">
        <v>72</v>
      </c>
      <c r="B82" s="31">
        <f t="shared" si="18"/>
        <v>2084</v>
      </c>
      <c r="C82" s="158" t="str">
        <f>IN_DATA!P77</f>
        <v/>
      </c>
      <c r="D82" s="33" t="str">
        <f>IN_DATA!Q77</f>
        <v/>
      </c>
      <c r="F82" s="4">
        <f t="shared" si="17"/>
        <v>2084</v>
      </c>
      <c r="G82" s="24" t="str">
        <f>IF(C82="","",IN_DATA!C77*OCF*FPF)</f>
        <v/>
      </c>
      <c r="H82" s="24" t="str">
        <f>IF(C82="","",IN_DATA!D77*OCF*FPF)</f>
        <v/>
      </c>
      <c r="I82" s="24" t="str">
        <f>IF(C82="","",IN_DATA!E77)</f>
        <v/>
      </c>
      <c r="J82" s="24" t="str">
        <f>IF(C82="","",IN_DATA!F77)</f>
        <v/>
      </c>
      <c r="K82" s="24" t="str">
        <f>IF(C82="","",IN_DATA!H77)</f>
        <v/>
      </c>
      <c r="L82" s="155" t="str">
        <f>IF(C82="","",IN_DATA!G77)</f>
        <v/>
      </c>
      <c r="M82" s="154"/>
      <c r="N82" s="220" t="str">
        <f>IF(C82="","",IN_DATA!P77)</f>
        <v/>
      </c>
      <c r="O82" s="112" t="str">
        <f>IF(C82="","",IN_DATA!Q77)</f>
        <v/>
      </c>
      <c r="P82" s="25" t="str">
        <f t="shared" si="19"/>
        <v/>
      </c>
      <c r="Q82" s="25" t="str">
        <f t="shared" si="20"/>
        <v/>
      </c>
      <c r="R82" s="25" t="str">
        <f t="shared" si="21"/>
        <v/>
      </c>
      <c r="S82" s="25" t="str">
        <f t="shared" si="22"/>
        <v/>
      </c>
      <c r="T82" s="25" t="str">
        <f t="shared" si="23"/>
        <v/>
      </c>
      <c r="U82" s="72" t="str">
        <f t="shared" si="24"/>
        <v/>
      </c>
      <c r="V82" s="224" t="str">
        <f>IF(C82="","",IF(IN_DATA!R77=3, IF(IN_DATA!$L$4=5, 250, 375), 0))</f>
        <v/>
      </c>
      <c r="W82" s="97" t="str">
        <f t="shared" si="25"/>
        <v/>
      </c>
      <c r="X82" s="97" t="str">
        <f t="shared" si="26"/>
        <v/>
      </c>
      <c r="Y82" s="97" t="str">
        <f t="shared" si="27"/>
        <v/>
      </c>
      <c r="Z82" s="97" t="str">
        <f t="shared" si="28"/>
        <v/>
      </c>
      <c r="AA82" s="97" t="str">
        <f t="shared" si="29"/>
        <v/>
      </c>
      <c r="AB82" s="97" t="str">
        <f t="shared" si="30"/>
        <v/>
      </c>
      <c r="AC82" s="97" t="str">
        <f t="shared" si="31"/>
        <v/>
      </c>
      <c r="AD82" s="228" t="str">
        <f t="shared" si="32"/>
        <v/>
      </c>
      <c r="AE82" s="266" t="str">
        <f t="shared" si="33"/>
        <v/>
      </c>
    </row>
    <row r="83" spans="1:31" x14ac:dyDescent="0.2">
      <c r="A83" s="4">
        <v>73</v>
      </c>
      <c r="B83" s="31">
        <f t="shared" si="18"/>
        <v>2085</v>
      </c>
      <c r="C83" s="158" t="str">
        <f>IN_DATA!P78</f>
        <v/>
      </c>
      <c r="D83" s="33" t="str">
        <f>IN_DATA!Q78</f>
        <v/>
      </c>
      <c r="F83" s="4">
        <f t="shared" si="17"/>
        <v>2085</v>
      </c>
      <c r="G83" s="24" t="str">
        <f>IF(C83="","",IN_DATA!C78*OCF*FPF)</f>
        <v/>
      </c>
      <c r="H83" s="24" t="str">
        <f>IF(C83="","",IN_DATA!D78*OCF*FPF)</f>
        <v/>
      </c>
      <c r="I83" s="24" t="str">
        <f>IF(C83="","",IN_DATA!E78)</f>
        <v/>
      </c>
      <c r="J83" s="24" t="str">
        <f>IF(C83="","",IN_DATA!F78)</f>
        <v/>
      </c>
      <c r="K83" s="24" t="str">
        <f>IF(C83="","",IN_DATA!H78)</f>
        <v/>
      </c>
      <c r="L83" s="155" t="str">
        <f>IF(C83="","",IN_DATA!G78)</f>
        <v/>
      </c>
      <c r="M83" s="154"/>
      <c r="N83" s="220" t="str">
        <f>IF(C83="","",IN_DATA!P78)</f>
        <v/>
      </c>
      <c r="O83" s="112" t="str">
        <f>IF(C83="","",IN_DATA!Q78)</f>
        <v/>
      </c>
      <c r="P83" s="25" t="str">
        <f t="shared" si="19"/>
        <v/>
      </c>
      <c r="Q83" s="25" t="str">
        <f t="shared" si="20"/>
        <v/>
      </c>
      <c r="R83" s="25" t="str">
        <f t="shared" si="21"/>
        <v/>
      </c>
      <c r="S83" s="25" t="str">
        <f t="shared" si="22"/>
        <v/>
      </c>
      <c r="T83" s="25" t="str">
        <f t="shared" si="23"/>
        <v/>
      </c>
      <c r="U83" s="72" t="str">
        <f t="shared" si="24"/>
        <v/>
      </c>
      <c r="V83" s="224" t="str">
        <f>IF(C83="","",IF(IN_DATA!R78=3, IF(IN_DATA!$L$4=5, 250, 375), 0))</f>
        <v/>
      </c>
      <c r="W83" s="97" t="str">
        <f t="shared" si="25"/>
        <v/>
      </c>
      <c r="X83" s="97" t="str">
        <f t="shared" si="26"/>
        <v/>
      </c>
      <c r="Y83" s="97" t="str">
        <f t="shared" si="27"/>
        <v/>
      </c>
      <c r="Z83" s="97" t="str">
        <f t="shared" si="28"/>
        <v/>
      </c>
      <c r="AA83" s="97" t="str">
        <f t="shared" si="29"/>
        <v/>
      </c>
      <c r="AB83" s="97" t="str">
        <f t="shared" si="30"/>
        <v/>
      </c>
      <c r="AC83" s="97" t="str">
        <f t="shared" si="31"/>
        <v/>
      </c>
      <c r="AD83" s="228" t="str">
        <f t="shared" si="32"/>
        <v/>
      </c>
      <c r="AE83" s="266" t="str">
        <f t="shared" si="33"/>
        <v/>
      </c>
    </row>
    <row r="84" spans="1:31" x14ac:dyDescent="0.2">
      <c r="A84" s="4">
        <v>74</v>
      </c>
      <c r="B84" s="31">
        <f t="shared" si="18"/>
        <v>2086</v>
      </c>
      <c r="C84" s="158" t="str">
        <f>IN_DATA!P79</f>
        <v/>
      </c>
      <c r="D84" s="33" t="str">
        <f>IN_DATA!Q79</f>
        <v/>
      </c>
      <c r="F84" s="4">
        <f t="shared" si="17"/>
        <v>2086</v>
      </c>
      <c r="G84" s="24" t="str">
        <f>IF(C84="","",IN_DATA!C79*OCF*FPF)</f>
        <v/>
      </c>
      <c r="H84" s="24" t="str">
        <f>IF(C84="","",IN_DATA!D79*OCF*FPF)</f>
        <v/>
      </c>
      <c r="I84" s="24" t="str">
        <f>IF(C84="","",IN_DATA!E79)</f>
        <v/>
      </c>
      <c r="J84" s="24" t="str">
        <f>IF(C84="","",IN_DATA!F79)</f>
        <v/>
      </c>
      <c r="K84" s="24" t="str">
        <f>IF(C84="","",IN_DATA!H79)</f>
        <v/>
      </c>
      <c r="L84" s="155" t="str">
        <f>IF(C84="","",IN_DATA!G79)</f>
        <v/>
      </c>
      <c r="M84" s="154"/>
      <c r="N84" s="220" t="str">
        <f>IF(C84="","",IN_DATA!P79)</f>
        <v/>
      </c>
      <c r="O84" s="112" t="str">
        <f>IF(C84="","",IN_DATA!Q79)</f>
        <v/>
      </c>
      <c r="P84" s="25" t="str">
        <f t="shared" si="19"/>
        <v/>
      </c>
      <c r="Q84" s="25" t="str">
        <f t="shared" si="20"/>
        <v/>
      </c>
      <c r="R84" s="25" t="str">
        <f t="shared" si="21"/>
        <v/>
      </c>
      <c r="S84" s="25" t="str">
        <f t="shared" si="22"/>
        <v/>
      </c>
      <c r="T84" s="25" t="str">
        <f t="shared" si="23"/>
        <v/>
      </c>
      <c r="U84" s="72" t="str">
        <f t="shared" si="24"/>
        <v/>
      </c>
      <c r="V84" s="224" t="str">
        <f>IF(C84="","",IF(IN_DATA!R79=3, IF(IN_DATA!$L$4=5, 250, 375), 0))</f>
        <v/>
      </c>
      <c r="W84" s="97" t="str">
        <f t="shared" si="25"/>
        <v/>
      </c>
      <c r="X84" s="97" t="str">
        <f t="shared" si="26"/>
        <v/>
      </c>
      <c r="Y84" s="97" t="str">
        <f t="shared" si="27"/>
        <v/>
      </c>
      <c r="Z84" s="97" t="str">
        <f t="shared" si="28"/>
        <v/>
      </c>
      <c r="AA84" s="97" t="str">
        <f t="shared" si="29"/>
        <v/>
      </c>
      <c r="AB84" s="97" t="str">
        <f t="shared" si="30"/>
        <v/>
      </c>
      <c r="AC84" s="97" t="str">
        <f t="shared" si="31"/>
        <v/>
      </c>
      <c r="AD84" s="228" t="str">
        <f t="shared" si="32"/>
        <v/>
      </c>
      <c r="AE84" s="266" t="str">
        <f t="shared" si="33"/>
        <v/>
      </c>
    </row>
    <row r="85" spans="1:31" x14ac:dyDescent="0.2">
      <c r="A85" s="4">
        <v>75</v>
      </c>
      <c r="B85" s="31">
        <f t="shared" si="18"/>
        <v>2087</v>
      </c>
      <c r="C85" s="158" t="str">
        <f>IN_DATA!P80</f>
        <v/>
      </c>
      <c r="D85" s="33" t="str">
        <f>IN_DATA!Q80</f>
        <v/>
      </c>
      <c r="F85" s="4">
        <f t="shared" si="17"/>
        <v>2087</v>
      </c>
      <c r="G85" s="24" t="str">
        <f>IF(C85="","",IN_DATA!C80*OCF*FPF)</f>
        <v/>
      </c>
      <c r="H85" s="24" t="str">
        <f>IF(C85="","",IN_DATA!D80*OCF*FPF)</f>
        <v/>
      </c>
      <c r="I85" s="24" t="str">
        <f>IF(C85="","",IN_DATA!E80)</f>
        <v/>
      </c>
      <c r="J85" s="24" t="str">
        <f>IF(C85="","",IN_DATA!F80)</f>
        <v/>
      </c>
      <c r="K85" s="24" t="str">
        <f>IF(C85="","",IN_DATA!H80)</f>
        <v/>
      </c>
      <c r="L85" s="155" t="str">
        <f>IF(C85="","",IN_DATA!G80)</f>
        <v/>
      </c>
      <c r="M85" s="154"/>
      <c r="N85" s="220" t="str">
        <f>IF(C85="","",IN_DATA!P80)</f>
        <v/>
      </c>
      <c r="O85" s="112" t="str">
        <f>IF(C85="","",IN_DATA!Q80)</f>
        <v/>
      </c>
      <c r="P85" s="25" t="str">
        <f t="shared" si="19"/>
        <v/>
      </c>
      <c r="Q85" s="25" t="str">
        <f t="shared" si="20"/>
        <v/>
      </c>
      <c r="R85" s="25" t="str">
        <f t="shared" si="21"/>
        <v/>
      </c>
      <c r="S85" s="25" t="str">
        <f t="shared" si="22"/>
        <v/>
      </c>
      <c r="T85" s="25" t="str">
        <f t="shared" si="23"/>
        <v/>
      </c>
      <c r="U85" s="72" t="str">
        <f t="shared" si="24"/>
        <v/>
      </c>
      <c r="V85" s="224" t="str">
        <f>IF(C85="","",IF(IN_DATA!R80=3, IF(IN_DATA!$L$4=5, 250, 375), 0))</f>
        <v/>
      </c>
      <c r="W85" s="97" t="str">
        <f t="shared" si="25"/>
        <v/>
      </c>
      <c r="X85" s="97" t="str">
        <f t="shared" si="26"/>
        <v/>
      </c>
      <c r="Y85" s="97" t="str">
        <f t="shared" si="27"/>
        <v/>
      </c>
      <c r="Z85" s="97" t="str">
        <f t="shared" si="28"/>
        <v/>
      </c>
      <c r="AA85" s="97" t="str">
        <f t="shared" si="29"/>
        <v/>
      </c>
      <c r="AB85" s="97" t="str">
        <f t="shared" si="30"/>
        <v/>
      </c>
      <c r="AC85" s="97" t="str">
        <f t="shared" si="31"/>
        <v/>
      </c>
      <c r="AD85" s="228" t="str">
        <f t="shared" si="32"/>
        <v/>
      </c>
      <c r="AE85" s="266" t="str">
        <f t="shared" si="33"/>
        <v/>
      </c>
    </row>
    <row r="86" spans="1:31" x14ac:dyDescent="0.2">
      <c r="A86" s="4">
        <v>76</v>
      </c>
      <c r="B86" s="31">
        <f t="shared" si="18"/>
        <v>2088</v>
      </c>
      <c r="C86" s="158" t="str">
        <f>IN_DATA!P81</f>
        <v/>
      </c>
      <c r="D86" s="33" t="str">
        <f>IN_DATA!Q81</f>
        <v/>
      </c>
      <c r="F86" s="4">
        <f t="shared" si="17"/>
        <v>2088</v>
      </c>
      <c r="G86" s="24" t="str">
        <f>IF(C86="","",IN_DATA!C81*OCF*FPF)</f>
        <v/>
      </c>
      <c r="H86" s="24" t="str">
        <f>IF(C86="","",IN_DATA!D81*OCF*FPF)</f>
        <v/>
      </c>
      <c r="I86" s="24" t="str">
        <f>IF(C86="","",IN_DATA!E81)</f>
        <v/>
      </c>
      <c r="J86" s="24" t="str">
        <f>IF(C86="","",IN_DATA!F81)</f>
        <v/>
      </c>
      <c r="K86" s="24" t="str">
        <f>IF(C86="","",IN_DATA!H81)</f>
        <v/>
      </c>
      <c r="L86" s="155" t="str">
        <f>IF(C86="","",IN_DATA!G81)</f>
        <v/>
      </c>
      <c r="M86" s="154"/>
      <c r="N86" s="220" t="str">
        <f>IF(C86="","",IN_DATA!P81)</f>
        <v/>
      </c>
      <c r="O86" s="112" t="str">
        <f>IF(C86="","",IN_DATA!Q81)</f>
        <v/>
      </c>
      <c r="P86" s="25" t="str">
        <f t="shared" si="19"/>
        <v/>
      </c>
      <c r="Q86" s="25" t="str">
        <f t="shared" si="20"/>
        <v/>
      </c>
      <c r="R86" s="25" t="str">
        <f t="shared" si="21"/>
        <v/>
      </c>
      <c r="S86" s="25" t="str">
        <f t="shared" si="22"/>
        <v/>
      </c>
      <c r="T86" s="25" t="str">
        <f t="shared" si="23"/>
        <v/>
      </c>
      <c r="U86" s="72" t="str">
        <f t="shared" si="24"/>
        <v/>
      </c>
      <c r="V86" s="224" t="str">
        <f>IF(C86="","",IF(IN_DATA!R81=3, IF(IN_DATA!$L$4=5, 250, 375), 0))</f>
        <v/>
      </c>
      <c r="W86" s="97" t="str">
        <f t="shared" si="25"/>
        <v/>
      </c>
      <c r="X86" s="97" t="str">
        <f t="shared" si="26"/>
        <v/>
      </c>
      <c r="Y86" s="97" t="str">
        <f t="shared" si="27"/>
        <v/>
      </c>
      <c r="Z86" s="97" t="str">
        <f t="shared" si="28"/>
        <v/>
      </c>
      <c r="AA86" s="97" t="str">
        <f t="shared" si="29"/>
        <v/>
      </c>
      <c r="AB86" s="97" t="str">
        <f t="shared" si="30"/>
        <v/>
      </c>
      <c r="AC86" s="97" t="str">
        <f t="shared" si="31"/>
        <v/>
      </c>
      <c r="AD86" s="228" t="str">
        <f t="shared" si="32"/>
        <v/>
      </c>
      <c r="AE86" s="266" t="str">
        <f t="shared" si="33"/>
        <v/>
      </c>
    </row>
    <row r="87" spans="1:31" x14ac:dyDescent="0.2">
      <c r="A87" s="4">
        <v>77</v>
      </c>
      <c r="B87" s="31">
        <f t="shared" si="18"/>
        <v>2089</v>
      </c>
      <c r="C87" s="158" t="str">
        <f>IN_DATA!P82</f>
        <v/>
      </c>
      <c r="D87" s="33" t="str">
        <f>IN_DATA!Q82</f>
        <v/>
      </c>
      <c r="F87" s="4">
        <f t="shared" si="17"/>
        <v>2089</v>
      </c>
      <c r="G87" s="24" t="str">
        <f>IF(C87="","",IN_DATA!C82*OCF*FPF)</f>
        <v/>
      </c>
      <c r="H87" s="24" t="str">
        <f>IF(C87="","",IN_DATA!D82*OCF*FPF)</f>
        <v/>
      </c>
      <c r="I87" s="24" t="str">
        <f>IF(C87="","",IN_DATA!E82)</f>
        <v/>
      </c>
      <c r="J87" s="24" t="str">
        <f>IF(C87="","",IN_DATA!F82)</f>
        <v/>
      </c>
      <c r="K87" s="24" t="str">
        <f>IF(C87="","",IN_DATA!H82)</f>
        <v/>
      </c>
      <c r="L87" s="155" t="str">
        <f>IF(C87="","",IN_DATA!G82)</f>
        <v/>
      </c>
      <c r="M87" s="154"/>
      <c r="N87" s="220" t="str">
        <f>IF(C87="","",IN_DATA!P82)</f>
        <v/>
      </c>
      <c r="O87" s="112" t="str">
        <f>IF(C87="","",IN_DATA!Q82)</f>
        <v/>
      </c>
      <c r="P87" s="25" t="str">
        <f t="shared" si="19"/>
        <v/>
      </c>
      <c r="Q87" s="25" t="str">
        <f t="shared" si="20"/>
        <v/>
      </c>
      <c r="R87" s="25" t="str">
        <f t="shared" si="21"/>
        <v/>
      </c>
      <c r="S87" s="25" t="str">
        <f t="shared" si="22"/>
        <v/>
      </c>
      <c r="T87" s="25" t="str">
        <f t="shared" si="23"/>
        <v/>
      </c>
      <c r="U87" s="72" t="str">
        <f t="shared" si="24"/>
        <v/>
      </c>
      <c r="V87" s="224" t="str">
        <f>IF(C87="","",IF(IN_DATA!R82=3, IF(IN_DATA!$L$4=5, 250, 375), 0))</f>
        <v/>
      </c>
      <c r="W87" s="97" t="str">
        <f t="shared" si="25"/>
        <v/>
      </c>
      <c r="X87" s="97" t="str">
        <f t="shared" si="26"/>
        <v/>
      </c>
      <c r="Y87" s="97" t="str">
        <f t="shared" si="27"/>
        <v/>
      </c>
      <c r="Z87" s="97" t="str">
        <f t="shared" si="28"/>
        <v/>
      </c>
      <c r="AA87" s="97" t="str">
        <f t="shared" si="29"/>
        <v/>
      </c>
      <c r="AB87" s="97" t="str">
        <f t="shared" si="30"/>
        <v/>
      </c>
      <c r="AC87" s="97" t="str">
        <f t="shared" si="31"/>
        <v/>
      </c>
      <c r="AD87" s="228" t="str">
        <f t="shared" si="32"/>
        <v/>
      </c>
      <c r="AE87" s="266" t="str">
        <f t="shared" si="33"/>
        <v/>
      </c>
    </row>
    <row r="88" spans="1:31" x14ac:dyDescent="0.2">
      <c r="A88" s="4">
        <v>78</v>
      </c>
      <c r="B88" s="31">
        <f t="shared" si="18"/>
        <v>2090</v>
      </c>
      <c r="C88" s="158" t="str">
        <f>IN_DATA!P83</f>
        <v/>
      </c>
      <c r="D88" s="33" t="str">
        <f>IN_DATA!Q83</f>
        <v/>
      </c>
      <c r="F88" s="4">
        <f t="shared" si="17"/>
        <v>2090</v>
      </c>
      <c r="G88" s="24" t="str">
        <f>IF(C88="","",IN_DATA!C83*OCF*FPF)</f>
        <v/>
      </c>
      <c r="H88" s="24" t="str">
        <f>IF(C88="","",IN_DATA!D83*OCF*FPF)</f>
        <v/>
      </c>
      <c r="I88" s="24" t="str">
        <f>IF(C88="","",IN_DATA!E83)</f>
        <v/>
      </c>
      <c r="J88" s="24" t="str">
        <f>IF(C88="","",IN_DATA!F83)</f>
        <v/>
      </c>
      <c r="K88" s="24" t="str">
        <f>IF(C88="","",IN_DATA!H83)</f>
        <v/>
      </c>
      <c r="L88" s="155" t="str">
        <f>IF(C88="","",IN_DATA!G83)</f>
        <v/>
      </c>
      <c r="M88" s="154"/>
      <c r="N88" s="220" t="str">
        <f>IF(C88="","",IN_DATA!P83)</f>
        <v/>
      </c>
      <c r="O88" s="112" t="str">
        <f>IF(C88="","",IN_DATA!Q83)</f>
        <v/>
      </c>
      <c r="P88" s="25" t="str">
        <f t="shared" si="19"/>
        <v/>
      </c>
      <c r="Q88" s="25" t="str">
        <f t="shared" si="20"/>
        <v/>
      </c>
      <c r="R88" s="25" t="str">
        <f t="shared" si="21"/>
        <v/>
      </c>
      <c r="S88" s="25" t="str">
        <f t="shared" si="22"/>
        <v/>
      </c>
      <c r="T88" s="25" t="str">
        <f t="shared" si="23"/>
        <v/>
      </c>
      <c r="U88" s="72" t="str">
        <f t="shared" si="24"/>
        <v/>
      </c>
      <c r="V88" s="224" t="str">
        <f>IF(C88="","",IF(IN_DATA!R83=3, IF(IN_DATA!$L$4=5, 250, 375), 0))</f>
        <v/>
      </c>
      <c r="W88" s="97" t="str">
        <f t="shared" si="25"/>
        <v/>
      </c>
      <c r="X88" s="97" t="str">
        <f t="shared" si="26"/>
        <v/>
      </c>
      <c r="Y88" s="97" t="str">
        <f t="shared" si="27"/>
        <v/>
      </c>
      <c r="Z88" s="97" t="str">
        <f t="shared" si="28"/>
        <v/>
      </c>
      <c r="AA88" s="97" t="str">
        <f t="shared" si="29"/>
        <v/>
      </c>
      <c r="AB88" s="97" t="str">
        <f t="shared" si="30"/>
        <v/>
      </c>
      <c r="AC88" s="97" t="str">
        <f t="shared" si="31"/>
        <v/>
      </c>
      <c r="AD88" s="228" t="str">
        <f t="shared" si="32"/>
        <v/>
      </c>
      <c r="AE88" s="266" t="str">
        <f t="shared" si="33"/>
        <v/>
      </c>
    </row>
    <row r="89" spans="1:31" x14ac:dyDescent="0.2">
      <c r="A89" s="4">
        <v>79</v>
      </c>
      <c r="B89" s="31">
        <f t="shared" si="18"/>
        <v>2091</v>
      </c>
      <c r="C89" s="158" t="str">
        <f>IN_DATA!P84</f>
        <v/>
      </c>
      <c r="D89" s="33" t="str">
        <f>IN_DATA!Q84</f>
        <v/>
      </c>
      <c r="F89" s="4">
        <f t="shared" si="17"/>
        <v>2091</v>
      </c>
      <c r="G89" s="24" t="str">
        <f>IF(C89="","",IN_DATA!C84*OCF*FPF)</f>
        <v/>
      </c>
      <c r="H89" s="24" t="str">
        <f>IF(C89="","",IN_DATA!D84*OCF*FPF)</f>
        <v/>
      </c>
      <c r="I89" s="24" t="str">
        <f>IF(C89="","",IN_DATA!E84)</f>
        <v/>
      </c>
      <c r="J89" s="24" t="str">
        <f>IF(C89="","",IN_DATA!F84)</f>
        <v/>
      </c>
      <c r="K89" s="24" t="str">
        <f>IF(C89="","",IN_DATA!H84)</f>
        <v/>
      </c>
      <c r="L89" s="155" t="str">
        <f>IF(C89="","",IN_DATA!G84)</f>
        <v/>
      </c>
      <c r="M89" s="154"/>
      <c r="N89" s="220" t="str">
        <f>IF(C89="","",IN_DATA!P84)</f>
        <v/>
      </c>
      <c r="O89" s="112" t="str">
        <f>IF(C89="","",IN_DATA!Q84)</f>
        <v/>
      </c>
      <c r="P89" s="25" t="str">
        <f t="shared" si="19"/>
        <v/>
      </c>
      <c r="Q89" s="25" t="str">
        <f t="shared" si="20"/>
        <v/>
      </c>
      <c r="R89" s="25" t="str">
        <f t="shared" si="21"/>
        <v/>
      </c>
      <c r="S89" s="25" t="str">
        <f t="shared" si="22"/>
        <v/>
      </c>
      <c r="T89" s="25" t="str">
        <f t="shared" si="23"/>
        <v/>
      </c>
      <c r="U89" s="72" t="str">
        <f t="shared" si="24"/>
        <v/>
      </c>
      <c r="V89" s="224" t="str">
        <f>IF(C89="","",IF(IN_DATA!R84=3, IF(IN_DATA!$L$4=5, 250, 375), 0))</f>
        <v/>
      </c>
      <c r="W89" s="97" t="str">
        <f t="shared" si="25"/>
        <v/>
      </c>
      <c r="X89" s="97" t="str">
        <f t="shared" si="26"/>
        <v/>
      </c>
      <c r="Y89" s="97" t="str">
        <f t="shared" si="27"/>
        <v/>
      </c>
      <c r="Z89" s="97" t="str">
        <f t="shared" si="28"/>
        <v/>
      </c>
      <c r="AA89" s="97" t="str">
        <f t="shared" si="29"/>
        <v/>
      </c>
      <c r="AB89" s="97" t="str">
        <f t="shared" si="30"/>
        <v/>
      </c>
      <c r="AC89" s="97" t="str">
        <f t="shared" si="31"/>
        <v/>
      </c>
      <c r="AD89" s="228" t="str">
        <f t="shared" si="32"/>
        <v/>
      </c>
      <c r="AE89" s="266" t="str">
        <f t="shared" si="33"/>
        <v/>
      </c>
    </row>
    <row r="90" spans="1:31" x14ac:dyDescent="0.2">
      <c r="A90" s="4">
        <v>80</v>
      </c>
      <c r="B90" s="31">
        <f t="shared" si="18"/>
        <v>2092</v>
      </c>
      <c r="C90" s="158" t="str">
        <f>IN_DATA!P85</f>
        <v/>
      </c>
      <c r="D90" s="33" t="str">
        <f>IN_DATA!Q85</f>
        <v/>
      </c>
      <c r="F90" s="4">
        <f t="shared" si="17"/>
        <v>2092</v>
      </c>
      <c r="G90" s="24" t="str">
        <f>IF(C90="","",IN_DATA!C85*OCF*FPF)</f>
        <v/>
      </c>
      <c r="H90" s="24" t="str">
        <f>IF(C90="","",IN_DATA!D85*OCF*FPF)</f>
        <v/>
      </c>
      <c r="I90" s="24" t="str">
        <f>IF(C90="","",IN_DATA!E85)</f>
        <v/>
      </c>
      <c r="J90" s="24" t="str">
        <f>IF(C90="","",IN_DATA!F85)</f>
        <v/>
      </c>
      <c r="K90" s="24" t="str">
        <f>IF(C90="","",IN_DATA!H85)</f>
        <v/>
      </c>
      <c r="L90" s="155" t="str">
        <f>IF(C90="","",IN_DATA!G85)</f>
        <v/>
      </c>
      <c r="M90" s="154"/>
      <c r="N90" s="220" t="str">
        <f>IF(C90="","",IN_DATA!P85)</f>
        <v/>
      </c>
      <c r="O90" s="112" t="str">
        <f>IF(C90="","",IN_DATA!Q85)</f>
        <v/>
      </c>
      <c r="P90" s="25" t="str">
        <f t="shared" si="19"/>
        <v/>
      </c>
      <c r="Q90" s="25" t="str">
        <f t="shared" si="20"/>
        <v/>
      </c>
      <c r="R90" s="25" t="str">
        <f t="shared" si="21"/>
        <v/>
      </c>
      <c r="S90" s="25" t="str">
        <f t="shared" si="22"/>
        <v/>
      </c>
      <c r="T90" s="25" t="str">
        <f t="shared" si="23"/>
        <v/>
      </c>
      <c r="U90" s="72" t="str">
        <f t="shared" si="24"/>
        <v/>
      </c>
      <c r="V90" s="224" t="str">
        <f>IF(C90="","",IF(IN_DATA!R85=3, IF(IN_DATA!$L$4=5, 250, 375), 0))</f>
        <v/>
      </c>
      <c r="W90" s="97" t="str">
        <f t="shared" si="25"/>
        <v/>
      </c>
      <c r="X90" s="97" t="str">
        <f t="shared" si="26"/>
        <v/>
      </c>
      <c r="Y90" s="97" t="str">
        <f t="shared" si="27"/>
        <v/>
      </c>
      <c r="Z90" s="97" t="str">
        <f t="shared" si="28"/>
        <v/>
      </c>
      <c r="AA90" s="97" t="str">
        <f t="shared" si="29"/>
        <v/>
      </c>
      <c r="AB90" s="97" t="str">
        <f t="shared" si="30"/>
        <v/>
      </c>
      <c r="AC90" s="97" t="str">
        <f t="shared" si="31"/>
        <v/>
      </c>
      <c r="AD90" s="228" t="str">
        <f t="shared" si="32"/>
        <v/>
      </c>
      <c r="AE90" s="266" t="str">
        <f t="shared" si="33"/>
        <v/>
      </c>
    </row>
    <row r="91" spans="1:31" s="20" customFormat="1" x14ac:dyDescent="0.2">
      <c r="A91" s="4">
        <v>81</v>
      </c>
      <c r="B91" s="31">
        <f t="shared" si="18"/>
        <v>2093</v>
      </c>
      <c r="C91" s="158" t="str">
        <f>IN_DATA!P86</f>
        <v/>
      </c>
      <c r="D91" s="33" t="str">
        <f>IN_DATA!Q86</f>
        <v/>
      </c>
      <c r="F91" s="4">
        <f t="shared" si="17"/>
        <v>2093</v>
      </c>
      <c r="G91" s="24" t="str">
        <f>IF(C91="","",IN_DATA!C86*OCF*FPF)</f>
        <v/>
      </c>
      <c r="H91" s="24" t="str">
        <f>IF(C91="","",IN_DATA!D86*OCF*FPF)</f>
        <v/>
      </c>
      <c r="I91" s="24" t="str">
        <f>IF(C91="","",IN_DATA!E86)</f>
        <v/>
      </c>
      <c r="J91" s="24" t="str">
        <f>IF(C91="","",IN_DATA!F86)</f>
        <v/>
      </c>
      <c r="K91" s="24" t="str">
        <f>IF(C91="","",IN_DATA!H86)</f>
        <v/>
      </c>
      <c r="L91" s="155" t="str">
        <f>IF(C91="","",IN_DATA!G86)</f>
        <v/>
      </c>
      <c r="M91" s="154"/>
      <c r="N91" s="220" t="str">
        <f>IF(C91="","",IN_DATA!P86)</f>
        <v/>
      </c>
      <c r="O91" s="112" t="str">
        <f>IF(C91="","",IN_DATA!Q86)</f>
        <v/>
      </c>
      <c r="P91" s="25" t="str">
        <f t="shared" si="19"/>
        <v/>
      </c>
      <c r="Q91" s="25" t="str">
        <f t="shared" si="20"/>
        <v/>
      </c>
      <c r="R91" s="25" t="str">
        <f t="shared" si="21"/>
        <v/>
      </c>
      <c r="S91" s="25" t="str">
        <f t="shared" si="22"/>
        <v/>
      </c>
      <c r="T91" s="25" t="str">
        <f t="shared" si="23"/>
        <v/>
      </c>
      <c r="U91" s="72" t="str">
        <f t="shared" si="24"/>
        <v/>
      </c>
      <c r="V91" s="224" t="str">
        <f>IF(C91="","",IF(IN_DATA!R86=3, IF(IN_DATA!$L$4=5, 250, 375), 0))</f>
        <v/>
      </c>
      <c r="W91" s="97" t="str">
        <f t="shared" si="25"/>
        <v/>
      </c>
      <c r="X91" s="97" t="str">
        <f t="shared" si="26"/>
        <v/>
      </c>
      <c r="Y91" s="97" t="str">
        <f t="shared" si="27"/>
        <v/>
      </c>
      <c r="Z91" s="97" t="str">
        <f t="shared" si="28"/>
        <v/>
      </c>
      <c r="AA91" s="97" t="str">
        <f t="shared" si="29"/>
        <v/>
      </c>
      <c r="AB91" s="97" t="str">
        <f t="shared" si="30"/>
        <v/>
      </c>
      <c r="AC91" s="97" t="str">
        <f t="shared" si="31"/>
        <v/>
      </c>
      <c r="AD91" s="228" t="str">
        <f t="shared" si="32"/>
        <v/>
      </c>
      <c r="AE91" s="266" t="str">
        <f t="shared" si="33"/>
        <v/>
      </c>
    </row>
    <row r="92" spans="1:31" x14ac:dyDescent="0.2">
      <c r="A92" s="16">
        <v>82</v>
      </c>
      <c r="B92" s="30">
        <f t="shared" ref="B92:B109" si="34">A92+$B$5</f>
        <v>2094</v>
      </c>
      <c r="C92" s="159" t="str">
        <f>IN_DATA!P87</f>
        <v/>
      </c>
      <c r="D92" s="32" t="str">
        <f>IN_DATA!Q87</f>
        <v/>
      </c>
      <c r="F92" s="16">
        <f t="shared" ref="F92:F109" si="35">B92</f>
        <v>2094</v>
      </c>
      <c r="G92" s="24" t="str">
        <f>IF(C92="","",IN_DATA!C87*OCF*FPF)</f>
        <v/>
      </c>
      <c r="H92" s="24" t="str">
        <f>IF(C92="","",IN_DATA!D87*OCF*FPF)</f>
        <v/>
      </c>
      <c r="I92" s="24" t="str">
        <f>IF(C92="","",IN_DATA!E87)</f>
        <v/>
      </c>
      <c r="J92" s="24" t="str">
        <f>IF(C92="","",IN_DATA!F87)</f>
        <v/>
      </c>
      <c r="K92" s="24" t="str">
        <f>IF(C92="","",IN_DATA!H87)</f>
        <v/>
      </c>
      <c r="L92" s="155" t="str">
        <f>IF(C92="","",IN_DATA!G87)</f>
        <v/>
      </c>
      <c r="M92" s="154"/>
      <c r="N92" s="220" t="str">
        <f>IF(C92="","",IN_DATA!P87)</f>
        <v/>
      </c>
      <c r="O92" s="112" t="str">
        <f>IF(C92="","",IN_DATA!Q87)</f>
        <v/>
      </c>
      <c r="P92" s="25" t="str">
        <f t="shared" si="19"/>
        <v/>
      </c>
      <c r="Q92" s="25" t="str">
        <f t="shared" si="20"/>
        <v/>
      </c>
      <c r="R92" s="25" t="str">
        <f t="shared" si="21"/>
        <v/>
      </c>
      <c r="S92" s="25" t="str">
        <f t="shared" si="22"/>
        <v/>
      </c>
      <c r="T92" s="25" t="str">
        <f t="shared" si="23"/>
        <v/>
      </c>
      <c r="U92" s="72" t="str">
        <f t="shared" si="24"/>
        <v/>
      </c>
      <c r="V92" s="224" t="str">
        <f>IF(C92="","",IF(IN_DATA!R87=3, IF(IN_DATA!$L$4=5, 250, 375), 0))</f>
        <v/>
      </c>
      <c r="W92" s="97" t="str">
        <f t="shared" si="25"/>
        <v/>
      </c>
      <c r="X92" s="97" t="str">
        <f t="shared" si="26"/>
        <v/>
      </c>
      <c r="Y92" s="97" t="str">
        <f t="shared" si="27"/>
        <v/>
      </c>
      <c r="Z92" s="97" t="str">
        <f t="shared" si="28"/>
        <v/>
      </c>
      <c r="AA92" s="97" t="str">
        <f t="shared" si="29"/>
        <v/>
      </c>
      <c r="AB92" s="97" t="str">
        <f t="shared" si="30"/>
        <v/>
      </c>
      <c r="AC92" s="97" t="str">
        <f t="shared" si="31"/>
        <v/>
      </c>
      <c r="AD92" s="228" t="str">
        <f t="shared" si="32"/>
        <v/>
      </c>
      <c r="AE92" s="266" t="str">
        <f t="shared" si="33"/>
        <v/>
      </c>
    </row>
    <row r="93" spans="1:31" x14ac:dyDescent="0.2">
      <c r="A93" s="4">
        <v>83</v>
      </c>
      <c r="B93" s="31">
        <f t="shared" si="34"/>
        <v>2095</v>
      </c>
      <c r="C93" s="158" t="str">
        <f>IN_DATA!P88</f>
        <v/>
      </c>
      <c r="D93" s="33" t="str">
        <f>IN_DATA!Q88</f>
        <v/>
      </c>
      <c r="F93" s="4">
        <f t="shared" si="35"/>
        <v>2095</v>
      </c>
      <c r="G93" s="24" t="str">
        <f>IF(C93="","",IN_DATA!C88*OCF*FPF)</f>
        <v/>
      </c>
      <c r="H93" s="24" t="str">
        <f>IF(C93="","",IN_DATA!D88*OCF*FPF)</f>
        <v/>
      </c>
      <c r="I93" s="24" t="str">
        <f>IF(C93="","",IN_DATA!E88)</f>
        <v/>
      </c>
      <c r="J93" s="24" t="str">
        <f>IF(C93="","",IN_DATA!F88)</f>
        <v/>
      </c>
      <c r="K93" s="24" t="str">
        <f>IF(C93="","",IN_DATA!H88)</f>
        <v/>
      </c>
      <c r="L93" s="155" t="str">
        <f>IF(C93="","",IN_DATA!G88)</f>
        <v/>
      </c>
      <c r="M93" s="154"/>
      <c r="N93" s="220" t="str">
        <f>IF(C93="","",IN_DATA!P88)</f>
        <v/>
      </c>
      <c r="O93" s="112" t="str">
        <f>IF(C93="","",IN_DATA!Q88)</f>
        <v/>
      </c>
      <c r="P93" s="25" t="str">
        <f t="shared" si="19"/>
        <v/>
      </c>
      <c r="Q93" s="25" t="str">
        <f t="shared" si="20"/>
        <v/>
      </c>
      <c r="R93" s="25" t="str">
        <f t="shared" si="21"/>
        <v/>
      </c>
      <c r="S93" s="25" t="str">
        <f t="shared" si="22"/>
        <v/>
      </c>
      <c r="T93" s="25" t="str">
        <f t="shared" si="23"/>
        <v/>
      </c>
      <c r="U93" s="72" t="str">
        <f t="shared" si="24"/>
        <v/>
      </c>
      <c r="V93" s="224" t="str">
        <f>IF(C93="","",IF(IN_DATA!R88=3, IF(IN_DATA!$L$4=5, 250, 375), 0))</f>
        <v/>
      </c>
      <c r="W93" s="97" t="str">
        <f t="shared" si="25"/>
        <v/>
      </c>
      <c r="X93" s="97" t="str">
        <f t="shared" si="26"/>
        <v/>
      </c>
      <c r="Y93" s="97" t="str">
        <f t="shared" si="27"/>
        <v/>
      </c>
      <c r="Z93" s="97" t="str">
        <f t="shared" si="28"/>
        <v/>
      </c>
      <c r="AA93" s="97" t="str">
        <f t="shared" si="29"/>
        <v/>
      </c>
      <c r="AB93" s="97" t="str">
        <f t="shared" si="30"/>
        <v/>
      </c>
      <c r="AC93" s="97" t="str">
        <f t="shared" si="31"/>
        <v/>
      </c>
      <c r="AD93" s="228" t="str">
        <f t="shared" si="32"/>
        <v/>
      </c>
      <c r="AE93" s="266" t="str">
        <f t="shared" si="33"/>
        <v/>
      </c>
    </row>
    <row r="94" spans="1:31" x14ac:dyDescent="0.2">
      <c r="A94" s="4">
        <v>84</v>
      </c>
      <c r="B94" s="31">
        <f t="shared" si="34"/>
        <v>2096</v>
      </c>
      <c r="C94" s="158" t="str">
        <f>IN_DATA!P89</f>
        <v/>
      </c>
      <c r="D94" s="33" t="str">
        <f>IN_DATA!Q89</f>
        <v/>
      </c>
      <c r="F94" s="4">
        <f t="shared" si="35"/>
        <v>2096</v>
      </c>
      <c r="G94" s="24" t="str">
        <f>IF(C94="","",IN_DATA!C89*OCF*FPF)</f>
        <v/>
      </c>
      <c r="H94" s="24" t="str">
        <f>IF(C94="","",IN_DATA!D89*OCF*FPF)</f>
        <v/>
      </c>
      <c r="I94" s="24" t="str">
        <f>IF(C94="","",IN_DATA!E89)</f>
        <v/>
      </c>
      <c r="J94" s="24" t="str">
        <f>IF(C94="","",IN_DATA!F89)</f>
        <v/>
      </c>
      <c r="K94" s="24" t="str">
        <f>IF(C94="","",IN_DATA!H89)</f>
        <v/>
      </c>
      <c r="L94" s="155" t="str">
        <f>IF(C94="","",IN_DATA!G89)</f>
        <v/>
      </c>
      <c r="M94" s="154"/>
      <c r="N94" s="220" t="str">
        <f>IF(C94="","",IN_DATA!P89)</f>
        <v/>
      </c>
      <c r="O94" s="112" t="str">
        <f>IF(C94="","",IN_DATA!Q89)</f>
        <v/>
      </c>
      <c r="P94" s="25" t="str">
        <f t="shared" si="19"/>
        <v/>
      </c>
      <c r="Q94" s="25" t="str">
        <f t="shared" si="20"/>
        <v/>
      </c>
      <c r="R94" s="25" t="str">
        <f t="shared" si="21"/>
        <v/>
      </c>
      <c r="S94" s="25" t="str">
        <f t="shared" si="22"/>
        <v/>
      </c>
      <c r="T94" s="25" t="str">
        <f t="shared" si="23"/>
        <v/>
      </c>
      <c r="U94" s="72" t="str">
        <f t="shared" si="24"/>
        <v/>
      </c>
      <c r="V94" s="224" t="str">
        <f>IF(C94="","",IF(IN_DATA!R89=3, IF(IN_DATA!$L$4=5, 250, 375), 0))</f>
        <v/>
      </c>
      <c r="W94" s="97" t="str">
        <f t="shared" si="25"/>
        <v/>
      </c>
      <c r="X94" s="97" t="str">
        <f t="shared" si="26"/>
        <v/>
      </c>
      <c r="Y94" s="97" t="str">
        <f t="shared" si="27"/>
        <v/>
      </c>
      <c r="Z94" s="97" t="str">
        <f t="shared" si="28"/>
        <v/>
      </c>
      <c r="AA94" s="97" t="str">
        <f t="shared" si="29"/>
        <v/>
      </c>
      <c r="AB94" s="97" t="str">
        <f t="shared" si="30"/>
        <v/>
      </c>
      <c r="AC94" s="97" t="str">
        <f t="shared" si="31"/>
        <v/>
      </c>
      <c r="AD94" s="228" t="str">
        <f t="shared" si="32"/>
        <v/>
      </c>
      <c r="AE94" s="266" t="str">
        <f t="shared" si="33"/>
        <v/>
      </c>
    </row>
    <row r="95" spans="1:31" x14ac:dyDescent="0.2">
      <c r="A95" s="4">
        <v>85</v>
      </c>
      <c r="B95" s="31">
        <f t="shared" si="34"/>
        <v>2097</v>
      </c>
      <c r="C95" s="158" t="str">
        <f>IN_DATA!P90</f>
        <v/>
      </c>
      <c r="D95" s="33" t="str">
        <f>IN_DATA!Q90</f>
        <v/>
      </c>
      <c r="F95" s="4">
        <f t="shared" si="35"/>
        <v>2097</v>
      </c>
      <c r="G95" s="24" t="str">
        <f>IF(C95="","",IN_DATA!C90*OCF*FPF)</f>
        <v/>
      </c>
      <c r="H95" s="24" t="str">
        <f>IF(C95="","",IN_DATA!D90*OCF*FPF)</f>
        <v/>
      </c>
      <c r="I95" s="24" t="str">
        <f>IF(C95="","",IN_DATA!E90)</f>
        <v/>
      </c>
      <c r="J95" s="24" t="str">
        <f>IF(C95="","",IN_DATA!F90)</f>
        <v/>
      </c>
      <c r="K95" s="24" t="str">
        <f>IF(C95="","",IN_DATA!H90)</f>
        <v/>
      </c>
      <c r="L95" s="155" t="str">
        <f>IF(C95="","",IN_DATA!G90)</f>
        <v/>
      </c>
      <c r="M95" s="154"/>
      <c r="N95" s="220" t="str">
        <f>IF(C95="","",IN_DATA!P90)</f>
        <v/>
      </c>
      <c r="O95" s="112" t="str">
        <f>IF(C95="","",IN_DATA!Q90)</f>
        <v/>
      </c>
      <c r="P95" s="25" t="str">
        <f t="shared" si="19"/>
        <v/>
      </c>
      <c r="Q95" s="25" t="str">
        <f t="shared" si="20"/>
        <v/>
      </c>
      <c r="R95" s="25" t="str">
        <f t="shared" si="21"/>
        <v/>
      </c>
      <c r="S95" s="25" t="str">
        <f t="shared" si="22"/>
        <v/>
      </c>
      <c r="T95" s="25" t="str">
        <f t="shared" si="23"/>
        <v/>
      </c>
      <c r="U95" s="72" t="str">
        <f t="shared" si="24"/>
        <v/>
      </c>
      <c r="V95" s="224" t="str">
        <f>IF(C95="","",IF(IN_DATA!R90=3, IF(IN_DATA!$L$4=5, 250, 375), 0))</f>
        <v/>
      </c>
      <c r="W95" s="97" t="str">
        <f t="shared" si="25"/>
        <v/>
      </c>
      <c r="X95" s="97" t="str">
        <f t="shared" si="26"/>
        <v/>
      </c>
      <c r="Y95" s="97" t="str">
        <f t="shared" si="27"/>
        <v/>
      </c>
      <c r="Z95" s="97" t="str">
        <f t="shared" si="28"/>
        <v/>
      </c>
      <c r="AA95" s="97" t="str">
        <f t="shared" si="29"/>
        <v/>
      </c>
      <c r="AB95" s="97" t="str">
        <f t="shared" si="30"/>
        <v/>
      </c>
      <c r="AC95" s="97" t="str">
        <f t="shared" si="31"/>
        <v/>
      </c>
      <c r="AD95" s="228" t="str">
        <f t="shared" si="32"/>
        <v/>
      </c>
      <c r="AE95" s="266" t="str">
        <f t="shared" si="33"/>
        <v/>
      </c>
    </row>
    <row r="96" spans="1:31" x14ac:dyDescent="0.2">
      <c r="A96" s="4">
        <v>86</v>
      </c>
      <c r="B96" s="31">
        <f t="shared" si="34"/>
        <v>2098</v>
      </c>
      <c r="C96" s="158" t="str">
        <f>IN_DATA!P91</f>
        <v/>
      </c>
      <c r="D96" s="33" t="str">
        <f>IN_DATA!Q91</f>
        <v/>
      </c>
      <c r="F96" s="4">
        <f t="shared" si="35"/>
        <v>2098</v>
      </c>
      <c r="G96" s="24" t="str">
        <f>IF(C96="","",IN_DATA!C91*OCF*FPF)</f>
        <v/>
      </c>
      <c r="H96" s="24" t="str">
        <f>IF(C96="","",IN_DATA!D91*OCF*FPF)</f>
        <v/>
      </c>
      <c r="I96" s="24" t="str">
        <f>IF(C96="","",IN_DATA!E91)</f>
        <v/>
      </c>
      <c r="J96" s="24" t="str">
        <f>IF(C96="","",IN_DATA!F91)</f>
        <v/>
      </c>
      <c r="K96" s="24" t="str">
        <f>IF(C96="","",IN_DATA!H91)</f>
        <v/>
      </c>
      <c r="L96" s="155" t="str">
        <f>IF(C96="","",IN_DATA!G91)</f>
        <v/>
      </c>
      <c r="M96" s="154"/>
      <c r="N96" s="220" t="str">
        <f>IF(C96="","",IN_DATA!P91)</f>
        <v/>
      </c>
      <c r="O96" s="112" t="str">
        <f>IF(C96="","",IN_DATA!Q91)</f>
        <v/>
      </c>
      <c r="P96" s="25" t="str">
        <f t="shared" si="19"/>
        <v/>
      </c>
      <c r="Q96" s="25" t="str">
        <f t="shared" si="20"/>
        <v/>
      </c>
      <c r="R96" s="25" t="str">
        <f t="shared" si="21"/>
        <v/>
      </c>
      <c r="S96" s="25" t="str">
        <f t="shared" si="22"/>
        <v/>
      </c>
      <c r="T96" s="25" t="str">
        <f t="shared" si="23"/>
        <v/>
      </c>
      <c r="U96" s="72" t="str">
        <f t="shared" si="24"/>
        <v/>
      </c>
      <c r="V96" s="224" t="str">
        <f>IF(C96="","",IF(IN_DATA!R91=3, IF(IN_DATA!$L$4=5, 250, 375), 0))</f>
        <v/>
      </c>
      <c r="W96" s="97" t="str">
        <f t="shared" si="25"/>
        <v/>
      </c>
      <c r="X96" s="97" t="str">
        <f t="shared" si="26"/>
        <v/>
      </c>
      <c r="Y96" s="97" t="str">
        <f t="shared" si="27"/>
        <v/>
      </c>
      <c r="Z96" s="97" t="str">
        <f t="shared" si="28"/>
        <v/>
      </c>
      <c r="AA96" s="97" t="str">
        <f t="shared" si="29"/>
        <v/>
      </c>
      <c r="AB96" s="97" t="str">
        <f t="shared" si="30"/>
        <v/>
      </c>
      <c r="AC96" s="97" t="str">
        <f t="shared" si="31"/>
        <v/>
      </c>
      <c r="AD96" s="228" t="str">
        <f t="shared" si="32"/>
        <v/>
      </c>
      <c r="AE96" s="266" t="str">
        <f t="shared" si="33"/>
        <v/>
      </c>
    </row>
    <row r="97" spans="1:31" x14ac:dyDescent="0.2">
      <c r="A97" s="4">
        <v>87</v>
      </c>
      <c r="B97" s="31">
        <f t="shared" si="34"/>
        <v>2099</v>
      </c>
      <c r="C97" s="158" t="str">
        <f>IN_DATA!P92</f>
        <v/>
      </c>
      <c r="D97" s="33" t="str">
        <f>IN_DATA!Q92</f>
        <v/>
      </c>
      <c r="F97" s="4">
        <f t="shared" si="35"/>
        <v>2099</v>
      </c>
      <c r="G97" s="24" t="str">
        <f>IF(C97="","",IN_DATA!C92*OCF*FPF)</f>
        <v/>
      </c>
      <c r="H97" s="24" t="str">
        <f>IF(C97="","",IN_DATA!D92*OCF*FPF)</f>
        <v/>
      </c>
      <c r="I97" s="24" t="str">
        <f>IF(C97="","",IN_DATA!E92)</f>
        <v/>
      </c>
      <c r="J97" s="24" t="str">
        <f>IF(C97="","",IN_DATA!F92)</f>
        <v/>
      </c>
      <c r="K97" s="24" t="str">
        <f>IF(C97="","",IN_DATA!H92)</f>
        <v/>
      </c>
      <c r="L97" s="155" t="str">
        <f>IF(C97="","",IN_DATA!G92)</f>
        <v/>
      </c>
      <c r="M97" s="154"/>
      <c r="N97" s="220" t="str">
        <f>IF(C97="","",IN_DATA!P92)</f>
        <v/>
      </c>
      <c r="O97" s="112" t="str">
        <f>IF(C97="","",IN_DATA!Q92)</f>
        <v/>
      </c>
      <c r="P97" s="25" t="str">
        <f t="shared" si="19"/>
        <v/>
      </c>
      <c r="Q97" s="25" t="str">
        <f t="shared" si="20"/>
        <v/>
      </c>
      <c r="R97" s="25" t="str">
        <f t="shared" si="21"/>
        <v/>
      </c>
      <c r="S97" s="25" t="str">
        <f t="shared" si="22"/>
        <v/>
      </c>
      <c r="T97" s="25" t="str">
        <f t="shared" si="23"/>
        <v/>
      </c>
      <c r="U97" s="72" t="str">
        <f t="shared" si="24"/>
        <v/>
      </c>
      <c r="V97" s="224" t="str">
        <f>IF(C97="","",IF(IN_DATA!R92=3, IF(IN_DATA!$L$4=5, 250, 375), 0))</f>
        <v/>
      </c>
      <c r="W97" s="97" t="str">
        <f t="shared" si="25"/>
        <v/>
      </c>
      <c r="X97" s="97" t="str">
        <f t="shared" si="26"/>
        <v/>
      </c>
      <c r="Y97" s="97" t="str">
        <f t="shared" si="27"/>
        <v/>
      </c>
      <c r="Z97" s="97" t="str">
        <f t="shared" si="28"/>
        <v/>
      </c>
      <c r="AA97" s="97" t="str">
        <f t="shared" si="29"/>
        <v/>
      </c>
      <c r="AB97" s="97" t="str">
        <f t="shared" si="30"/>
        <v/>
      </c>
      <c r="AC97" s="97" t="str">
        <f t="shared" si="31"/>
        <v/>
      </c>
      <c r="AD97" s="228" t="str">
        <f t="shared" si="32"/>
        <v/>
      </c>
      <c r="AE97" s="266" t="str">
        <f t="shared" si="33"/>
        <v/>
      </c>
    </row>
    <row r="98" spans="1:31" x14ac:dyDescent="0.2">
      <c r="A98" s="4">
        <v>88</v>
      </c>
      <c r="B98" s="31">
        <f t="shared" si="34"/>
        <v>2100</v>
      </c>
      <c r="C98" s="158" t="str">
        <f>IN_DATA!P93</f>
        <v/>
      </c>
      <c r="D98" s="33" t="str">
        <f>IN_DATA!Q93</f>
        <v/>
      </c>
      <c r="F98" s="4">
        <f t="shared" si="35"/>
        <v>2100</v>
      </c>
      <c r="G98" s="24" t="str">
        <f>IF(C98="","",IN_DATA!C93*OCF*FPF)</f>
        <v/>
      </c>
      <c r="H98" s="24" t="str">
        <f>IF(C98="","",IN_DATA!D93*OCF*FPF)</f>
        <v/>
      </c>
      <c r="I98" s="24" t="str">
        <f>IF(C98="","",IN_DATA!E93)</f>
        <v/>
      </c>
      <c r="J98" s="24" t="str">
        <f>IF(C98="","",IN_DATA!F93)</f>
        <v/>
      </c>
      <c r="K98" s="24" t="str">
        <f>IF(C98="","",IN_DATA!H93)</f>
        <v/>
      </c>
      <c r="L98" s="155" t="str">
        <f>IF(C98="","",IN_DATA!G93)</f>
        <v/>
      </c>
      <c r="M98" s="154"/>
      <c r="N98" s="220" t="str">
        <f>IF(C98="","",IN_DATA!P93)</f>
        <v/>
      </c>
      <c r="O98" s="112" t="str">
        <f>IF(C98="","",IN_DATA!Q93)</f>
        <v/>
      </c>
      <c r="P98" s="25" t="str">
        <f t="shared" si="19"/>
        <v/>
      </c>
      <c r="Q98" s="25" t="str">
        <f t="shared" si="20"/>
        <v/>
      </c>
      <c r="R98" s="25" t="str">
        <f t="shared" si="21"/>
        <v/>
      </c>
      <c r="S98" s="25" t="str">
        <f t="shared" si="22"/>
        <v/>
      </c>
      <c r="T98" s="25" t="str">
        <f t="shared" si="23"/>
        <v/>
      </c>
      <c r="U98" s="72" t="str">
        <f t="shared" si="24"/>
        <v/>
      </c>
      <c r="V98" s="224" t="str">
        <f>IF(C98="","",IF(IN_DATA!R93=3, IF(IN_DATA!$L$4=5, 250, 375), 0))</f>
        <v/>
      </c>
      <c r="W98" s="97" t="str">
        <f t="shared" si="25"/>
        <v/>
      </c>
      <c r="X98" s="97" t="str">
        <f t="shared" si="26"/>
        <v/>
      </c>
      <c r="Y98" s="97" t="str">
        <f t="shared" si="27"/>
        <v/>
      </c>
      <c r="Z98" s="97" t="str">
        <f t="shared" si="28"/>
        <v/>
      </c>
      <c r="AA98" s="97" t="str">
        <f t="shared" si="29"/>
        <v/>
      </c>
      <c r="AB98" s="97" t="str">
        <f t="shared" si="30"/>
        <v/>
      </c>
      <c r="AC98" s="97" t="str">
        <f t="shared" si="31"/>
        <v/>
      </c>
      <c r="AD98" s="228" t="str">
        <f t="shared" si="32"/>
        <v/>
      </c>
      <c r="AE98" s="266" t="str">
        <f t="shared" si="33"/>
        <v/>
      </c>
    </row>
    <row r="99" spans="1:31" x14ac:dyDescent="0.2">
      <c r="A99" s="4">
        <v>89</v>
      </c>
      <c r="B99" s="31">
        <f t="shared" si="34"/>
        <v>2101</v>
      </c>
      <c r="C99" s="158" t="str">
        <f>IN_DATA!P94</f>
        <v/>
      </c>
      <c r="D99" s="33" t="str">
        <f>IN_DATA!Q94</f>
        <v/>
      </c>
      <c r="F99" s="4">
        <f t="shared" si="35"/>
        <v>2101</v>
      </c>
      <c r="G99" s="24" t="str">
        <f>IF(C99="","",IN_DATA!C94*OCF*FPF)</f>
        <v/>
      </c>
      <c r="H99" s="24" t="str">
        <f>IF(C99="","",IN_DATA!D94*OCF*FPF)</f>
        <v/>
      </c>
      <c r="I99" s="24" t="str">
        <f>IF(C99="","",IN_DATA!E94)</f>
        <v/>
      </c>
      <c r="J99" s="24" t="str">
        <f>IF(C99="","",IN_DATA!F94)</f>
        <v/>
      </c>
      <c r="K99" s="24" t="str">
        <f>IF(C99="","",IN_DATA!H94)</f>
        <v/>
      </c>
      <c r="L99" s="155" t="str">
        <f>IF(C99="","",IN_DATA!G94)</f>
        <v/>
      </c>
      <c r="M99" s="154"/>
      <c r="N99" s="220" t="str">
        <f>IF(C99="","",IN_DATA!P94)</f>
        <v/>
      </c>
      <c r="O99" s="112" t="str">
        <f>IF(C99="","",IN_DATA!Q94)</f>
        <v/>
      </c>
      <c r="P99" s="25" t="str">
        <f t="shared" si="19"/>
        <v/>
      </c>
      <c r="Q99" s="25" t="str">
        <f t="shared" si="20"/>
        <v/>
      </c>
      <c r="R99" s="25" t="str">
        <f t="shared" si="21"/>
        <v/>
      </c>
      <c r="S99" s="25" t="str">
        <f t="shared" si="22"/>
        <v/>
      </c>
      <c r="T99" s="25" t="str">
        <f t="shared" si="23"/>
        <v/>
      </c>
      <c r="U99" s="72" t="str">
        <f t="shared" si="24"/>
        <v/>
      </c>
      <c r="V99" s="224" t="str">
        <f>IF(C99="","",IF(IN_DATA!R94=3, IF(IN_DATA!$L$4=5, 250, 375), 0))</f>
        <v/>
      </c>
      <c r="W99" s="97" t="str">
        <f t="shared" si="25"/>
        <v/>
      </c>
      <c r="X99" s="97" t="str">
        <f t="shared" si="26"/>
        <v/>
      </c>
      <c r="Y99" s="97" t="str">
        <f t="shared" si="27"/>
        <v/>
      </c>
      <c r="Z99" s="97" t="str">
        <f t="shared" si="28"/>
        <v/>
      </c>
      <c r="AA99" s="97" t="str">
        <f t="shared" si="29"/>
        <v/>
      </c>
      <c r="AB99" s="97" t="str">
        <f t="shared" si="30"/>
        <v/>
      </c>
      <c r="AC99" s="97" t="str">
        <f t="shared" si="31"/>
        <v/>
      </c>
      <c r="AD99" s="228" t="str">
        <f t="shared" si="32"/>
        <v/>
      </c>
      <c r="AE99" s="266" t="str">
        <f t="shared" si="33"/>
        <v/>
      </c>
    </row>
    <row r="100" spans="1:31" x14ac:dyDescent="0.2">
      <c r="A100" s="4">
        <v>90</v>
      </c>
      <c r="B100" s="31">
        <f t="shared" si="34"/>
        <v>2102</v>
      </c>
      <c r="C100" s="158" t="str">
        <f>IN_DATA!P95</f>
        <v/>
      </c>
      <c r="D100" s="33" t="str">
        <f>IN_DATA!Q95</f>
        <v/>
      </c>
      <c r="F100" s="4">
        <f t="shared" si="35"/>
        <v>2102</v>
      </c>
      <c r="G100" s="24" t="str">
        <f>IF(C100="","",IN_DATA!C95*OCF*FPF)</f>
        <v/>
      </c>
      <c r="H100" s="24" t="str">
        <f>IF(C100="","",IN_DATA!D95*OCF*FPF)</f>
        <v/>
      </c>
      <c r="I100" s="24" t="str">
        <f>IF(C100="","",IN_DATA!E95)</f>
        <v/>
      </c>
      <c r="J100" s="24" t="str">
        <f>IF(C100="","",IN_DATA!F95)</f>
        <v/>
      </c>
      <c r="K100" s="24" t="str">
        <f>IF(C100="","",IN_DATA!H95)</f>
        <v/>
      </c>
      <c r="L100" s="155" t="str">
        <f>IF(C100="","",IN_DATA!G95)</f>
        <v/>
      </c>
      <c r="M100" s="154"/>
      <c r="N100" s="220" t="str">
        <f>IF(C100="","",IN_DATA!P95)</f>
        <v/>
      </c>
      <c r="O100" s="112" t="str">
        <f>IF(C100="","",IN_DATA!Q95)</f>
        <v/>
      </c>
      <c r="P100" s="25" t="str">
        <f t="shared" si="19"/>
        <v/>
      </c>
      <c r="Q100" s="25" t="str">
        <f t="shared" si="20"/>
        <v/>
      </c>
      <c r="R100" s="25" t="str">
        <f t="shared" si="21"/>
        <v/>
      </c>
      <c r="S100" s="25" t="str">
        <f t="shared" si="22"/>
        <v/>
      </c>
      <c r="T100" s="25" t="str">
        <f t="shared" si="23"/>
        <v/>
      </c>
      <c r="U100" s="72" t="str">
        <f t="shared" si="24"/>
        <v/>
      </c>
      <c r="V100" s="224" t="str">
        <f>IF(C100="","",IF(IN_DATA!R95=3, IF(IN_DATA!$L$4=5, 250, 375), 0))</f>
        <v/>
      </c>
      <c r="W100" s="97" t="str">
        <f t="shared" si="25"/>
        <v/>
      </c>
      <c r="X100" s="97" t="str">
        <f t="shared" si="26"/>
        <v/>
      </c>
      <c r="Y100" s="97" t="str">
        <f t="shared" si="27"/>
        <v/>
      </c>
      <c r="Z100" s="97" t="str">
        <f t="shared" si="28"/>
        <v/>
      </c>
      <c r="AA100" s="97" t="str">
        <f t="shared" si="29"/>
        <v/>
      </c>
      <c r="AB100" s="97" t="str">
        <f t="shared" si="30"/>
        <v/>
      </c>
      <c r="AC100" s="97" t="str">
        <f t="shared" si="31"/>
        <v/>
      </c>
      <c r="AD100" s="228" t="str">
        <f t="shared" si="32"/>
        <v/>
      </c>
      <c r="AE100" s="266" t="str">
        <f t="shared" si="33"/>
        <v/>
      </c>
    </row>
    <row r="101" spans="1:31" x14ac:dyDescent="0.2">
      <c r="A101" s="4">
        <v>91</v>
      </c>
      <c r="B101" s="31">
        <f t="shared" si="34"/>
        <v>2103</v>
      </c>
      <c r="C101" s="158" t="str">
        <f>IN_DATA!P96</f>
        <v/>
      </c>
      <c r="D101" s="33" t="str">
        <f>IN_DATA!Q96</f>
        <v/>
      </c>
      <c r="F101" s="4">
        <f t="shared" si="35"/>
        <v>2103</v>
      </c>
      <c r="G101" s="24" t="str">
        <f>IF(C101="","",IN_DATA!C96*OCF*FPF)</f>
        <v/>
      </c>
      <c r="H101" s="24" t="str">
        <f>IF(C101="","",IN_DATA!D96*OCF*FPF)</f>
        <v/>
      </c>
      <c r="I101" s="24" t="str">
        <f>IF(C101="","",IN_DATA!E96)</f>
        <v/>
      </c>
      <c r="J101" s="24" t="str">
        <f>IF(C101="","",IN_DATA!F96)</f>
        <v/>
      </c>
      <c r="K101" s="24" t="str">
        <f>IF(C101="","",IN_DATA!H96)</f>
        <v/>
      </c>
      <c r="L101" s="155" t="str">
        <f>IF(C101="","",IN_DATA!G96)</f>
        <v/>
      </c>
      <c r="M101" s="154"/>
      <c r="N101" s="220" t="str">
        <f>IF(C101="","",IN_DATA!P96)</f>
        <v/>
      </c>
      <c r="O101" s="112" t="str">
        <f>IF(C101="","",IN_DATA!Q96)</f>
        <v/>
      </c>
      <c r="P101" s="25" t="str">
        <f t="shared" si="19"/>
        <v/>
      </c>
      <c r="Q101" s="25" t="str">
        <f t="shared" si="20"/>
        <v/>
      </c>
      <c r="R101" s="25" t="str">
        <f t="shared" si="21"/>
        <v/>
      </c>
      <c r="S101" s="25" t="str">
        <f t="shared" si="22"/>
        <v/>
      </c>
      <c r="T101" s="25" t="str">
        <f t="shared" si="23"/>
        <v/>
      </c>
      <c r="U101" s="72" t="str">
        <f t="shared" si="24"/>
        <v/>
      </c>
      <c r="V101" s="224" t="str">
        <f>IF(C101="","",IF(IN_DATA!R96=3, IF(IN_DATA!$L$4=5, 250, 375), 0))</f>
        <v/>
      </c>
      <c r="W101" s="97" t="str">
        <f t="shared" si="25"/>
        <v/>
      </c>
      <c r="X101" s="97" t="str">
        <f t="shared" si="26"/>
        <v/>
      </c>
      <c r="Y101" s="97" t="str">
        <f t="shared" si="27"/>
        <v/>
      </c>
      <c r="Z101" s="97" t="str">
        <f t="shared" si="28"/>
        <v/>
      </c>
      <c r="AA101" s="97" t="str">
        <f t="shared" si="29"/>
        <v/>
      </c>
      <c r="AB101" s="97" t="str">
        <f t="shared" si="30"/>
        <v/>
      </c>
      <c r="AC101" s="97" t="str">
        <f t="shared" si="31"/>
        <v/>
      </c>
      <c r="AD101" s="228" t="str">
        <f t="shared" si="32"/>
        <v/>
      </c>
      <c r="AE101" s="266" t="str">
        <f t="shared" si="33"/>
        <v/>
      </c>
    </row>
    <row r="102" spans="1:31" x14ac:dyDescent="0.2">
      <c r="A102" s="4">
        <v>92</v>
      </c>
      <c r="B102" s="31">
        <f t="shared" si="34"/>
        <v>2104</v>
      </c>
      <c r="C102" s="158" t="str">
        <f>IN_DATA!P97</f>
        <v/>
      </c>
      <c r="D102" s="33" t="str">
        <f>IN_DATA!Q97</f>
        <v/>
      </c>
      <c r="F102" s="4">
        <f t="shared" si="35"/>
        <v>2104</v>
      </c>
      <c r="G102" s="24" t="str">
        <f>IF(C102="","",IN_DATA!C97*OCF*FPF)</f>
        <v/>
      </c>
      <c r="H102" s="24" t="str">
        <f>IF(C102="","",IN_DATA!D97*OCF*FPF)</f>
        <v/>
      </c>
      <c r="I102" s="24" t="str">
        <f>IF(C102="","",IN_DATA!E97)</f>
        <v/>
      </c>
      <c r="J102" s="24" t="str">
        <f>IF(C102="","",IN_DATA!F97)</f>
        <v/>
      </c>
      <c r="K102" s="24" t="str">
        <f>IF(C102="","",IN_DATA!H97)</f>
        <v/>
      </c>
      <c r="L102" s="155" t="str">
        <f>IF(C102="","",IN_DATA!G97)</f>
        <v/>
      </c>
      <c r="M102" s="154"/>
      <c r="N102" s="220" t="str">
        <f>IF(C102="","",IN_DATA!P97)</f>
        <v/>
      </c>
      <c r="O102" s="112" t="str">
        <f>IF(C102="","",IN_DATA!Q97)</f>
        <v/>
      </c>
      <c r="P102" s="25" t="str">
        <f t="shared" si="19"/>
        <v/>
      </c>
      <c r="Q102" s="25" t="str">
        <f t="shared" si="20"/>
        <v/>
      </c>
      <c r="R102" s="25" t="str">
        <f t="shared" si="21"/>
        <v/>
      </c>
      <c r="S102" s="25" t="str">
        <f t="shared" si="22"/>
        <v/>
      </c>
      <c r="T102" s="25" t="str">
        <f t="shared" si="23"/>
        <v/>
      </c>
      <c r="U102" s="72" t="str">
        <f t="shared" si="24"/>
        <v/>
      </c>
      <c r="V102" s="224" t="str">
        <f>IF(C102="","",IF(IN_DATA!R97=3, IF(IN_DATA!$L$4=5, 250, 375), 0))</f>
        <v/>
      </c>
      <c r="W102" s="97" t="str">
        <f t="shared" si="25"/>
        <v/>
      </c>
      <c r="X102" s="97" t="str">
        <f t="shared" si="26"/>
        <v/>
      </c>
      <c r="Y102" s="97" t="str">
        <f t="shared" si="27"/>
        <v/>
      </c>
      <c r="Z102" s="97" t="str">
        <f t="shared" si="28"/>
        <v/>
      </c>
      <c r="AA102" s="97" t="str">
        <f t="shared" si="29"/>
        <v/>
      </c>
      <c r="AB102" s="97" t="str">
        <f t="shared" si="30"/>
        <v/>
      </c>
      <c r="AC102" s="97" t="str">
        <f t="shared" si="31"/>
        <v/>
      </c>
      <c r="AD102" s="228" t="str">
        <f t="shared" si="32"/>
        <v/>
      </c>
      <c r="AE102" s="266" t="str">
        <f t="shared" si="33"/>
        <v/>
      </c>
    </row>
    <row r="103" spans="1:31" x14ac:dyDescent="0.2">
      <c r="A103" s="4">
        <v>93</v>
      </c>
      <c r="B103" s="31">
        <f t="shared" si="34"/>
        <v>2105</v>
      </c>
      <c r="C103" s="158" t="str">
        <f>IN_DATA!P98</f>
        <v/>
      </c>
      <c r="D103" s="33" t="str">
        <f>IN_DATA!Q98</f>
        <v/>
      </c>
      <c r="F103" s="4">
        <f t="shared" si="35"/>
        <v>2105</v>
      </c>
      <c r="G103" s="24" t="str">
        <f>IF(C103="","",IN_DATA!C98*OCF*FPF)</f>
        <v/>
      </c>
      <c r="H103" s="24" t="str">
        <f>IF(C103="","",IN_DATA!D98*OCF*FPF)</f>
        <v/>
      </c>
      <c r="I103" s="24" t="str">
        <f>IF(C103="","",IN_DATA!E98)</f>
        <v/>
      </c>
      <c r="J103" s="24" t="str">
        <f>IF(C103="","",IN_DATA!F98)</f>
        <v/>
      </c>
      <c r="K103" s="24" t="str">
        <f>IF(C103="","",IN_DATA!H98)</f>
        <v/>
      </c>
      <c r="L103" s="155" t="str">
        <f>IF(C103="","",IN_DATA!G98)</f>
        <v/>
      </c>
      <c r="M103" s="154"/>
      <c r="N103" s="220" t="str">
        <f>IF(C103="","",IN_DATA!P98)</f>
        <v/>
      </c>
      <c r="O103" s="112" t="str">
        <f>IF(C103="","",IN_DATA!Q98)</f>
        <v/>
      </c>
      <c r="P103" s="25" t="str">
        <f t="shared" si="19"/>
        <v/>
      </c>
      <c r="Q103" s="25" t="str">
        <f t="shared" si="20"/>
        <v/>
      </c>
      <c r="R103" s="25" t="str">
        <f t="shared" si="21"/>
        <v/>
      </c>
      <c r="S103" s="25" t="str">
        <f t="shared" si="22"/>
        <v/>
      </c>
      <c r="T103" s="25" t="str">
        <f t="shared" si="23"/>
        <v/>
      </c>
      <c r="U103" s="72" t="str">
        <f t="shared" si="24"/>
        <v/>
      </c>
      <c r="V103" s="224" t="str">
        <f>IF(C103="","",IF(IN_DATA!R98=3, IF(IN_DATA!$L$4=5, 250, 375), 0))</f>
        <v/>
      </c>
      <c r="W103" s="97" t="str">
        <f t="shared" si="25"/>
        <v/>
      </c>
      <c r="X103" s="97" t="str">
        <f t="shared" si="26"/>
        <v/>
      </c>
      <c r="Y103" s="97" t="str">
        <f t="shared" si="27"/>
        <v/>
      </c>
      <c r="Z103" s="97" t="str">
        <f t="shared" si="28"/>
        <v/>
      </c>
      <c r="AA103" s="97" t="str">
        <f t="shared" si="29"/>
        <v/>
      </c>
      <c r="AB103" s="97" t="str">
        <f t="shared" si="30"/>
        <v/>
      </c>
      <c r="AC103" s="97" t="str">
        <f t="shared" si="31"/>
        <v/>
      </c>
      <c r="AD103" s="228" t="str">
        <f t="shared" si="32"/>
        <v/>
      </c>
      <c r="AE103" s="266" t="str">
        <f t="shared" si="33"/>
        <v/>
      </c>
    </row>
    <row r="104" spans="1:31" x14ac:dyDescent="0.2">
      <c r="A104" s="4">
        <v>94</v>
      </c>
      <c r="B104" s="31">
        <f t="shared" si="34"/>
        <v>2106</v>
      </c>
      <c r="C104" s="158" t="str">
        <f>IN_DATA!P99</f>
        <v/>
      </c>
      <c r="D104" s="33" t="str">
        <f>IN_DATA!Q99</f>
        <v/>
      </c>
      <c r="F104" s="4">
        <f t="shared" si="35"/>
        <v>2106</v>
      </c>
      <c r="G104" s="24" t="str">
        <f>IF(C104="","",IN_DATA!C99*OCF*FPF)</f>
        <v/>
      </c>
      <c r="H104" s="24" t="str">
        <f>IF(C104="","",IN_DATA!D99*OCF*FPF)</f>
        <v/>
      </c>
      <c r="I104" s="24" t="str">
        <f>IF(C104="","",IN_DATA!E99)</f>
        <v/>
      </c>
      <c r="J104" s="24" t="str">
        <f>IF(C104="","",IN_DATA!F99)</f>
        <v/>
      </c>
      <c r="K104" s="24" t="str">
        <f>IF(C104="","",IN_DATA!H99)</f>
        <v/>
      </c>
      <c r="L104" s="155" t="str">
        <f>IF(C104="","",IN_DATA!G99)</f>
        <v/>
      </c>
      <c r="M104" s="154"/>
      <c r="N104" s="220" t="str">
        <f>IF(C104="","",IN_DATA!P99)</f>
        <v/>
      </c>
      <c r="O104" s="112" t="str">
        <f>IF(C104="","",IN_DATA!Q99)</f>
        <v/>
      </c>
      <c r="P104" s="25" t="str">
        <f t="shared" si="19"/>
        <v/>
      </c>
      <c r="Q104" s="25" t="str">
        <f t="shared" si="20"/>
        <v/>
      </c>
      <c r="R104" s="25" t="str">
        <f t="shared" si="21"/>
        <v/>
      </c>
      <c r="S104" s="25" t="str">
        <f t="shared" si="22"/>
        <v/>
      </c>
      <c r="T104" s="25" t="str">
        <f t="shared" si="23"/>
        <v/>
      </c>
      <c r="U104" s="72" t="str">
        <f t="shared" si="24"/>
        <v/>
      </c>
      <c r="V104" s="224" t="str">
        <f>IF(C104="","",IF(IN_DATA!R99=3, IF(IN_DATA!$L$4=5, 250, 375), 0))</f>
        <v/>
      </c>
      <c r="W104" s="97" t="str">
        <f t="shared" si="25"/>
        <v/>
      </c>
      <c r="X104" s="97" t="str">
        <f t="shared" si="26"/>
        <v/>
      </c>
      <c r="Y104" s="97" t="str">
        <f t="shared" si="27"/>
        <v/>
      </c>
      <c r="Z104" s="97" t="str">
        <f t="shared" si="28"/>
        <v/>
      </c>
      <c r="AA104" s="97" t="str">
        <f t="shared" si="29"/>
        <v/>
      </c>
      <c r="AB104" s="97" t="str">
        <f t="shared" si="30"/>
        <v/>
      </c>
      <c r="AC104" s="97" t="str">
        <f t="shared" si="31"/>
        <v/>
      </c>
      <c r="AD104" s="228" t="str">
        <f t="shared" si="32"/>
        <v/>
      </c>
      <c r="AE104" s="266" t="str">
        <f t="shared" si="33"/>
        <v/>
      </c>
    </row>
    <row r="105" spans="1:31" x14ac:dyDescent="0.2">
      <c r="A105" s="4">
        <v>95</v>
      </c>
      <c r="B105" s="31">
        <f t="shared" si="34"/>
        <v>2107</v>
      </c>
      <c r="C105" s="158" t="str">
        <f>IN_DATA!P100</f>
        <v/>
      </c>
      <c r="D105" s="33" t="str">
        <f>IN_DATA!Q100</f>
        <v/>
      </c>
      <c r="F105" s="4">
        <f t="shared" si="35"/>
        <v>2107</v>
      </c>
      <c r="G105" s="24" t="str">
        <f>IF(C105="","",IN_DATA!C100*OCF*FPF)</f>
        <v/>
      </c>
      <c r="H105" s="24" t="str">
        <f>IF(C105="","",IN_DATA!D100*OCF*FPF)</f>
        <v/>
      </c>
      <c r="I105" s="24" t="str">
        <f>IF(C105="","",IN_DATA!E100)</f>
        <v/>
      </c>
      <c r="J105" s="24" t="str">
        <f>IF(C105="","",IN_DATA!F100)</f>
        <v/>
      </c>
      <c r="K105" s="24" t="str">
        <f>IF(C105="","",IN_DATA!H100)</f>
        <v/>
      </c>
      <c r="L105" s="155" t="str">
        <f>IF(C105="","",IN_DATA!G100)</f>
        <v/>
      </c>
      <c r="M105" s="154"/>
      <c r="N105" s="220" t="str">
        <f>IF(C105="","",IN_DATA!P100)</f>
        <v/>
      </c>
      <c r="O105" s="112" t="str">
        <f>IF(C105="","",IN_DATA!Q100)</f>
        <v/>
      </c>
      <c r="P105" s="25" t="str">
        <f t="shared" si="19"/>
        <v/>
      </c>
      <c r="Q105" s="25" t="str">
        <f t="shared" si="20"/>
        <v/>
      </c>
      <c r="R105" s="25" t="str">
        <f t="shared" si="21"/>
        <v/>
      </c>
      <c r="S105" s="25" t="str">
        <f t="shared" si="22"/>
        <v/>
      </c>
      <c r="T105" s="25" t="str">
        <f t="shared" si="23"/>
        <v/>
      </c>
      <c r="U105" s="72" t="str">
        <f t="shared" si="24"/>
        <v/>
      </c>
      <c r="V105" s="224" t="str">
        <f>IF(C105="","",IF(IN_DATA!R100=3, IF(IN_DATA!$L$4=5, 250, 375), 0))</f>
        <v/>
      </c>
      <c r="W105" s="97" t="str">
        <f t="shared" si="25"/>
        <v/>
      </c>
      <c r="X105" s="97" t="str">
        <f t="shared" si="26"/>
        <v/>
      </c>
      <c r="Y105" s="97" t="str">
        <f t="shared" si="27"/>
        <v/>
      </c>
      <c r="Z105" s="97" t="str">
        <f t="shared" si="28"/>
        <v/>
      </c>
      <c r="AA105" s="97" t="str">
        <f t="shared" si="29"/>
        <v/>
      </c>
      <c r="AB105" s="97" t="str">
        <f t="shared" si="30"/>
        <v/>
      </c>
      <c r="AC105" s="97" t="str">
        <f t="shared" si="31"/>
        <v/>
      </c>
      <c r="AD105" s="228" t="str">
        <f t="shared" si="32"/>
        <v/>
      </c>
      <c r="AE105" s="266" t="str">
        <f t="shared" si="33"/>
        <v/>
      </c>
    </row>
    <row r="106" spans="1:31" x14ac:dyDescent="0.2">
      <c r="A106" s="4">
        <v>96</v>
      </c>
      <c r="B106" s="31">
        <f t="shared" si="34"/>
        <v>2108</v>
      </c>
      <c r="C106" s="158" t="str">
        <f>IN_DATA!P101</f>
        <v/>
      </c>
      <c r="D106" s="33" t="str">
        <f>IN_DATA!Q101</f>
        <v/>
      </c>
      <c r="F106" s="4">
        <f t="shared" si="35"/>
        <v>2108</v>
      </c>
      <c r="G106" s="24" t="str">
        <f>IF(C106="","",IN_DATA!C101*OCF*FPF)</f>
        <v/>
      </c>
      <c r="H106" s="24" t="str">
        <f>IF(C106="","",IN_DATA!D101*OCF*FPF)</f>
        <v/>
      </c>
      <c r="I106" s="24" t="str">
        <f>IF(C106="","",IN_DATA!E101)</f>
        <v/>
      </c>
      <c r="J106" s="24" t="str">
        <f>IF(C106="","",IN_DATA!F101)</f>
        <v/>
      </c>
      <c r="K106" s="24" t="str">
        <f>IF(C106="","",IN_DATA!H101)</f>
        <v/>
      </c>
      <c r="L106" s="155" t="str">
        <f>IF(C106="","",IN_DATA!G101)</f>
        <v/>
      </c>
      <c r="M106" s="154"/>
      <c r="N106" s="220" t="str">
        <f>IF(C106="","",IN_DATA!P101)</f>
        <v/>
      </c>
      <c r="O106" s="112" t="str">
        <f>IF(C106="","",IN_DATA!Q101)</f>
        <v/>
      </c>
      <c r="P106" s="25" t="str">
        <f t="shared" si="19"/>
        <v/>
      </c>
      <c r="Q106" s="25" t="str">
        <f t="shared" si="20"/>
        <v/>
      </c>
      <c r="R106" s="25" t="str">
        <f t="shared" si="21"/>
        <v/>
      </c>
      <c r="S106" s="25" t="str">
        <f t="shared" si="22"/>
        <v/>
      </c>
      <c r="T106" s="25" t="str">
        <f t="shared" si="23"/>
        <v/>
      </c>
      <c r="U106" s="72" t="str">
        <f t="shared" si="24"/>
        <v/>
      </c>
      <c r="V106" s="224" t="str">
        <f>IF(C106="","",IF(IN_DATA!R101=3, IF(IN_DATA!$L$4=5, 250, 375), 0))</f>
        <v/>
      </c>
      <c r="W106" s="97" t="str">
        <f t="shared" si="25"/>
        <v/>
      </c>
      <c r="X106" s="97" t="str">
        <f t="shared" si="26"/>
        <v/>
      </c>
      <c r="Y106" s="97" t="str">
        <f t="shared" si="27"/>
        <v/>
      </c>
      <c r="Z106" s="97" t="str">
        <f t="shared" si="28"/>
        <v/>
      </c>
      <c r="AA106" s="97" t="str">
        <f t="shared" si="29"/>
        <v/>
      </c>
      <c r="AB106" s="97" t="str">
        <f t="shared" si="30"/>
        <v/>
      </c>
      <c r="AC106" s="97" t="str">
        <f t="shared" si="31"/>
        <v/>
      </c>
      <c r="AD106" s="228" t="str">
        <f t="shared" si="32"/>
        <v/>
      </c>
      <c r="AE106" s="266" t="str">
        <f t="shared" si="33"/>
        <v/>
      </c>
    </row>
    <row r="107" spans="1:31" x14ac:dyDescent="0.2">
      <c r="A107" s="4">
        <v>97</v>
      </c>
      <c r="B107" s="31">
        <f t="shared" si="34"/>
        <v>2109</v>
      </c>
      <c r="C107" s="158" t="str">
        <f>IN_DATA!P102</f>
        <v/>
      </c>
      <c r="D107" s="33" t="str">
        <f>IN_DATA!Q102</f>
        <v/>
      </c>
      <c r="F107" s="4">
        <f t="shared" si="35"/>
        <v>2109</v>
      </c>
      <c r="G107" s="24" t="str">
        <f>IF(C107="","",IN_DATA!C102*OCF*FPF)</f>
        <v/>
      </c>
      <c r="H107" s="24" t="str">
        <f>IF(C107="","",IN_DATA!D102*OCF*FPF)</f>
        <v/>
      </c>
      <c r="I107" s="24" t="str">
        <f>IF(C107="","",IN_DATA!E102)</f>
        <v/>
      </c>
      <c r="J107" s="24" t="str">
        <f>IF(C107="","",IN_DATA!F102)</f>
        <v/>
      </c>
      <c r="K107" s="24" t="str">
        <f>IF(C107="","",IN_DATA!H102)</f>
        <v/>
      </c>
      <c r="L107" s="155" t="str">
        <f>IF(C107="","",IN_DATA!G102)</f>
        <v/>
      </c>
      <c r="M107" s="154"/>
      <c r="N107" s="220" t="str">
        <f>IF(C107="","",IN_DATA!P102)</f>
        <v/>
      </c>
      <c r="O107" s="112" t="str">
        <f>IF(C107="","",IN_DATA!Q102)</f>
        <v/>
      </c>
      <c r="P107" s="25" t="str">
        <f t="shared" si="19"/>
        <v/>
      </c>
      <c r="Q107" s="25" t="str">
        <f t="shared" si="20"/>
        <v/>
      </c>
      <c r="R107" s="25" t="str">
        <f t="shared" si="21"/>
        <v/>
      </c>
      <c r="S107" s="25" t="str">
        <f t="shared" si="22"/>
        <v/>
      </c>
      <c r="T107" s="25" t="str">
        <f t="shared" si="23"/>
        <v/>
      </c>
      <c r="U107" s="72" t="str">
        <f t="shared" si="24"/>
        <v/>
      </c>
      <c r="V107" s="224" t="str">
        <f>IF(C107="","",IF(IN_DATA!R102=3, IF(IN_DATA!$L$4=5, 250, 375), 0))</f>
        <v/>
      </c>
      <c r="W107" s="97" t="str">
        <f t="shared" si="25"/>
        <v/>
      </c>
      <c r="X107" s="97" t="str">
        <f t="shared" si="26"/>
        <v/>
      </c>
      <c r="Y107" s="97" t="str">
        <f t="shared" si="27"/>
        <v/>
      </c>
      <c r="Z107" s="97" t="str">
        <f t="shared" si="28"/>
        <v/>
      </c>
      <c r="AA107" s="97" t="str">
        <f t="shared" si="29"/>
        <v/>
      </c>
      <c r="AB107" s="97" t="str">
        <f t="shared" si="30"/>
        <v/>
      </c>
      <c r="AC107" s="97" t="str">
        <f t="shared" si="31"/>
        <v/>
      </c>
      <c r="AD107" s="228" t="str">
        <f t="shared" si="32"/>
        <v/>
      </c>
      <c r="AE107" s="266" t="str">
        <f t="shared" si="33"/>
        <v/>
      </c>
    </row>
    <row r="108" spans="1:31" x14ac:dyDescent="0.2">
      <c r="A108" s="4">
        <v>98</v>
      </c>
      <c r="B108" s="31">
        <f t="shared" si="34"/>
        <v>2110</v>
      </c>
      <c r="C108" s="158" t="str">
        <f>IN_DATA!P103</f>
        <v/>
      </c>
      <c r="D108" s="33" t="str">
        <f>IN_DATA!Q103</f>
        <v/>
      </c>
      <c r="F108" s="4">
        <f t="shared" si="35"/>
        <v>2110</v>
      </c>
      <c r="G108" s="24" t="str">
        <f>IF(C108="","",IN_DATA!C103*OCF*FPF)</f>
        <v/>
      </c>
      <c r="H108" s="24" t="str">
        <f>IF(C108="","",IN_DATA!D103*OCF*FPF)</f>
        <v/>
      </c>
      <c r="I108" s="24" t="str">
        <f>IF(C108="","",IN_DATA!E103)</f>
        <v/>
      </c>
      <c r="J108" s="24" t="str">
        <f>IF(C108="","",IN_DATA!F103)</f>
        <v/>
      </c>
      <c r="K108" s="24" t="str">
        <f>IF(C108="","",IN_DATA!H103)</f>
        <v/>
      </c>
      <c r="L108" s="155" t="str">
        <f>IF(C108="","",IN_DATA!G103)</f>
        <v/>
      </c>
      <c r="M108" s="154"/>
      <c r="N108" s="220" t="str">
        <f>IF(C108="","",IN_DATA!P103)</f>
        <v/>
      </c>
      <c r="O108" s="112" t="str">
        <f>IF(C108="","",IN_DATA!Q103)</f>
        <v/>
      </c>
      <c r="P108" s="25" t="str">
        <f t="shared" si="19"/>
        <v/>
      </c>
      <c r="Q108" s="25" t="str">
        <f t="shared" si="20"/>
        <v/>
      </c>
      <c r="R108" s="25" t="str">
        <f t="shared" si="21"/>
        <v/>
      </c>
      <c r="S108" s="25" t="str">
        <f t="shared" si="22"/>
        <v/>
      </c>
      <c r="T108" s="25" t="str">
        <f t="shared" si="23"/>
        <v/>
      </c>
      <c r="U108" s="72" t="str">
        <f t="shared" si="24"/>
        <v/>
      </c>
      <c r="V108" s="224" t="str">
        <f>IF(C108="","",IF(IN_DATA!R103=3, IF(IN_DATA!$L$4=5, 250, 375), 0))</f>
        <v/>
      </c>
      <c r="W108" s="97" t="str">
        <f t="shared" si="25"/>
        <v/>
      </c>
      <c r="X108" s="97" t="str">
        <f t="shared" si="26"/>
        <v/>
      </c>
      <c r="Y108" s="97" t="str">
        <f t="shared" si="27"/>
        <v/>
      </c>
      <c r="Z108" s="97" t="str">
        <f t="shared" si="28"/>
        <v/>
      </c>
      <c r="AA108" s="97" t="str">
        <f t="shared" si="29"/>
        <v/>
      </c>
      <c r="AB108" s="97" t="str">
        <f t="shared" si="30"/>
        <v/>
      </c>
      <c r="AC108" s="97" t="str">
        <f t="shared" si="31"/>
        <v/>
      </c>
      <c r="AD108" s="228" t="str">
        <f t="shared" si="32"/>
        <v/>
      </c>
      <c r="AE108" s="266" t="str">
        <f t="shared" si="33"/>
        <v/>
      </c>
    </row>
    <row r="109" spans="1:31" x14ac:dyDescent="0.2">
      <c r="A109" s="146">
        <v>99</v>
      </c>
      <c r="B109" s="147">
        <f t="shared" si="34"/>
        <v>2111</v>
      </c>
      <c r="C109" s="160" t="str">
        <f>IN_DATA!P104</f>
        <v/>
      </c>
      <c r="D109" s="148" t="str">
        <f>IN_DATA!Q104</f>
        <v/>
      </c>
      <c r="F109" s="146">
        <f t="shared" si="35"/>
        <v>2111</v>
      </c>
      <c r="G109" s="24" t="str">
        <f>IF(C109="","",IN_DATA!C104*OCF*FPF)</f>
        <v/>
      </c>
      <c r="H109" s="24" t="str">
        <f>IF(C109="","",IN_DATA!D104*OCF*FPF)</f>
        <v/>
      </c>
      <c r="I109" s="24" t="str">
        <f>IF(C109="","",IN_DATA!E104)</f>
        <v/>
      </c>
      <c r="J109" s="24" t="str">
        <f>IF(C109="","",IN_DATA!F104)</f>
        <v/>
      </c>
      <c r="K109" s="24" t="str">
        <f>IF(C109="","",IN_DATA!H104)</f>
        <v/>
      </c>
      <c r="L109" s="155" t="str">
        <f>IF(C109="","",IN_DATA!G104)</f>
        <v/>
      </c>
      <c r="M109" s="154"/>
      <c r="N109" s="220" t="str">
        <f>IF(C109="","",IN_DATA!P104)</f>
        <v/>
      </c>
      <c r="O109" s="112" t="str">
        <f>IF(C109="","",IN_DATA!Q104)</f>
        <v/>
      </c>
      <c r="P109" s="25" t="str">
        <f t="shared" si="19"/>
        <v/>
      </c>
      <c r="Q109" s="25" t="str">
        <f t="shared" si="20"/>
        <v/>
      </c>
      <c r="R109" s="25" t="str">
        <f t="shared" si="21"/>
        <v/>
      </c>
      <c r="S109" s="25" t="str">
        <f t="shared" si="22"/>
        <v/>
      </c>
      <c r="T109" s="25" t="str">
        <f t="shared" si="23"/>
        <v/>
      </c>
      <c r="U109" s="72" t="str">
        <f t="shared" si="24"/>
        <v/>
      </c>
      <c r="V109" s="224" t="str">
        <f>IF(C109="","",IF(IN_DATA!R104=3, IF(IN_DATA!$L$4=5, 250, 375), 0))</f>
        <v/>
      </c>
      <c r="W109" s="97" t="str">
        <f t="shared" si="25"/>
        <v/>
      </c>
      <c r="X109" s="97" t="str">
        <f t="shared" si="26"/>
        <v/>
      </c>
      <c r="Y109" s="97" t="str">
        <f t="shared" si="27"/>
        <v/>
      </c>
      <c r="Z109" s="97" t="str">
        <f t="shared" si="28"/>
        <v/>
      </c>
      <c r="AA109" s="97" t="str">
        <f t="shared" si="29"/>
        <v/>
      </c>
      <c r="AB109" s="97" t="str">
        <f t="shared" si="30"/>
        <v/>
      </c>
      <c r="AC109" s="97" t="str">
        <f t="shared" si="31"/>
        <v/>
      </c>
      <c r="AD109" s="228" t="str">
        <f t="shared" si="32"/>
        <v/>
      </c>
      <c r="AE109" s="266" t="str">
        <f t="shared" si="33"/>
        <v/>
      </c>
    </row>
    <row r="110" spans="1:31" x14ac:dyDescent="0.2">
      <c r="A110" s="3">
        <v>100</v>
      </c>
      <c r="B110" s="3">
        <f t="shared" ref="B110:B173" si="36">A110+$B$5</f>
        <v>2112</v>
      </c>
      <c r="C110" s="149" t="str">
        <f>IN_DATA!P105</f>
        <v/>
      </c>
      <c r="D110" s="33" t="str">
        <f>IN_DATA!Q105</f>
        <v/>
      </c>
      <c r="F110" s="4">
        <f t="shared" ref="F110:F173" si="37">B110</f>
        <v>2112</v>
      </c>
      <c r="G110" s="24" t="str">
        <f>IF(C110="","",IN_DATA!C105*OCF*FPF)</f>
        <v/>
      </c>
      <c r="H110" s="24" t="str">
        <f>IF(C110="","",IN_DATA!D105*OCF*FPF)</f>
        <v/>
      </c>
      <c r="I110" s="24" t="str">
        <f>IF(C110="","",IN_DATA!E105)</f>
        <v/>
      </c>
      <c r="J110" s="24" t="str">
        <f>IF(C110="","",IN_DATA!F105)</f>
        <v/>
      </c>
      <c r="K110" s="24" t="str">
        <f>IF(C110="","",IN_DATA!H105)</f>
        <v/>
      </c>
      <c r="L110" s="155" t="str">
        <f>IF(C110="","",IN_DATA!G105)</f>
        <v/>
      </c>
      <c r="M110" s="154"/>
      <c r="N110" s="220" t="str">
        <f>IF(C110="","",IN_DATA!P105)</f>
        <v/>
      </c>
      <c r="O110" s="112" t="str">
        <f>IF(C110="","",IN_DATA!Q105)</f>
        <v/>
      </c>
      <c r="P110" s="25" t="str">
        <f t="shared" si="19"/>
        <v/>
      </c>
      <c r="Q110" s="25" t="str">
        <f t="shared" si="20"/>
        <v/>
      </c>
      <c r="R110" s="25" t="str">
        <f t="shared" si="21"/>
        <v/>
      </c>
      <c r="S110" s="25" t="str">
        <f t="shared" si="22"/>
        <v/>
      </c>
      <c r="T110" s="25" t="str">
        <f t="shared" si="23"/>
        <v/>
      </c>
      <c r="U110" s="72" t="str">
        <f t="shared" si="24"/>
        <v/>
      </c>
      <c r="V110" s="224" t="str">
        <f>IF(C110="","",IF(IN_DATA!R105=3, IF(IN_DATA!$L$4=5, 250, 375), 0))</f>
        <v/>
      </c>
      <c r="W110" s="97" t="str">
        <f t="shared" si="25"/>
        <v/>
      </c>
      <c r="X110" s="97" t="str">
        <f t="shared" si="26"/>
        <v/>
      </c>
      <c r="Y110" s="97" t="str">
        <f t="shared" si="27"/>
        <v/>
      </c>
      <c r="Z110" s="97" t="str">
        <f t="shared" si="28"/>
        <v/>
      </c>
      <c r="AA110" s="97" t="str">
        <f t="shared" si="29"/>
        <v/>
      </c>
      <c r="AB110" s="97" t="str">
        <f t="shared" si="30"/>
        <v/>
      </c>
      <c r="AC110" s="97" t="str">
        <f t="shared" si="31"/>
        <v/>
      </c>
      <c r="AD110" s="228" t="str">
        <f t="shared" si="32"/>
        <v/>
      </c>
      <c r="AE110" s="266" t="str">
        <f t="shared" si="33"/>
        <v/>
      </c>
    </row>
    <row r="111" spans="1:31" x14ac:dyDescent="0.2">
      <c r="A111" s="3">
        <v>101</v>
      </c>
      <c r="B111" s="3">
        <f t="shared" si="36"/>
        <v>2113</v>
      </c>
      <c r="C111" s="149" t="str">
        <f>IN_DATA!P106</f>
        <v/>
      </c>
      <c r="D111" s="33" t="str">
        <f>IN_DATA!Q106</f>
        <v/>
      </c>
      <c r="F111" s="4">
        <f t="shared" si="37"/>
        <v>2113</v>
      </c>
      <c r="G111" s="24" t="str">
        <f>IF(C111="","",IN_DATA!C106*OCF*FPF)</f>
        <v/>
      </c>
      <c r="H111" s="24" t="str">
        <f>IF(C111="","",IN_DATA!D106*OCF*FPF)</f>
        <v/>
      </c>
      <c r="I111" s="24" t="str">
        <f>IF(C111="","",IN_DATA!E106)</f>
        <v/>
      </c>
      <c r="J111" s="24" t="str">
        <f>IF(C111="","",IN_DATA!F106)</f>
        <v/>
      </c>
      <c r="K111" s="24" t="str">
        <f>IF(C111="","",IN_DATA!H106)</f>
        <v/>
      </c>
      <c r="L111" s="155" t="str">
        <f>IF(C111="","",IN_DATA!G106)</f>
        <v/>
      </c>
      <c r="M111" s="154"/>
      <c r="N111" s="220" t="str">
        <f>IF(C111="","",IN_DATA!P106)</f>
        <v/>
      </c>
      <c r="O111" s="112" t="str">
        <f>IF(C111="","",IN_DATA!Q106)</f>
        <v/>
      </c>
      <c r="P111" s="25" t="str">
        <f t="shared" si="19"/>
        <v/>
      </c>
      <c r="Q111" s="25" t="str">
        <f t="shared" si="20"/>
        <v/>
      </c>
      <c r="R111" s="25" t="str">
        <f t="shared" si="21"/>
        <v/>
      </c>
      <c r="S111" s="25" t="str">
        <f t="shared" si="22"/>
        <v/>
      </c>
      <c r="T111" s="25" t="str">
        <f t="shared" si="23"/>
        <v/>
      </c>
      <c r="U111" s="72" t="str">
        <f t="shared" si="24"/>
        <v/>
      </c>
      <c r="V111" s="224" t="str">
        <f>IF(C111="","",IF(IN_DATA!R106=3, IF(IN_DATA!$L$4=5, 250, 375), 0))</f>
        <v/>
      </c>
      <c r="W111" s="97" t="str">
        <f t="shared" si="25"/>
        <v/>
      </c>
      <c r="X111" s="97" t="str">
        <f t="shared" si="26"/>
        <v/>
      </c>
      <c r="Y111" s="97" t="str">
        <f t="shared" si="27"/>
        <v/>
      </c>
      <c r="Z111" s="97" t="str">
        <f t="shared" si="28"/>
        <v/>
      </c>
      <c r="AA111" s="97" t="str">
        <f t="shared" si="29"/>
        <v/>
      </c>
      <c r="AB111" s="97" t="str">
        <f t="shared" si="30"/>
        <v/>
      </c>
      <c r="AC111" s="97" t="str">
        <f t="shared" si="31"/>
        <v/>
      </c>
      <c r="AD111" s="228" t="str">
        <f t="shared" si="32"/>
        <v/>
      </c>
      <c r="AE111" s="266" t="str">
        <f t="shared" si="33"/>
        <v/>
      </c>
    </row>
    <row r="112" spans="1:31" x14ac:dyDescent="0.2">
      <c r="A112" s="3">
        <v>102</v>
      </c>
      <c r="B112" s="3">
        <f t="shared" si="36"/>
        <v>2114</v>
      </c>
      <c r="C112" s="149" t="str">
        <f>IN_DATA!P107</f>
        <v/>
      </c>
      <c r="D112" s="33" t="str">
        <f>IN_DATA!Q107</f>
        <v/>
      </c>
      <c r="F112" s="4">
        <f t="shared" si="37"/>
        <v>2114</v>
      </c>
      <c r="G112" s="24" t="str">
        <f>IF(C112="","",IN_DATA!C107*OCF*FPF)</f>
        <v/>
      </c>
      <c r="H112" s="24" t="str">
        <f>IF(C112="","",IN_DATA!D107*OCF*FPF)</f>
        <v/>
      </c>
      <c r="I112" s="24" t="str">
        <f>IF(C112="","",IN_DATA!E107)</f>
        <v/>
      </c>
      <c r="J112" s="24" t="str">
        <f>IF(C112="","",IN_DATA!F107)</f>
        <v/>
      </c>
      <c r="K112" s="24" t="str">
        <f>IF(C112="","",IN_DATA!H107)</f>
        <v/>
      </c>
      <c r="L112" s="155" t="str">
        <f>IF(C112="","",IN_DATA!G107)</f>
        <v/>
      </c>
      <c r="M112" s="154"/>
      <c r="N112" s="220" t="str">
        <f>IF(C112="","",IN_DATA!P107)</f>
        <v/>
      </c>
      <c r="O112" s="112" t="str">
        <f>IF(C112="","",IN_DATA!Q107)</f>
        <v/>
      </c>
      <c r="P112" s="25" t="str">
        <f t="shared" si="19"/>
        <v/>
      </c>
      <c r="Q112" s="25" t="str">
        <f t="shared" si="20"/>
        <v/>
      </c>
      <c r="R112" s="25" t="str">
        <f t="shared" si="21"/>
        <v/>
      </c>
      <c r="S112" s="25" t="str">
        <f t="shared" si="22"/>
        <v/>
      </c>
      <c r="T112" s="25" t="str">
        <f t="shared" si="23"/>
        <v/>
      </c>
      <c r="U112" s="72" t="str">
        <f t="shared" si="24"/>
        <v/>
      </c>
      <c r="V112" s="224" t="str">
        <f>IF(C112="","",IF(IN_DATA!R107=3, IF(IN_DATA!$L$4=5, 250, 375), 0))</f>
        <v/>
      </c>
      <c r="W112" s="97" t="str">
        <f t="shared" si="25"/>
        <v/>
      </c>
      <c r="X112" s="97" t="str">
        <f t="shared" si="26"/>
        <v/>
      </c>
      <c r="Y112" s="97" t="str">
        <f t="shared" si="27"/>
        <v/>
      </c>
      <c r="Z112" s="97" t="str">
        <f t="shared" si="28"/>
        <v/>
      </c>
      <c r="AA112" s="97" t="str">
        <f t="shared" si="29"/>
        <v/>
      </c>
      <c r="AB112" s="97" t="str">
        <f t="shared" si="30"/>
        <v/>
      </c>
      <c r="AC112" s="97" t="str">
        <f t="shared" si="31"/>
        <v/>
      </c>
      <c r="AD112" s="228" t="str">
        <f t="shared" si="32"/>
        <v/>
      </c>
      <c r="AE112" s="266" t="str">
        <f t="shared" si="33"/>
        <v/>
      </c>
    </row>
    <row r="113" spans="1:31" x14ac:dyDescent="0.2">
      <c r="A113" s="3">
        <v>103</v>
      </c>
      <c r="B113" s="3">
        <f t="shared" si="36"/>
        <v>2115</v>
      </c>
      <c r="C113" s="149" t="str">
        <f>IN_DATA!P108</f>
        <v/>
      </c>
      <c r="D113" s="33" t="str">
        <f>IN_DATA!Q108</f>
        <v/>
      </c>
      <c r="F113" s="4">
        <f t="shared" si="37"/>
        <v>2115</v>
      </c>
      <c r="G113" s="24" t="str">
        <f>IF(C113="","",IN_DATA!C108*OCF*FPF)</f>
        <v/>
      </c>
      <c r="H113" s="24" t="str">
        <f>IF(C113="","",IN_DATA!D108*OCF*FPF)</f>
        <v/>
      </c>
      <c r="I113" s="24" t="str">
        <f>IF(C113="","",IN_DATA!E108)</f>
        <v/>
      </c>
      <c r="J113" s="24" t="str">
        <f>IF(C113="","",IN_DATA!F108)</f>
        <v/>
      </c>
      <c r="K113" s="24" t="str">
        <f>IF(C113="","",IN_DATA!H108)</f>
        <v/>
      </c>
      <c r="L113" s="155" t="str">
        <f>IF(C113="","",IN_DATA!G108)</f>
        <v/>
      </c>
      <c r="M113" s="154"/>
      <c r="N113" s="220" t="str">
        <f>IF(C113="","",IN_DATA!P108)</f>
        <v/>
      </c>
      <c r="O113" s="112" t="str">
        <f>IF(C113="","",IN_DATA!Q108)</f>
        <v/>
      </c>
      <c r="P113" s="25" t="str">
        <f t="shared" si="19"/>
        <v/>
      </c>
      <c r="Q113" s="25" t="str">
        <f t="shared" si="20"/>
        <v/>
      </c>
      <c r="R113" s="25" t="str">
        <f t="shared" si="21"/>
        <v/>
      </c>
      <c r="S113" s="25" t="str">
        <f t="shared" si="22"/>
        <v/>
      </c>
      <c r="T113" s="25" t="str">
        <f t="shared" si="23"/>
        <v/>
      </c>
      <c r="U113" s="72" t="str">
        <f t="shared" si="24"/>
        <v/>
      </c>
      <c r="V113" s="224" t="str">
        <f>IF(C113="","",IF(IN_DATA!R108=3, IF(IN_DATA!$L$4=5, 250, 375), 0))</f>
        <v/>
      </c>
      <c r="W113" s="97" t="str">
        <f t="shared" si="25"/>
        <v/>
      </c>
      <c r="X113" s="97" t="str">
        <f t="shared" si="26"/>
        <v/>
      </c>
      <c r="Y113" s="97" t="str">
        <f t="shared" si="27"/>
        <v/>
      </c>
      <c r="Z113" s="97" t="str">
        <f t="shared" si="28"/>
        <v/>
      </c>
      <c r="AA113" s="97" t="str">
        <f t="shared" si="29"/>
        <v/>
      </c>
      <c r="AB113" s="97" t="str">
        <f t="shared" si="30"/>
        <v/>
      </c>
      <c r="AC113" s="97" t="str">
        <f t="shared" si="31"/>
        <v/>
      </c>
      <c r="AD113" s="228" t="str">
        <f t="shared" si="32"/>
        <v/>
      </c>
      <c r="AE113" s="266" t="str">
        <f t="shared" si="33"/>
        <v/>
      </c>
    </row>
    <row r="114" spans="1:31" x14ac:dyDescent="0.2">
      <c r="A114" s="3">
        <v>104</v>
      </c>
      <c r="B114" s="3">
        <f t="shared" si="36"/>
        <v>2116</v>
      </c>
      <c r="C114" s="149" t="str">
        <f>IN_DATA!P109</f>
        <v/>
      </c>
      <c r="D114" s="33" t="str">
        <f>IN_DATA!Q109</f>
        <v/>
      </c>
      <c r="F114" s="4">
        <f t="shared" si="37"/>
        <v>2116</v>
      </c>
      <c r="G114" s="24" t="str">
        <f>IF(C114="","",IN_DATA!C109*OCF*FPF)</f>
        <v/>
      </c>
      <c r="H114" s="24" t="str">
        <f>IF(C114="","",IN_DATA!D109*OCF*FPF)</f>
        <v/>
      </c>
      <c r="I114" s="24" t="str">
        <f>IF(C114="","",IN_DATA!E109)</f>
        <v/>
      </c>
      <c r="J114" s="24" t="str">
        <f>IF(C114="","",IN_DATA!F109)</f>
        <v/>
      </c>
      <c r="K114" s="24" t="str">
        <f>IF(C114="","",IN_DATA!H109)</f>
        <v/>
      </c>
      <c r="L114" s="155" t="str">
        <f>IF(C114="","",IN_DATA!G109)</f>
        <v/>
      </c>
      <c r="M114" s="154"/>
      <c r="N114" s="220" t="str">
        <f>IF(C114="","",IN_DATA!P109)</f>
        <v/>
      </c>
      <c r="O114" s="112" t="str">
        <f>IF(C114="","",IN_DATA!Q109)</f>
        <v/>
      </c>
      <c r="P114" s="25" t="str">
        <f t="shared" si="19"/>
        <v/>
      </c>
      <c r="Q114" s="25" t="str">
        <f t="shared" si="20"/>
        <v/>
      </c>
      <c r="R114" s="25" t="str">
        <f t="shared" si="21"/>
        <v/>
      </c>
      <c r="S114" s="25" t="str">
        <f t="shared" si="22"/>
        <v/>
      </c>
      <c r="T114" s="25" t="str">
        <f t="shared" si="23"/>
        <v/>
      </c>
      <c r="U114" s="72" t="str">
        <f t="shared" si="24"/>
        <v/>
      </c>
      <c r="V114" s="224" t="str">
        <f>IF(C114="","",IF(IN_DATA!R109=3, IF(IN_DATA!$L$4=5, 250, 375), 0))</f>
        <v/>
      </c>
      <c r="W114" s="97" t="str">
        <f t="shared" si="25"/>
        <v/>
      </c>
      <c r="X114" s="97" t="str">
        <f t="shared" si="26"/>
        <v/>
      </c>
      <c r="Y114" s="97" t="str">
        <f t="shared" si="27"/>
        <v/>
      </c>
      <c r="Z114" s="97" t="str">
        <f t="shared" si="28"/>
        <v/>
      </c>
      <c r="AA114" s="97" t="str">
        <f t="shared" si="29"/>
        <v/>
      </c>
      <c r="AB114" s="97" t="str">
        <f t="shared" si="30"/>
        <v/>
      </c>
      <c r="AC114" s="97" t="str">
        <f t="shared" si="31"/>
        <v/>
      </c>
      <c r="AD114" s="228" t="str">
        <f t="shared" si="32"/>
        <v/>
      </c>
      <c r="AE114" s="266" t="str">
        <f t="shared" si="33"/>
        <v/>
      </c>
    </row>
    <row r="115" spans="1:31" x14ac:dyDescent="0.2">
      <c r="A115" s="3">
        <v>105</v>
      </c>
      <c r="B115" s="3">
        <f t="shared" si="36"/>
        <v>2117</v>
      </c>
      <c r="C115" s="149" t="str">
        <f>IN_DATA!P110</f>
        <v/>
      </c>
      <c r="D115" s="33" t="str">
        <f>IN_DATA!Q110</f>
        <v/>
      </c>
      <c r="F115" s="4">
        <f t="shared" si="37"/>
        <v>2117</v>
      </c>
      <c r="G115" s="24" t="str">
        <f>IF(C115="","",IN_DATA!C110*OCF*FPF)</f>
        <v/>
      </c>
      <c r="H115" s="24" t="str">
        <f>IF(C115="","",IN_DATA!D110*OCF*FPF)</f>
        <v/>
      </c>
      <c r="I115" s="24" t="str">
        <f>IF(C115="","",IN_DATA!E110)</f>
        <v/>
      </c>
      <c r="J115" s="24" t="str">
        <f>IF(C115="","",IN_DATA!F110)</f>
        <v/>
      </c>
      <c r="K115" s="24" t="str">
        <f>IF(C115="","",IN_DATA!H110)</f>
        <v/>
      </c>
      <c r="L115" s="155" t="str">
        <f>IF(C115="","",IN_DATA!G110)</f>
        <v/>
      </c>
      <c r="M115" s="154"/>
      <c r="N115" s="220" t="str">
        <f>IF(C115="","",IN_DATA!P110)</f>
        <v/>
      </c>
      <c r="O115" s="112" t="str">
        <f>IF(C115="","",IN_DATA!Q110)</f>
        <v/>
      </c>
      <c r="P115" s="25" t="str">
        <f t="shared" si="19"/>
        <v/>
      </c>
      <c r="Q115" s="25" t="str">
        <f t="shared" si="20"/>
        <v/>
      </c>
      <c r="R115" s="25" t="str">
        <f t="shared" si="21"/>
        <v/>
      </c>
      <c r="S115" s="25" t="str">
        <f t="shared" si="22"/>
        <v/>
      </c>
      <c r="T115" s="25" t="str">
        <f t="shared" si="23"/>
        <v/>
      </c>
      <c r="U115" s="72" t="str">
        <f t="shared" si="24"/>
        <v/>
      </c>
      <c r="V115" s="224" t="str">
        <f>IF(C115="","",IF(IN_DATA!R110=3, IF(IN_DATA!$L$4=5, 250, 375), 0))</f>
        <v/>
      </c>
      <c r="W115" s="97" t="str">
        <f t="shared" si="25"/>
        <v/>
      </c>
      <c r="X115" s="97" t="str">
        <f t="shared" si="26"/>
        <v/>
      </c>
      <c r="Y115" s="97" t="str">
        <f t="shared" si="27"/>
        <v/>
      </c>
      <c r="Z115" s="97" t="str">
        <f t="shared" si="28"/>
        <v/>
      </c>
      <c r="AA115" s="97" t="str">
        <f t="shared" si="29"/>
        <v/>
      </c>
      <c r="AB115" s="97" t="str">
        <f t="shared" si="30"/>
        <v/>
      </c>
      <c r="AC115" s="97" t="str">
        <f t="shared" si="31"/>
        <v/>
      </c>
      <c r="AD115" s="228" t="str">
        <f t="shared" si="32"/>
        <v/>
      </c>
      <c r="AE115" s="266" t="str">
        <f t="shared" si="33"/>
        <v/>
      </c>
    </row>
    <row r="116" spans="1:31" x14ac:dyDescent="0.2">
      <c r="A116" s="3">
        <v>106</v>
      </c>
      <c r="B116" s="3">
        <f t="shared" si="36"/>
        <v>2118</v>
      </c>
      <c r="C116" s="149" t="str">
        <f>IN_DATA!P111</f>
        <v/>
      </c>
      <c r="D116" s="33" t="str">
        <f>IN_DATA!Q111</f>
        <v/>
      </c>
      <c r="F116" s="4">
        <f t="shared" si="37"/>
        <v>2118</v>
      </c>
      <c r="G116" s="24" t="str">
        <f>IF(C116="","",IN_DATA!C111*OCF*FPF)</f>
        <v/>
      </c>
      <c r="H116" s="24" t="str">
        <f>IF(C116="","",IN_DATA!D111*OCF*FPF)</f>
        <v/>
      </c>
      <c r="I116" s="24" t="str">
        <f>IF(C116="","",IN_DATA!E111)</f>
        <v/>
      </c>
      <c r="J116" s="24" t="str">
        <f>IF(C116="","",IN_DATA!F111)</f>
        <v/>
      </c>
      <c r="K116" s="24" t="str">
        <f>IF(C116="","",IN_DATA!H111)</f>
        <v/>
      </c>
      <c r="L116" s="155" t="str">
        <f>IF(C116="","",IN_DATA!G111)</f>
        <v/>
      </c>
      <c r="M116" s="154"/>
      <c r="N116" s="220" t="str">
        <f>IF(C116="","",IN_DATA!P111)</f>
        <v/>
      </c>
      <c r="O116" s="112" t="str">
        <f>IF(C116="","",IN_DATA!Q111)</f>
        <v/>
      </c>
      <c r="P116" s="25" t="str">
        <f t="shared" si="19"/>
        <v/>
      </c>
      <c r="Q116" s="25" t="str">
        <f t="shared" si="20"/>
        <v/>
      </c>
      <c r="R116" s="25" t="str">
        <f t="shared" si="21"/>
        <v/>
      </c>
      <c r="S116" s="25" t="str">
        <f t="shared" si="22"/>
        <v/>
      </c>
      <c r="T116" s="25" t="str">
        <f t="shared" si="23"/>
        <v/>
      </c>
      <c r="U116" s="72" t="str">
        <f t="shared" si="24"/>
        <v/>
      </c>
      <c r="V116" s="224" t="str">
        <f>IF(C116="","",IF(IN_DATA!R111=3, IF(IN_DATA!$L$4=5, 250, 375), 0))</f>
        <v/>
      </c>
      <c r="W116" s="97" t="str">
        <f t="shared" si="25"/>
        <v/>
      </c>
      <c r="X116" s="97" t="str">
        <f t="shared" si="26"/>
        <v/>
      </c>
      <c r="Y116" s="97" t="str">
        <f t="shared" si="27"/>
        <v/>
      </c>
      <c r="Z116" s="97" t="str">
        <f t="shared" si="28"/>
        <v/>
      </c>
      <c r="AA116" s="97" t="str">
        <f t="shared" si="29"/>
        <v/>
      </c>
      <c r="AB116" s="97" t="str">
        <f t="shared" si="30"/>
        <v/>
      </c>
      <c r="AC116" s="97" t="str">
        <f t="shared" si="31"/>
        <v/>
      </c>
      <c r="AD116" s="228" t="str">
        <f t="shared" si="32"/>
        <v/>
      </c>
      <c r="AE116" s="266" t="str">
        <f t="shared" si="33"/>
        <v/>
      </c>
    </row>
    <row r="117" spans="1:31" x14ac:dyDescent="0.2">
      <c r="A117" s="3">
        <v>107</v>
      </c>
      <c r="B117" s="3">
        <f t="shared" si="36"/>
        <v>2119</v>
      </c>
      <c r="C117" s="149" t="str">
        <f>IN_DATA!P112</f>
        <v/>
      </c>
      <c r="D117" s="33" t="str">
        <f>IN_DATA!Q112</f>
        <v/>
      </c>
      <c r="F117" s="4">
        <f t="shared" si="37"/>
        <v>2119</v>
      </c>
      <c r="G117" s="24" t="str">
        <f>IF(C117="","",IN_DATA!C112*OCF*FPF)</f>
        <v/>
      </c>
      <c r="H117" s="24" t="str">
        <f>IF(C117="","",IN_DATA!D112*OCF*FPF)</f>
        <v/>
      </c>
      <c r="I117" s="24" t="str">
        <f>IF(C117="","",IN_DATA!E112)</f>
        <v/>
      </c>
      <c r="J117" s="24" t="str">
        <f>IF(C117="","",IN_DATA!F112)</f>
        <v/>
      </c>
      <c r="K117" s="24" t="str">
        <f>IF(C117="","",IN_DATA!H112)</f>
        <v/>
      </c>
      <c r="L117" s="155" t="str">
        <f>IF(C117="","",IN_DATA!G112)</f>
        <v/>
      </c>
      <c r="M117" s="154"/>
      <c r="N117" s="220" t="str">
        <f>IF(C117="","",IN_DATA!P112)</f>
        <v/>
      </c>
      <c r="O117" s="112" t="str">
        <f>IF(C117="","",IN_DATA!Q112)</f>
        <v/>
      </c>
      <c r="P117" s="25" t="str">
        <f t="shared" si="19"/>
        <v/>
      </c>
      <c r="Q117" s="25" t="str">
        <f t="shared" si="20"/>
        <v/>
      </c>
      <c r="R117" s="25" t="str">
        <f t="shared" si="21"/>
        <v/>
      </c>
      <c r="S117" s="25" t="str">
        <f t="shared" si="22"/>
        <v/>
      </c>
      <c r="T117" s="25" t="str">
        <f t="shared" si="23"/>
        <v/>
      </c>
      <c r="U117" s="72" t="str">
        <f t="shared" si="24"/>
        <v/>
      </c>
      <c r="V117" s="224" t="str">
        <f>IF(C117="","",IF(IN_DATA!R112=3, IF(IN_DATA!$L$4=5, 250, 375), 0))</f>
        <v/>
      </c>
      <c r="W117" s="97" t="str">
        <f t="shared" si="25"/>
        <v/>
      </c>
      <c r="X117" s="97" t="str">
        <f t="shared" si="26"/>
        <v/>
      </c>
      <c r="Y117" s="97" t="str">
        <f t="shared" si="27"/>
        <v/>
      </c>
      <c r="Z117" s="97" t="str">
        <f t="shared" si="28"/>
        <v/>
      </c>
      <c r="AA117" s="97" t="str">
        <f t="shared" si="29"/>
        <v/>
      </c>
      <c r="AB117" s="97" t="str">
        <f t="shared" si="30"/>
        <v/>
      </c>
      <c r="AC117" s="97" t="str">
        <f t="shared" si="31"/>
        <v/>
      </c>
      <c r="AD117" s="228" t="str">
        <f t="shared" si="32"/>
        <v/>
      </c>
      <c r="AE117" s="266" t="str">
        <f t="shared" si="33"/>
        <v/>
      </c>
    </row>
    <row r="118" spans="1:31" x14ac:dyDescent="0.2">
      <c r="A118" s="3">
        <v>108</v>
      </c>
      <c r="B118" s="3">
        <f t="shared" si="36"/>
        <v>2120</v>
      </c>
      <c r="C118" s="149" t="str">
        <f>IN_DATA!P113</f>
        <v/>
      </c>
      <c r="D118" s="33" t="str">
        <f>IN_DATA!Q113</f>
        <v/>
      </c>
      <c r="F118" s="4">
        <f t="shared" si="37"/>
        <v>2120</v>
      </c>
      <c r="G118" s="24" t="str">
        <f>IF(C118="","",IN_DATA!C113*OCF*FPF)</f>
        <v/>
      </c>
      <c r="H118" s="24" t="str">
        <f>IF(C118="","",IN_DATA!D113*OCF*FPF)</f>
        <v/>
      </c>
      <c r="I118" s="24" t="str">
        <f>IF(C118="","",IN_DATA!E113)</f>
        <v/>
      </c>
      <c r="J118" s="24" t="str">
        <f>IF(C118="","",IN_DATA!F113)</f>
        <v/>
      </c>
      <c r="K118" s="24" t="str">
        <f>IF(C118="","",IN_DATA!H113)</f>
        <v/>
      </c>
      <c r="L118" s="155" t="str">
        <f>IF(C118="","",IN_DATA!G113)</f>
        <v/>
      </c>
      <c r="M118" s="154"/>
      <c r="N118" s="220" t="str">
        <f>IF(C118="","",IN_DATA!P113)</f>
        <v/>
      </c>
      <c r="O118" s="112" t="str">
        <f>IF(C118="","",IN_DATA!Q113)</f>
        <v/>
      </c>
      <c r="P118" s="25" t="str">
        <f t="shared" si="19"/>
        <v/>
      </c>
      <c r="Q118" s="25" t="str">
        <f t="shared" si="20"/>
        <v/>
      </c>
      <c r="R118" s="25" t="str">
        <f t="shared" si="21"/>
        <v/>
      </c>
      <c r="S118" s="25" t="str">
        <f t="shared" si="22"/>
        <v/>
      </c>
      <c r="T118" s="25" t="str">
        <f t="shared" si="23"/>
        <v/>
      </c>
      <c r="U118" s="72" t="str">
        <f t="shared" si="24"/>
        <v/>
      </c>
      <c r="V118" s="224" t="str">
        <f>IF(C118="","",IF(IN_DATA!R113=3, IF(IN_DATA!$L$4=5, 250, 375), 0))</f>
        <v/>
      </c>
      <c r="W118" s="97" t="str">
        <f t="shared" si="25"/>
        <v/>
      </c>
      <c r="X118" s="97" t="str">
        <f t="shared" si="26"/>
        <v/>
      </c>
      <c r="Y118" s="97" t="str">
        <f t="shared" si="27"/>
        <v/>
      </c>
      <c r="Z118" s="97" t="str">
        <f t="shared" si="28"/>
        <v/>
      </c>
      <c r="AA118" s="97" t="str">
        <f t="shared" si="29"/>
        <v/>
      </c>
      <c r="AB118" s="97" t="str">
        <f t="shared" si="30"/>
        <v/>
      </c>
      <c r="AC118" s="97" t="str">
        <f t="shared" si="31"/>
        <v/>
      </c>
      <c r="AD118" s="228" t="str">
        <f t="shared" si="32"/>
        <v/>
      </c>
      <c r="AE118" s="266" t="str">
        <f t="shared" si="33"/>
        <v/>
      </c>
    </row>
    <row r="119" spans="1:31" x14ac:dyDescent="0.2">
      <c r="A119" s="3">
        <v>109</v>
      </c>
      <c r="B119" s="3">
        <f t="shared" si="36"/>
        <v>2121</v>
      </c>
      <c r="C119" s="149" t="str">
        <f>IN_DATA!P114</f>
        <v/>
      </c>
      <c r="D119" s="33" t="str">
        <f>IN_DATA!Q114</f>
        <v/>
      </c>
      <c r="F119" s="4">
        <f t="shared" si="37"/>
        <v>2121</v>
      </c>
      <c r="G119" s="24" t="str">
        <f>IF(C119="","",IN_DATA!C114*OCF*FPF)</f>
        <v/>
      </c>
      <c r="H119" s="24" t="str">
        <f>IF(C119="","",IN_DATA!D114*OCF*FPF)</f>
        <v/>
      </c>
      <c r="I119" s="24" t="str">
        <f>IF(C119="","",IN_DATA!E114)</f>
        <v/>
      </c>
      <c r="J119" s="24" t="str">
        <f>IF(C119="","",IN_DATA!F114)</f>
        <v/>
      </c>
      <c r="K119" s="24" t="str">
        <f>IF(C119="","",IN_DATA!H114)</f>
        <v/>
      </c>
      <c r="L119" s="155" t="str">
        <f>IF(C119="","",IN_DATA!G114)</f>
        <v/>
      </c>
      <c r="M119" s="154"/>
      <c r="N119" s="220" t="str">
        <f>IF(C119="","",IN_DATA!P114)</f>
        <v/>
      </c>
      <c r="O119" s="112" t="str">
        <f>IF(C119="","",IN_DATA!Q114)</f>
        <v/>
      </c>
      <c r="P119" s="25" t="str">
        <f t="shared" si="19"/>
        <v/>
      </c>
      <c r="Q119" s="25" t="str">
        <f t="shared" si="20"/>
        <v/>
      </c>
      <c r="R119" s="25" t="str">
        <f t="shared" si="21"/>
        <v/>
      </c>
      <c r="S119" s="25" t="str">
        <f t="shared" si="22"/>
        <v/>
      </c>
      <c r="T119" s="25" t="str">
        <f t="shared" si="23"/>
        <v/>
      </c>
      <c r="U119" s="72" t="str">
        <f t="shared" si="24"/>
        <v/>
      </c>
      <c r="V119" s="224" t="str">
        <f>IF(C119="","",IF(IN_DATA!R114=3, IF(IN_DATA!$L$4=5, 250, 375), 0))</f>
        <v/>
      </c>
      <c r="W119" s="97" t="str">
        <f t="shared" si="25"/>
        <v/>
      </c>
      <c r="X119" s="97" t="str">
        <f t="shared" si="26"/>
        <v/>
      </c>
      <c r="Y119" s="97" t="str">
        <f t="shared" si="27"/>
        <v/>
      </c>
      <c r="Z119" s="97" t="str">
        <f t="shared" si="28"/>
        <v/>
      </c>
      <c r="AA119" s="97" t="str">
        <f t="shared" si="29"/>
        <v/>
      </c>
      <c r="AB119" s="97" t="str">
        <f t="shared" si="30"/>
        <v/>
      </c>
      <c r="AC119" s="97" t="str">
        <f t="shared" si="31"/>
        <v/>
      </c>
      <c r="AD119" s="228" t="str">
        <f t="shared" si="32"/>
        <v/>
      </c>
      <c r="AE119" s="266" t="str">
        <f t="shared" si="33"/>
        <v/>
      </c>
    </row>
    <row r="120" spans="1:31" x14ac:dyDescent="0.2">
      <c r="A120" s="3">
        <v>110</v>
      </c>
      <c r="B120" s="3">
        <f t="shared" si="36"/>
        <v>2122</v>
      </c>
      <c r="C120" s="149" t="str">
        <f>IN_DATA!P115</f>
        <v/>
      </c>
      <c r="D120" s="33" t="str">
        <f>IN_DATA!Q115</f>
        <v/>
      </c>
      <c r="F120" s="4">
        <f t="shared" si="37"/>
        <v>2122</v>
      </c>
      <c r="G120" s="24" t="str">
        <f>IF(C120="","",IN_DATA!C115*OCF*FPF)</f>
        <v/>
      </c>
      <c r="H120" s="24" t="str">
        <f>IF(C120="","",IN_DATA!D115*OCF*FPF)</f>
        <v/>
      </c>
      <c r="I120" s="24" t="str">
        <f>IF(C120="","",IN_DATA!E115)</f>
        <v/>
      </c>
      <c r="J120" s="24" t="str">
        <f>IF(C120="","",IN_DATA!F115)</f>
        <v/>
      </c>
      <c r="K120" s="24" t="str">
        <f>IF(C120="","",IN_DATA!H115)</f>
        <v/>
      </c>
      <c r="L120" s="155" t="str">
        <f>IF(C120="","",IN_DATA!G115)</f>
        <v/>
      </c>
      <c r="M120" s="154"/>
      <c r="N120" s="220" t="str">
        <f>IF(C120="","",IN_DATA!P115)</f>
        <v/>
      </c>
      <c r="O120" s="112" t="str">
        <f>IF(C120="","",IN_DATA!Q115)</f>
        <v/>
      </c>
      <c r="P120" s="25" t="str">
        <f t="shared" si="19"/>
        <v/>
      </c>
      <c r="Q120" s="25" t="str">
        <f t="shared" si="20"/>
        <v/>
      </c>
      <c r="R120" s="25" t="str">
        <f t="shared" si="21"/>
        <v/>
      </c>
      <c r="S120" s="25" t="str">
        <f t="shared" si="22"/>
        <v/>
      </c>
      <c r="T120" s="25" t="str">
        <f t="shared" si="23"/>
        <v/>
      </c>
      <c r="U120" s="72" t="str">
        <f t="shared" si="24"/>
        <v/>
      </c>
      <c r="V120" s="224" t="str">
        <f>IF(C120="","",IF(IN_DATA!R115=3, IF(IN_DATA!$L$4=5, 250, 375), 0))</f>
        <v/>
      </c>
      <c r="W120" s="97" t="str">
        <f t="shared" si="25"/>
        <v/>
      </c>
      <c r="X120" s="97" t="str">
        <f t="shared" si="26"/>
        <v/>
      </c>
      <c r="Y120" s="97" t="str">
        <f t="shared" si="27"/>
        <v/>
      </c>
      <c r="Z120" s="97" t="str">
        <f t="shared" si="28"/>
        <v/>
      </c>
      <c r="AA120" s="97" t="str">
        <f t="shared" si="29"/>
        <v/>
      </c>
      <c r="AB120" s="97" t="str">
        <f t="shared" si="30"/>
        <v/>
      </c>
      <c r="AC120" s="97" t="str">
        <f t="shared" si="31"/>
        <v/>
      </c>
      <c r="AD120" s="228" t="str">
        <f t="shared" si="32"/>
        <v/>
      </c>
      <c r="AE120" s="266" t="str">
        <f t="shared" si="33"/>
        <v/>
      </c>
    </row>
    <row r="121" spans="1:31" x14ac:dyDescent="0.2">
      <c r="A121" s="3">
        <v>111</v>
      </c>
      <c r="B121" s="3">
        <f t="shared" si="36"/>
        <v>2123</v>
      </c>
      <c r="C121" s="149" t="str">
        <f>IN_DATA!P116</f>
        <v/>
      </c>
      <c r="D121" s="33" t="str">
        <f>IN_DATA!Q116</f>
        <v/>
      </c>
      <c r="F121" s="4">
        <f t="shared" si="37"/>
        <v>2123</v>
      </c>
      <c r="G121" s="24" t="str">
        <f>IF(C121="","",IN_DATA!C116*OCF*FPF)</f>
        <v/>
      </c>
      <c r="H121" s="24" t="str">
        <f>IF(C121="","",IN_DATA!D116*OCF*FPF)</f>
        <v/>
      </c>
      <c r="I121" s="24" t="str">
        <f>IF(C121="","",IN_DATA!E116)</f>
        <v/>
      </c>
      <c r="J121" s="24" t="str">
        <f>IF(C121="","",IN_DATA!F116)</f>
        <v/>
      </c>
      <c r="K121" s="24" t="str">
        <f>IF(C121="","",IN_DATA!H116)</f>
        <v/>
      </c>
      <c r="L121" s="155" t="str">
        <f>IF(C121="","",IN_DATA!G116)</f>
        <v/>
      </c>
      <c r="M121" s="154"/>
      <c r="N121" s="220" t="str">
        <f>IF(C121="","",IN_DATA!P116)</f>
        <v/>
      </c>
      <c r="O121" s="112" t="str">
        <f>IF(C121="","",IN_DATA!Q116)</f>
        <v/>
      </c>
      <c r="P121" s="25" t="str">
        <f t="shared" si="19"/>
        <v/>
      </c>
      <c r="Q121" s="25" t="str">
        <f t="shared" si="20"/>
        <v/>
      </c>
      <c r="R121" s="25" t="str">
        <f t="shared" si="21"/>
        <v/>
      </c>
      <c r="S121" s="25" t="str">
        <f t="shared" si="22"/>
        <v/>
      </c>
      <c r="T121" s="25" t="str">
        <f t="shared" si="23"/>
        <v/>
      </c>
      <c r="U121" s="72" t="str">
        <f t="shared" si="24"/>
        <v/>
      </c>
      <c r="V121" s="224" t="str">
        <f>IF(C121="","",IF(IN_DATA!R116=3, IF(IN_DATA!$L$4=5, 250, 375), 0))</f>
        <v/>
      </c>
      <c r="W121" s="97" t="str">
        <f t="shared" si="25"/>
        <v/>
      </c>
      <c r="X121" s="97" t="str">
        <f t="shared" si="26"/>
        <v/>
      </c>
      <c r="Y121" s="97" t="str">
        <f t="shared" si="27"/>
        <v/>
      </c>
      <c r="Z121" s="97" t="str">
        <f t="shared" si="28"/>
        <v/>
      </c>
      <c r="AA121" s="97" t="str">
        <f t="shared" si="29"/>
        <v/>
      </c>
      <c r="AB121" s="97" t="str">
        <f t="shared" si="30"/>
        <v/>
      </c>
      <c r="AC121" s="97" t="str">
        <f t="shared" si="31"/>
        <v/>
      </c>
      <c r="AD121" s="228" t="str">
        <f t="shared" si="32"/>
        <v/>
      </c>
      <c r="AE121" s="266" t="str">
        <f t="shared" si="33"/>
        <v/>
      </c>
    </row>
    <row r="122" spans="1:31" x14ac:dyDescent="0.2">
      <c r="A122" s="3">
        <v>112</v>
      </c>
      <c r="B122" s="3">
        <f t="shared" si="36"/>
        <v>2124</v>
      </c>
      <c r="C122" s="149" t="str">
        <f>IN_DATA!P117</f>
        <v/>
      </c>
      <c r="D122" s="33" t="str">
        <f>IN_DATA!Q117</f>
        <v/>
      </c>
      <c r="F122" s="4">
        <f t="shared" si="37"/>
        <v>2124</v>
      </c>
      <c r="G122" s="24" t="str">
        <f>IF(C122="","",IN_DATA!C117*OCF*FPF)</f>
        <v/>
      </c>
      <c r="H122" s="24" t="str">
        <f>IF(C122="","",IN_DATA!D117*OCF*FPF)</f>
        <v/>
      </c>
      <c r="I122" s="24" t="str">
        <f>IF(C122="","",IN_DATA!E117)</f>
        <v/>
      </c>
      <c r="J122" s="24" t="str">
        <f>IF(C122="","",IN_DATA!F117)</f>
        <v/>
      </c>
      <c r="K122" s="24" t="str">
        <f>IF(C122="","",IN_DATA!H117)</f>
        <v/>
      </c>
      <c r="L122" s="155" t="str">
        <f>IF(C122="","",IN_DATA!G117)</f>
        <v/>
      </c>
      <c r="M122" s="154"/>
      <c r="N122" s="220" t="str">
        <f>IF(C122="","",IN_DATA!P117)</f>
        <v/>
      </c>
      <c r="O122" s="112" t="str">
        <f>IF(C122="","",IN_DATA!Q117)</f>
        <v/>
      </c>
      <c r="P122" s="25" t="str">
        <f t="shared" si="19"/>
        <v/>
      </c>
      <c r="Q122" s="25" t="str">
        <f t="shared" si="20"/>
        <v/>
      </c>
      <c r="R122" s="25" t="str">
        <f t="shared" si="21"/>
        <v/>
      </c>
      <c r="S122" s="25" t="str">
        <f t="shared" si="22"/>
        <v/>
      </c>
      <c r="T122" s="25" t="str">
        <f t="shared" si="23"/>
        <v/>
      </c>
      <c r="U122" s="72" t="str">
        <f t="shared" si="24"/>
        <v/>
      </c>
      <c r="V122" s="224" t="str">
        <f>IF(C122="","",IF(IN_DATA!R117=3, IF(IN_DATA!$L$4=5, 250, 375), 0))</f>
        <v/>
      </c>
      <c r="W122" s="97" t="str">
        <f t="shared" si="25"/>
        <v/>
      </c>
      <c r="X122" s="97" t="str">
        <f t="shared" si="26"/>
        <v/>
      </c>
      <c r="Y122" s="97" t="str">
        <f t="shared" si="27"/>
        <v/>
      </c>
      <c r="Z122" s="97" t="str">
        <f t="shared" si="28"/>
        <v/>
      </c>
      <c r="AA122" s="97" t="str">
        <f t="shared" si="29"/>
        <v/>
      </c>
      <c r="AB122" s="97" t="str">
        <f t="shared" si="30"/>
        <v/>
      </c>
      <c r="AC122" s="97" t="str">
        <f t="shared" si="31"/>
        <v/>
      </c>
      <c r="AD122" s="228" t="str">
        <f t="shared" si="32"/>
        <v/>
      </c>
      <c r="AE122" s="266" t="str">
        <f t="shared" si="33"/>
        <v/>
      </c>
    </row>
    <row r="123" spans="1:31" x14ac:dyDescent="0.2">
      <c r="A123" s="3">
        <v>113</v>
      </c>
      <c r="B123" s="3">
        <f t="shared" si="36"/>
        <v>2125</v>
      </c>
      <c r="C123" s="149" t="str">
        <f>IN_DATA!P118</f>
        <v/>
      </c>
      <c r="D123" s="33" t="str">
        <f>IN_DATA!Q118</f>
        <v/>
      </c>
      <c r="F123" s="4">
        <f t="shared" si="37"/>
        <v>2125</v>
      </c>
      <c r="G123" s="24" t="str">
        <f>IF(C123="","",IN_DATA!C118*OCF*FPF)</f>
        <v/>
      </c>
      <c r="H123" s="24" t="str">
        <f>IF(C123="","",IN_DATA!D118*OCF*FPF)</f>
        <v/>
      </c>
      <c r="I123" s="24" t="str">
        <f>IF(C123="","",IN_DATA!E118)</f>
        <v/>
      </c>
      <c r="J123" s="24" t="str">
        <f>IF(C123="","",IN_DATA!F118)</f>
        <v/>
      </c>
      <c r="K123" s="24" t="str">
        <f>IF(C123="","",IN_DATA!H118)</f>
        <v/>
      </c>
      <c r="L123" s="155" t="str">
        <f>IF(C123="","",IN_DATA!G118)</f>
        <v/>
      </c>
      <c r="M123" s="154"/>
      <c r="N123" s="220" t="str">
        <f>IF(C123="","",IN_DATA!P118)</f>
        <v/>
      </c>
      <c r="O123" s="112" t="str">
        <f>IF(C123="","",IN_DATA!Q118)</f>
        <v/>
      </c>
      <c r="P123" s="25" t="str">
        <f t="shared" si="19"/>
        <v/>
      </c>
      <c r="Q123" s="25" t="str">
        <f t="shared" si="20"/>
        <v/>
      </c>
      <c r="R123" s="25" t="str">
        <f t="shared" si="21"/>
        <v/>
      </c>
      <c r="S123" s="25" t="str">
        <f t="shared" si="22"/>
        <v/>
      </c>
      <c r="T123" s="25" t="str">
        <f t="shared" si="23"/>
        <v/>
      </c>
      <c r="U123" s="72" t="str">
        <f t="shared" si="24"/>
        <v/>
      </c>
      <c r="V123" s="224" t="str">
        <f>IF(C123="","",IF(IN_DATA!R118=3, IF(IN_DATA!$L$4=5, 250, 375), 0))</f>
        <v/>
      </c>
      <c r="W123" s="97" t="str">
        <f t="shared" si="25"/>
        <v/>
      </c>
      <c r="X123" s="97" t="str">
        <f t="shared" si="26"/>
        <v/>
      </c>
      <c r="Y123" s="97" t="str">
        <f t="shared" si="27"/>
        <v/>
      </c>
      <c r="Z123" s="97" t="str">
        <f t="shared" si="28"/>
        <v/>
      </c>
      <c r="AA123" s="97" t="str">
        <f t="shared" si="29"/>
        <v/>
      </c>
      <c r="AB123" s="97" t="str">
        <f t="shared" si="30"/>
        <v/>
      </c>
      <c r="AC123" s="97" t="str">
        <f t="shared" si="31"/>
        <v/>
      </c>
      <c r="AD123" s="228" t="str">
        <f t="shared" si="32"/>
        <v/>
      </c>
      <c r="AE123" s="266" t="str">
        <f t="shared" si="33"/>
        <v/>
      </c>
    </row>
    <row r="124" spans="1:31" x14ac:dyDescent="0.2">
      <c r="A124" s="3">
        <v>114</v>
      </c>
      <c r="B124" s="3">
        <f t="shared" si="36"/>
        <v>2126</v>
      </c>
      <c r="C124" s="149" t="str">
        <f>IN_DATA!P119</f>
        <v/>
      </c>
      <c r="D124" s="33" t="str">
        <f>IN_DATA!Q119</f>
        <v/>
      </c>
      <c r="F124" s="4">
        <f t="shared" si="37"/>
        <v>2126</v>
      </c>
      <c r="G124" s="24" t="str">
        <f>IF(C124="","",IN_DATA!C119*OCF*FPF)</f>
        <v/>
      </c>
      <c r="H124" s="24" t="str">
        <f>IF(C124="","",IN_DATA!D119*OCF*FPF)</f>
        <v/>
      </c>
      <c r="I124" s="24" t="str">
        <f>IF(C124="","",IN_DATA!E119)</f>
        <v/>
      </c>
      <c r="J124" s="24" t="str">
        <f>IF(C124="","",IN_DATA!F119)</f>
        <v/>
      </c>
      <c r="K124" s="24" t="str">
        <f>IF(C124="","",IN_DATA!H119)</f>
        <v/>
      </c>
      <c r="L124" s="155" t="str">
        <f>IF(C124="","",IN_DATA!G119)</f>
        <v/>
      </c>
      <c r="M124" s="154"/>
      <c r="N124" s="220" t="str">
        <f>IF(C124="","",IN_DATA!P119)</f>
        <v/>
      </c>
      <c r="O124" s="112" t="str">
        <f>IF(C124="","",IN_DATA!Q119)</f>
        <v/>
      </c>
      <c r="P124" s="25" t="str">
        <f t="shared" si="19"/>
        <v/>
      </c>
      <c r="Q124" s="25" t="str">
        <f t="shared" si="20"/>
        <v/>
      </c>
      <c r="R124" s="25" t="str">
        <f t="shared" si="21"/>
        <v/>
      </c>
      <c r="S124" s="25" t="str">
        <f t="shared" si="22"/>
        <v/>
      </c>
      <c r="T124" s="25" t="str">
        <f t="shared" si="23"/>
        <v/>
      </c>
      <c r="U124" s="72" t="str">
        <f t="shared" si="24"/>
        <v/>
      </c>
      <c r="V124" s="224" t="str">
        <f>IF(C124="","",IF(IN_DATA!R119=3, IF(IN_DATA!$L$4=5, 250, 375), 0))</f>
        <v/>
      </c>
      <c r="W124" s="97" t="str">
        <f t="shared" si="25"/>
        <v/>
      </c>
      <c r="X124" s="97" t="str">
        <f t="shared" si="26"/>
        <v/>
      </c>
      <c r="Y124" s="97" t="str">
        <f t="shared" si="27"/>
        <v/>
      </c>
      <c r="Z124" s="97" t="str">
        <f t="shared" si="28"/>
        <v/>
      </c>
      <c r="AA124" s="97" t="str">
        <f t="shared" si="29"/>
        <v/>
      </c>
      <c r="AB124" s="97" t="str">
        <f t="shared" si="30"/>
        <v/>
      </c>
      <c r="AC124" s="97" t="str">
        <f t="shared" si="31"/>
        <v/>
      </c>
      <c r="AD124" s="228" t="str">
        <f t="shared" si="32"/>
        <v/>
      </c>
      <c r="AE124" s="266" t="str">
        <f t="shared" si="33"/>
        <v/>
      </c>
    </row>
    <row r="125" spans="1:31" x14ac:dyDescent="0.2">
      <c r="A125" s="3">
        <v>115</v>
      </c>
      <c r="B125" s="3">
        <f t="shared" si="36"/>
        <v>2127</v>
      </c>
      <c r="C125" s="149" t="str">
        <f>IN_DATA!P120</f>
        <v/>
      </c>
      <c r="D125" s="33" t="str">
        <f>IN_DATA!Q120</f>
        <v/>
      </c>
      <c r="F125" s="4">
        <f t="shared" si="37"/>
        <v>2127</v>
      </c>
      <c r="G125" s="24" t="str">
        <f>IF(C125="","",IN_DATA!C120*OCF*FPF)</f>
        <v/>
      </c>
      <c r="H125" s="24" t="str">
        <f>IF(C125="","",IN_DATA!D120*OCF*FPF)</f>
        <v/>
      </c>
      <c r="I125" s="24" t="str">
        <f>IF(C125="","",IN_DATA!E120)</f>
        <v/>
      </c>
      <c r="J125" s="24" t="str">
        <f>IF(C125="","",IN_DATA!F120)</f>
        <v/>
      </c>
      <c r="K125" s="24" t="str">
        <f>IF(C125="","",IN_DATA!H120)</f>
        <v/>
      </c>
      <c r="L125" s="155" t="str">
        <f>IF(C125="","",IN_DATA!G120)</f>
        <v/>
      </c>
      <c r="M125" s="154"/>
      <c r="N125" s="220" t="str">
        <f>IF(C125="","",IN_DATA!P120)</f>
        <v/>
      </c>
      <c r="O125" s="112" t="str">
        <f>IF(C125="","",IN_DATA!Q120)</f>
        <v/>
      </c>
      <c r="P125" s="25" t="str">
        <f t="shared" si="19"/>
        <v/>
      </c>
      <c r="Q125" s="25" t="str">
        <f t="shared" si="20"/>
        <v/>
      </c>
      <c r="R125" s="25" t="str">
        <f t="shared" si="21"/>
        <v/>
      </c>
      <c r="S125" s="25" t="str">
        <f t="shared" si="22"/>
        <v/>
      </c>
      <c r="T125" s="25" t="str">
        <f t="shared" si="23"/>
        <v/>
      </c>
      <c r="U125" s="72" t="str">
        <f t="shared" si="24"/>
        <v/>
      </c>
      <c r="V125" s="224" t="str">
        <f>IF(C125="","",IF(IN_DATA!R120=3, IF(IN_DATA!$L$4=5, 250, 375), 0))</f>
        <v/>
      </c>
      <c r="W125" s="97" t="str">
        <f t="shared" si="25"/>
        <v/>
      </c>
      <c r="X125" s="97" t="str">
        <f t="shared" si="26"/>
        <v/>
      </c>
      <c r="Y125" s="97" t="str">
        <f t="shared" si="27"/>
        <v/>
      </c>
      <c r="Z125" s="97" t="str">
        <f t="shared" si="28"/>
        <v/>
      </c>
      <c r="AA125" s="97" t="str">
        <f t="shared" si="29"/>
        <v/>
      </c>
      <c r="AB125" s="97" t="str">
        <f t="shared" si="30"/>
        <v/>
      </c>
      <c r="AC125" s="97" t="str">
        <f t="shared" si="31"/>
        <v/>
      </c>
      <c r="AD125" s="228" t="str">
        <f t="shared" si="32"/>
        <v/>
      </c>
      <c r="AE125" s="266" t="str">
        <f t="shared" si="33"/>
        <v/>
      </c>
    </row>
    <row r="126" spans="1:31" x14ac:dyDescent="0.2">
      <c r="A126" s="3">
        <v>116</v>
      </c>
      <c r="B126" s="3">
        <f t="shared" si="36"/>
        <v>2128</v>
      </c>
      <c r="C126" s="149" t="str">
        <f>IN_DATA!P121</f>
        <v/>
      </c>
      <c r="D126" s="33" t="str">
        <f>IN_DATA!Q121</f>
        <v/>
      </c>
      <c r="F126" s="4">
        <f t="shared" si="37"/>
        <v>2128</v>
      </c>
      <c r="G126" s="24" t="str">
        <f>IF(C126="","",IN_DATA!C121*OCF*FPF)</f>
        <v/>
      </c>
      <c r="H126" s="24" t="str">
        <f>IF(C126="","",IN_DATA!D121*OCF*FPF)</f>
        <v/>
      </c>
      <c r="I126" s="24" t="str">
        <f>IF(C126="","",IN_DATA!E121)</f>
        <v/>
      </c>
      <c r="J126" s="24" t="str">
        <f>IF(C126="","",IN_DATA!F121)</f>
        <v/>
      </c>
      <c r="K126" s="24" t="str">
        <f>IF(C126="","",IN_DATA!H121)</f>
        <v/>
      </c>
      <c r="L126" s="155" t="str">
        <f>IF(C126="","",IN_DATA!G121)</f>
        <v/>
      </c>
      <c r="M126" s="154"/>
      <c r="N126" s="220" t="str">
        <f>IF(C126="","",IN_DATA!P121)</f>
        <v/>
      </c>
      <c r="O126" s="112" t="str">
        <f>IF(C126="","",IN_DATA!Q121)</f>
        <v/>
      </c>
      <c r="P126" s="25" t="str">
        <f t="shared" si="19"/>
        <v/>
      </c>
      <c r="Q126" s="25" t="str">
        <f t="shared" si="20"/>
        <v/>
      </c>
      <c r="R126" s="25" t="str">
        <f t="shared" si="21"/>
        <v/>
      </c>
      <c r="S126" s="25" t="str">
        <f t="shared" si="22"/>
        <v/>
      </c>
      <c r="T126" s="25" t="str">
        <f t="shared" si="23"/>
        <v/>
      </c>
      <c r="U126" s="72" t="str">
        <f t="shared" si="24"/>
        <v/>
      </c>
      <c r="V126" s="224" t="str">
        <f>IF(C126="","",IF(IN_DATA!R121=3, IF(IN_DATA!$L$4=5, 250, 375), 0))</f>
        <v/>
      </c>
      <c r="W126" s="97" t="str">
        <f t="shared" si="25"/>
        <v/>
      </c>
      <c r="X126" s="97" t="str">
        <f t="shared" si="26"/>
        <v/>
      </c>
      <c r="Y126" s="97" t="str">
        <f t="shared" si="27"/>
        <v/>
      </c>
      <c r="Z126" s="97" t="str">
        <f t="shared" si="28"/>
        <v/>
      </c>
      <c r="AA126" s="97" t="str">
        <f t="shared" si="29"/>
        <v/>
      </c>
      <c r="AB126" s="97" t="str">
        <f t="shared" si="30"/>
        <v/>
      </c>
      <c r="AC126" s="97" t="str">
        <f t="shared" si="31"/>
        <v/>
      </c>
      <c r="AD126" s="228" t="str">
        <f t="shared" si="32"/>
        <v/>
      </c>
      <c r="AE126" s="266" t="str">
        <f t="shared" si="33"/>
        <v/>
      </c>
    </row>
    <row r="127" spans="1:31" x14ac:dyDescent="0.2">
      <c r="A127" s="3">
        <v>117</v>
      </c>
      <c r="B127" s="3">
        <f t="shared" si="36"/>
        <v>2129</v>
      </c>
      <c r="C127" s="149" t="str">
        <f>IN_DATA!P122</f>
        <v/>
      </c>
      <c r="D127" s="33" t="str">
        <f>IN_DATA!Q122</f>
        <v/>
      </c>
      <c r="F127" s="4">
        <f t="shared" si="37"/>
        <v>2129</v>
      </c>
      <c r="G127" s="24" t="str">
        <f>IF(C127="","",IN_DATA!C122*OCF*FPF)</f>
        <v/>
      </c>
      <c r="H127" s="24" t="str">
        <f>IF(C127="","",IN_DATA!D122*OCF*FPF)</f>
        <v/>
      </c>
      <c r="I127" s="24" t="str">
        <f>IF(C127="","",IN_DATA!E122)</f>
        <v/>
      </c>
      <c r="J127" s="24" t="str">
        <f>IF(C127="","",IN_DATA!F122)</f>
        <v/>
      </c>
      <c r="K127" s="24" t="str">
        <f>IF(C127="","",IN_DATA!H122)</f>
        <v/>
      </c>
      <c r="L127" s="155" t="str">
        <f>IF(C127="","",IN_DATA!G122)</f>
        <v/>
      </c>
      <c r="M127" s="154"/>
      <c r="N127" s="220" t="str">
        <f>IF(C127="","",IN_DATA!P122)</f>
        <v/>
      </c>
      <c r="O127" s="112" t="str">
        <f>IF(C127="","",IN_DATA!Q122)</f>
        <v/>
      </c>
      <c r="P127" s="25" t="str">
        <f t="shared" si="19"/>
        <v/>
      </c>
      <c r="Q127" s="25" t="str">
        <f t="shared" si="20"/>
        <v/>
      </c>
      <c r="R127" s="25" t="str">
        <f t="shared" si="21"/>
        <v/>
      </c>
      <c r="S127" s="25" t="str">
        <f t="shared" si="22"/>
        <v/>
      </c>
      <c r="T127" s="25" t="str">
        <f t="shared" si="23"/>
        <v/>
      </c>
      <c r="U127" s="72" t="str">
        <f t="shared" si="24"/>
        <v/>
      </c>
      <c r="V127" s="224" t="str">
        <f>IF(C127="","",IF(IN_DATA!R122=3, IF(IN_DATA!$L$4=5, 250, 375), 0))</f>
        <v/>
      </c>
      <c r="W127" s="97" t="str">
        <f t="shared" si="25"/>
        <v/>
      </c>
      <c r="X127" s="97" t="str">
        <f t="shared" si="26"/>
        <v/>
      </c>
      <c r="Y127" s="97" t="str">
        <f t="shared" si="27"/>
        <v/>
      </c>
      <c r="Z127" s="97" t="str">
        <f t="shared" si="28"/>
        <v/>
      </c>
      <c r="AA127" s="97" t="str">
        <f t="shared" si="29"/>
        <v/>
      </c>
      <c r="AB127" s="97" t="str">
        <f t="shared" si="30"/>
        <v/>
      </c>
      <c r="AC127" s="97" t="str">
        <f t="shared" si="31"/>
        <v/>
      </c>
      <c r="AD127" s="228" t="str">
        <f t="shared" si="32"/>
        <v/>
      </c>
      <c r="AE127" s="266" t="str">
        <f t="shared" si="33"/>
        <v/>
      </c>
    </row>
    <row r="128" spans="1:31" x14ac:dyDescent="0.2">
      <c r="A128" s="3">
        <v>118</v>
      </c>
      <c r="B128" s="3">
        <f t="shared" si="36"/>
        <v>2130</v>
      </c>
      <c r="C128" s="149" t="str">
        <f>IN_DATA!P123</f>
        <v/>
      </c>
      <c r="D128" s="33" t="str">
        <f>IN_DATA!Q123</f>
        <v/>
      </c>
      <c r="F128" s="4">
        <f t="shared" si="37"/>
        <v>2130</v>
      </c>
      <c r="G128" s="24" t="str">
        <f>IF(C128="","",IN_DATA!C123*OCF*FPF)</f>
        <v/>
      </c>
      <c r="H128" s="24" t="str">
        <f>IF(C128="","",IN_DATA!D123*OCF*FPF)</f>
        <v/>
      </c>
      <c r="I128" s="24" t="str">
        <f>IF(C128="","",IN_DATA!E123)</f>
        <v/>
      </c>
      <c r="J128" s="24" t="str">
        <f>IF(C128="","",IN_DATA!F123)</f>
        <v/>
      </c>
      <c r="K128" s="24" t="str">
        <f>IF(C128="","",IN_DATA!H123)</f>
        <v/>
      </c>
      <c r="L128" s="155" t="str">
        <f>IF(C128="","",IN_DATA!G123)</f>
        <v/>
      </c>
      <c r="M128" s="154"/>
      <c r="N128" s="220" t="str">
        <f>IF(C128="","",IN_DATA!P123)</f>
        <v/>
      </c>
      <c r="O128" s="112" t="str">
        <f>IF(C128="","",IN_DATA!Q123)</f>
        <v/>
      </c>
      <c r="P128" s="25" t="str">
        <f t="shared" si="19"/>
        <v/>
      </c>
      <c r="Q128" s="25" t="str">
        <f t="shared" si="20"/>
        <v/>
      </c>
      <c r="R128" s="25" t="str">
        <f t="shared" si="21"/>
        <v/>
      </c>
      <c r="S128" s="25" t="str">
        <f t="shared" si="22"/>
        <v/>
      </c>
      <c r="T128" s="25" t="str">
        <f t="shared" si="23"/>
        <v/>
      </c>
      <c r="U128" s="72" t="str">
        <f t="shared" si="24"/>
        <v/>
      </c>
      <c r="V128" s="224" t="str">
        <f>IF(C128="","",IF(IN_DATA!R123=3, IF(IN_DATA!$L$4=5, 250, 375), 0))</f>
        <v/>
      </c>
      <c r="W128" s="97" t="str">
        <f t="shared" si="25"/>
        <v/>
      </c>
      <c r="X128" s="97" t="str">
        <f t="shared" si="26"/>
        <v/>
      </c>
      <c r="Y128" s="97" t="str">
        <f t="shared" si="27"/>
        <v/>
      </c>
      <c r="Z128" s="97" t="str">
        <f t="shared" si="28"/>
        <v/>
      </c>
      <c r="AA128" s="97" t="str">
        <f t="shared" si="29"/>
        <v/>
      </c>
      <c r="AB128" s="97" t="str">
        <f t="shared" si="30"/>
        <v/>
      </c>
      <c r="AC128" s="97" t="str">
        <f t="shared" si="31"/>
        <v/>
      </c>
      <c r="AD128" s="228" t="str">
        <f t="shared" si="32"/>
        <v/>
      </c>
      <c r="AE128" s="266" t="str">
        <f t="shared" si="33"/>
        <v/>
      </c>
    </row>
    <row r="129" spans="1:31" x14ac:dyDescent="0.2">
      <c r="A129" s="3">
        <v>119</v>
      </c>
      <c r="B129" s="3">
        <f t="shared" si="36"/>
        <v>2131</v>
      </c>
      <c r="C129" s="149" t="str">
        <f>IN_DATA!P124</f>
        <v/>
      </c>
      <c r="D129" s="33" t="str">
        <f>IN_DATA!Q124</f>
        <v/>
      </c>
      <c r="F129" s="4">
        <f t="shared" si="37"/>
        <v>2131</v>
      </c>
      <c r="G129" s="24" t="str">
        <f>IF(C129="","",IN_DATA!C124*OCF*FPF)</f>
        <v/>
      </c>
      <c r="H129" s="24" t="str">
        <f>IF(C129="","",IN_DATA!D124*OCF*FPF)</f>
        <v/>
      </c>
      <c r="I129" s="24" t="str">
        <f>IF(C129="","",IN_DATA!E124)</f>
        <v/>
      </c>
      <c r="J129" s="24" t="str">
        <f>IF(C129="","",IN_DATA!F124)</f>
        <v/>
      </c>
      <c r="K129" s="24" t="str">
        <f>IF(C129="","",IN_DATA!H124)</f>
        <v/>
      </c>
      <c r="L129" s="155" t="str">
        <f>IF(C129="","",IN_DATA!G124)</f>
        <v/>
      </c>
      <c r="M129" s="154"/>
      <c r="N129" s="220" t="str">
        <f>IF(C129="","",IN_DATA!P124)</f>
        <v/>
      </c>
      <c r="O129" s="112" t="str">
        <f>IF(C129="","",IN_DATA!Q124)</f>
        <v/>
      </c>
      <c r="P129" s="25" t="str">
        <f t="shared" si="19"/>
        <v/>
      </c>
      <c r="Q129" s="25" t="str">
        <f t="shared" si="20"/>
        <v/>
      </c>
      <c r="R129" s="25" t="str">
        <f t="shared" si="21"/>
        <v/>
      </c>
      <c r="S129" s="25" t="str">
        <f t="shared" si="22"/>
        <v/>
      </c>
      <c r="T129" s="25" t="str">
        <f t="shared" si="23"/>
        <v/>
      </c>
      <c r="U129" s="72" t="str">
        <f t="shared" si="24"/>
        <v/>
      </c>
      <c r="V129" s="224" t="str">
        <f>IF(C129="","",IF(IN_DATA!R124=3, IF(IN_DATA!$L$4=5, 250, 375), 0))</f>
        <v/>
      </c>
      <c r="W129" s="97" t="str">
        <f t="shared" si="25"/>
        <v/>
      </c>
      <c r="X129" s="97" t="str">
        <f t="shared" si="26"/>
        <v/>
      </c>
      <c r="Y129" s="97" t="str">
        <f t="shared" si="27"/>
        <v/>
      </c>
      <c r="Z129" s="97" t="str">
        <f t="shared" si="28"/>
        <v/>
      </c>
      <c r="AA129" s="97" t="str">
        <f t="shared" si="29"/>
        <v/>
      </c>
      <c r="AB129" s="97" t="str">
        <f t="shared" si="30"/>
        <v/>
      </c>
      <c r="AC129" s="97" t="str">
        <f t="shared" si="31"/>
        <v/>
      </c>
      <c r="AD129" s="228" t="str">
        <f t="shared" si="32"/>
        <v/>
      </c>
      <c r="AE129" s="266" t="str">
        <f t="shared" si="33"/>
        <v/>
      </c>
    </row>
    <row r="130" spans="1:31" x14ac:dyDescent="0.2">
      <c r="A130" s="3">
        <v>120</v>
      </c>
      <c r="B130" s="3">
        <f t="shared" si="36"/>
        <v>2132</v>
      </c>
      <c r="C130" s="149" t="str">
        <f>IN_DATA!P125</f>
        <v/>
      </c>
      <c r="D130" s="33" t="str">
        <f>IN_DATA!Q125</f>
        <v/>
      </c>
      <c r="F130" s="4">
        <f t="shared" si="37"/>
        <v>2132</v>
      </c>
      <c r="G130" s="24" t="str">
        <f>IF(C130="","",IN_DATA!C125*OCF*FPF)</f>
        <v/>
      </c>
      <c r="H130" s="24" t="str">
        <f>IF(C130="","",IN_DATA!D125*OCF*FPF)</f>
        <v/>
      </c>
      <c r="I130" s="24" t="str">
        <f>IF(C130="","",IN_DATA!E125)</f>
        <v/>
      </c>
      <c r="J130" s="24" t="str">
        <f>IF(C130="","",IN_DATA!F125)</f>
        <v/>
      </c>
      <c r="K130" s="24" t="str">
        <f>IF(C130="","",IN_DATA!H125)</f>
        <v/>
      </c>
      <c r="L130" s="155" t="str">
        <f>IF(C130="","",IN_DATA!G125)</f>
        <v/>
      </c>
      <c r="M130" s="154"/>
      <c r="N130" s="220" t="str">
        <f>IF(C130="","",IN_DATA!P125)</f>
        <v/>
      </c>
      <c r="O130" s="112" t="str">
        <f>IF(C130="","",IN_DATA!Q125)</f>
        <v/>
      </c>
      <c r="P130" s="25" t="str">
        <f t="shared" si="19"/>
        <v/>
      </c>
      <c r="Q130" s="25" t="str">
        <f t="shared" si="20"/>
        <v/>
      </c>
      <c r="R130" s="25" t="str">
        <f t="shared" si="21"/>
        <v/>
      </c>
      <c r="S130" s="25" t="str">
        <f t="shared" si="22"/>
        <v/>
      </c>
      <c r="T130" s="25" t="str">
        <f t="shared" si="23"/>
        <v/>
      </c>
      <c r="U130" s="72" t="str">
        <f t="shared" si="24"/>
        <v/>
      </c>
      <c r="V130" s="224" t="str">
        <f>IF(C130="","",IF(IN_DATA!R125=3, IF(IN_DATA!$L$4=5, 250, 375), 0))</f>
        <v/>
      </c>
      <c r="W130" s="97" t="str">
        <f t="shared" si="25"/>
        <v/>
      </c>
      <c r="X130" s="97" t="str">
        <f t="shared" si="26"/>
        <v/>
      </c>
      <c r="Y130" s="97" t="str">
        <f t="shared" si="27"/>
        <v/>
      </c>
      <c r="Z130" s="97" t="str">
        <f t="shared" si="28"/>
        <v/>
      </c>
      <c r="AA130" s="97" t="str">
        <f t="shared" si="29"/>
        <v/>
      </c>
      <c r="AB130" s="97" t="str">
        <f t="shared" si="30"/>
        <v/>
      </c>
      <c r="AC130" s="97" t="str">
        <f t="shared" si="31"/>
        <v/>
      </c>
      <c r="AD130" s="228" t="str">
        <f t="shared" si="32"/>
        <v/>
      </c>
      <c r="AE130" s="266" t="str">
        <f t="shared" si="33"/>
        <v/>
      </c>
    </row>
    <row r="131" spans="1:31" x14ac:dyDescent="0.2">
      <c r="A131" s="3">
        <v>121</v>
      </c>
      <c r="B131" s="3">
        <f t="shared" si="36"/>
        <v>2133</v>
      </c>
      <c r="C131" s="149" t="str">
        <f>IN_DATA!P126</f>
        <v/>
      </c>
      <c r="D131" s="33" t="str">
        <f>IN_DATA!Q126</f>
        <v/>
      </c>
      <c r="F131" s="4">
        <f t="shared" si="37"/>
        <v>2133</v>
      </c>
      <c r="G131" s="24" t="str">
        <f>IF(C131="","",IN_DATA!C126*OCF*FPF)</f>
        <v/>
      </c>
      <c r="H131" s="24" t="str">
        <f>IF(C131="","",IN_DATA!D126*OCF*FPF)</f>
        <v/>
      </c>
      <c r="I131" s="24" t="str">
        <f>IF(C131="","",IN_DATA!E126)</f>
        <v/>
      </c>
      <c r="J131" s="24" t="str">
        <f>IF(C131="","",IN_DATA!F126)</f>
        <v/>
      </c>
      <c r="K131" s="24" t="str">
        <f>IF(C131="","",IN_DATA!H126)</f>
        <v/>
      </c>
      <c r="L131" s="155" t="str">
        <f>IF(C131="","",IN_DATA!G126)</f>
        <v/>
      </c>
      <c r="M131" s="154"/>
      <c r="N131" s="220" t="str">
        <f>IF(C131="","",IN_DATA!P126)</f>
        <v/>
      </c>
      <c r="O131" s="112" t="str">
        <f>IF(C131="","",IN_DATA!Q126)</f>
        <v/>
      </c>
      <c r="P131" s="25" t="str">
        <f t="shared" si="19"/>
        <v/>
      </c>
      <c r="Q131" s="25" t="str">
        <f t="shared" si="20"/>
        <v/>
      </c>
      <c r="R131" s="25" t="str">
        <f t="shared" si="21"/>
        <v/>
      </c>
      <c r="S131" s="25" t="str">
        <f t="shared" si="22"/>
        <v/>
      </c>
      <c r="T131" s="25" t="str">
        <f t="shared" si="23"/>
        <v/>
      </c>
      <c r="U131" s="72" t="str">
        <f t="shared" si="24"/>
        <v/>
      </c>
      <c r="V131" s="224" t="str">
        <f>IF(C131="","",IF(IN_DATA!R126=3, IF(IN_DATA!$L$4=5, 250, 375), 0))</f>
        <v/>
      </c>
      <c r="W131" s="97" t="str">
        <f t="shared" si="25"/>
        <v/>
      </c>
      <c r="X131" s="97" t="str">
        <f t="shared" si="26"/>
        <v/>
      </c>
      <c r="Y131" s="97" t="str">
        <f t="shared" si="27"/>
        <v/>
      </c>
      <c r="Z131" s="97" t="str">
        <f t="shared" si="28"/>
        <v/>
      </c>
      <c r="AA131" s="97" t="str">
        <f t="shared" si="29"/>
        <v/>
      </c>
      <c r="AB131" s="97" t="str">
        <f t="shared" si="30"/>
        <v/>
      </c>
      <c r="AC131" s="97" t="str">
        <f t="shared" si="31"/>
        <v/>
      </c>
      <c r="AD131" s="228" t="str">
        <f t="shared" si="32"/>
        <v/>
      </c>
      <c r="AE131" s="266" t="str">
        <f t="shared" si="33"/>
        <v/>
      </c>
    </row>
    <row r="132" spans="1:31" x14ac:dyDescent="0.2">
      <c r="A132" s="3">
        <v>122</v>
      </c>
      <c r="B132" s="3">
        <f t="shared" si="36"/>
        <v>2134</v>
      </c>
      <c r="C132" s="149" t="str">
        <f>IN_DATA!P127</f>
        <v/>
      </c>
      <c r="D132" s="33" t="str">
        <f>IN_DATA!Q127</f>
        <v/>
      </c>
      <c r="F132" s="4">
        <f t="shared" si="37"/>
        <v>2134</v>
      </c>
      <c r="G132" s="24" t="str">
        <f>IF(C132="","",IN_DATA!C127*OCF*FPF)</f>
        <v/>
      </c>
      <c r="H132" s="24" t="str">
        <f>IF(C132="","",IN_DATA!D127*OCF*FPF)</f>
        <v/>
      </c>
      <c r="I132" s="24" t="str">
        <f>IF(C132="","",IN_DATA!E127)</f>
        <v/>
      </c>
      <c r="J132" s="24" t="str">
        <f>IF(C132="","",IN_DATA!F127)</f>
        <v/>
      </c>
      <c r="K132" s="24" t="str">
        <f>IF(C132="","",IN_DATA!H127)</f>
        <v/>
      </c>
      <c r="L132" s="155" t="str">
        <f>IF(C132="","",IN_DATA!G127)</f>
        <v/>
      </c>
      <c r="M132" s="154"/>
      <c r="N132" s="220" t="str">
        <f>IF(C132="","",IN_DATA!P127)</f>
        <v/>
      </c>
      <c r="O132" s="112" t="str">
        <f>IF(C132="","",IN_DATA!Q127)</f>
        <v/>
      </c>
      <c r="P132" s="25" t="str">
        <f t="shared" si="19"/>
        <v/>
      </c>
      <c r="Q132" s="25" t="str">
        <f t="shared" si="20"/>
        <v/>
      </c>
      <c r="R132" s="25" t="str">
        <f t="shared" si="21"/>
        <v/>
      </c>
      <c r="S132" s="25" t="str">
        <f t="shared" si="22"/>
        <v/>
      </c>
      <c r="T132" s="25" t="str">
        <f t="shared" si="23"/>
        <v/>
      </c>
      <c r="U132" s="72" t="str">
        <f t="shared" si="24"/>
        <v/>
      </c>
      <c r="V132" s="224" t="str">
        <f>IF(C132="","",IF(IN_DATA!R127=3, IF(IN_DATA!$L$4=5, 250, 375), 0))</f>
        <v/>
      </c>
      <c r="W132" s="97" t="str">
        <f t="shared" si="25"/>
        <v/>
      </c>
      <c r="X132" s="97" t="str">
        <f t="shared" si="26"/>
        <v/>
      </c>
      <c r="Y132" s="97" t="str">
        <f t="shared" si="27"/>
        <v/>
      </c>
      <c r="Z132" s="97" t="str">
        <f t="shared" si="28"/>
        <v/>
      </c>
      <c r="AA132" s="97" t="str">
        <f t="shared" si="29"/>
        <v/>
      </c>
      <c r="AB132" s="97" t="str">
        <f t="shared" si="30"/>
        <v/>
      </c>
      <c r="AC132" s="97" t="str">
        <f t="shared" si="31"/>
        <v/>
      </c>
      <c r="AD132" s="228" t="str">
        <f t="shared" si="32"/>
        <v/>
      </c>
      <c r="AE132" s="266" t="str">
        <f t="shared" si="33"/>
        <v/>
      </c>
    </row>
    <row r="133" spans="1:31" x14ac:dyDescent="0.2">
      <c r="A133" s="3">
        <v>123</v>
      </c>
      <c r="B133" s="3">
        <f t="shared" si="36"/>
        <v>2135</v>
      </c>
      <c r="C133" s="149" t="str">
        <f>IN_DATA!P128</f>
        <v/>
      </c>
      <c r="D133" s="33" t="str">
        <f>IN_DATA!Q128</f>
        <v/>
      </c>
      <c r="F133" s="4">
        <f t="shared" si="37"/>
        <v>2135</v>
      </c>
      <c r="G133" s="24" t="str">
        <f>IF(C133="","",IN_DATA!C128*OCF*FPF)</f>
        <v/>
      </c>
      <c r="H133" s="24" t="str">
        <f>IF(C133="","",IN_DATA!D128*OCF*FPF)</f>
        <v/>
      </c>
      <c r="I133" s="24" t="str">
        <f>IF(C133="","",IN_DATA!E128)</f>
        <v/>
      </c>
      <c r="J133" s="24" t="str">
        <f>IF(C133="","",IN_DATA!F128)</f>
        <v/>
      </c>
      <c r="K133" s="24" t="str">
        <f>IF(C133="","",IN_DATA!H128)</f>
        <v/>
      </c>
      <c r="L133" s="155" t="str">
        <f>IF(C133="","",IN_DATA!G128)</f>
        <v/>
      </c>
      <c r="M133" s="154"/>
      <c r="N133" s="220" t="str">
        <f>IF(C133="","",IN_DATA!P128)</f>
        <v/>
      </c>
      <c r="O133" s="112" t="str">
        <f>IF(C133="","",IN_DATA!Q128)</f>
        <v/>
      </c>
      <c r="P133" s="25" t="str">
        <f t="shared" si="19"/>
        <v/>
      </c>
      <c r="Q133" s="25" t="str">
        <f t="shared" si="20"/>
        <v/>
      </c>
      <c r="R133" s="25" t="str">
        <f t="shared" si="21"/>
        <v/>
      </c>
      <c r="S133" s="25" t="str">
        <f t="shared" si="22"/>
        <v/>
      </c>
      <c r="T133" s="25" t="str">
        <f t="shared" si="23"/>
        <v/>
      </c>
      <c r="U133" s="72" t="str">
        <f t="shared" si="24"/>
        <v/>
      </c>
      <c r="V133" s="224" t="str">
        <f>IF(C133="","",IF(IN_DATA!R128=3, IF(IN_DATA!$L$4=5, 250, 375), 0))</f>
        <v/>
      </c>
      <c r="W133" s="97" t="str">
        <f t="shared" si="25"/>
        <v/>
      </c>
      <c r="X133" s="97" t="str">
        <f t="shared" si="26"/>
        <v/>
      </c>
      <c r="Y133" s="97" t="str">
        <f t="shared" si="27"/>
        <v/>
      </c>
      <c r="Z133" s="97" t="str">
        <f t="shared" si="28"/>
        <v/>
      </c>
      <c r="AA133" s="97" t="str">
        <f t="shared" si="29"/>
        <v/>
      </c>
      <c r="AB133" s="97" t="str">
        <f t="shared" si="30"/>
        <v/>
      </c>
      <c r="AC133" s="97" t="str">
        <f t="shared" si="31"/>
        <v/>
      </c>
      <c r="AD133" s="228" t="str">
        <f t="shared" si="32"/>
        <v/>
      </c>
      <c r="AE133" s="266" t="str">
        <f t="shared" si="33"/>
        <v/>
      </c>
    </row>
    <row r="134" spans="1:31" x14ac:dyDescent="0.2">
      <c r="A134" s="3">
        <v>124</v>
      </c>
      <c r="B134" s="3">
        <f t="shared" si="36"/>
        <v>2136</v>
      </c>
      <c r="C134" s="149" t="str">
        <f>IN_DATA!P129</f>
        <v/>
      </c>
      <c r="D134" s="33" t="str">
        <f>IN_DATA!Q129</f>
        <v/>
      </c>
      <c r="F134" s="4">
        <f t="shared" si="37"/>
        <v>2136</v>
      </c>
      <c r="G134" s="24" t="str">
        <f>IF(C134="","",IN_DATA!C129*OCF*FPF)</f>
        <v/>
      </c>
      <c r="H134" s="24" t="str">
        <f>IF(C134="","",IN_DATA!D129*OCF*FPF)</f>
        <v/>
      </c>
      <c r="I134" s="24" t="str">
        <f>IF(C134="","",IN_DATA!E129)</f>
        <v/>
      </c>
      <c r="J134" s="24" t="str">
        <f>IF(C134="","",IN_DATA!F129)</f>
        <v/>
      </c>
      <c r="K134" s="24" t="str">
        <f>IF(C134="","",IN_DATA!H129)</f>
        <v/>
      </c>
      <c r="L134" s="155" t="str">
        <f>IF(C134="","",IN_DATA!G129)</f>
        <v/>
      </c>
      <c r="M134" s="154"/>
      <c r="N134" s="220" t="str">
        <f>IF(C134="","",IN_DATA!P129)</f>
        <v/>
      </c>
      <c r="O134" s="112" t="str">
        <f>IF(C134="","",IN_DATA!Q129)</f>
        <v/>
      </c>
      <c r="P134" s="25" t="str">
        <f t="shared" si="19"/>
        <v/>
      </c>
      <c r="Q134" s="25" t="str">
        <f t="shared" si="20"/>
        <v/>
      </c>
      <c r="R134" s="25" t="str">
        <f t="shared" si="21"/>
        <v/>
      </c>
      <c r="S134" s="25" t="str">
        <f t="shared" si="22"/>
        <v/>
      </c>
      <c r="T134" s="25" t="str">
        <f t="shared" si="23"/>
        <v/>
      </c>
      <c r="U134" s="72" t="str">
        <f t="shared" si="24"/>
        <v/>
      </c>
      <c r="V134" s="224" t="str">
        <f>IF(C134="","",IF(IN_DATA!R129=3, IF(IN_DATA!$L$4=5, 250, 375), 0))</f>
        <v/>
      </c>
      <c r="W134" s="97" t="str">
        <f t="shared" si="25"/>
        <v/>
      </c>
      <c r="X134" s="97" t="str">
        <f t="shared" si="26"/>
        <v/>
      </c>
      <c r="Y134" s="97" t="str">
        <f t="shared" si="27"/>
        <v/>
      </c>
      <c r="Z134" s="97" t="str">
        <f t="shared" si="28"/>
        <v/>
      </c>
      <c r="AA134" s="97" t="str">
        <f t="shared" si="29"/>
        <v/>
      </c>
      <c r="AB134" s="97" t="str">
        <f t="shared" si="30"/>
        <v/>
      </c>
      <c r="AC134" s="97" t="str">
        <f t="shared" si="31"/>
        <v/>
      </c>
      <c r="AD134" s="228" t="str">
        <f t="shared" si="32"/>
        <v/>
      </c>
      <c r="AE134" s="266" t="str">
        <f t="shared" si="33"/>
        <v/>
      </c>
    </row>
    <row r="135" spans="1:31" x14ac:dyDescent="0.2">
      <c r="A135" s="3">
        <v>125</v>
      </c>
      <c r="B135" s="3">
        <f t="shared" si="36"/>
        <v>2137</v>
      </c>
      <c r="C135" s="149" t="str">
        <f>IN_DATA!P130</f>
        <v/>
      </c>
      <c r="D135" s="33" t="str">
        <f>IN_DATA!Q130</f>
        <v/>
      </c>
      <c r="F135" s="4">
        <f t="shared" si="37"/>
        <v>2137</v>
      </c>
      <c r="G135" s="24" t="str">
        <f>IF(C135="","",IN_DATA!C130*OCF*FPF)</f>
        <v/>
      </c>
      <c r="H135" s="24" t="str">
        <f>IF(C135="","",IN_DATA!D130*OCF*FPF)</f>
        <v/>
      </c>
      <c r="I135" s="24" t="str">
        <f>IF(C135="","",IN_DATA!E130)</f>
        <v/>
      </c>
      <c r="J135" s="24" t="str">
        <f>IF(C135="","",IN_DATA!F130)</f>
        <v/>
      </c>
      <c r="K135" s="24" t="str">
        <f>IF(C135="","",IN_DATA!H130)</f>
        <v/>
      </c>
      <c r="L135" s="155" t="str">
        <f>IF(C135="","",IN_DATA!G130)</f>
        <v/>
      </c>
      <c r="M135" s="154"/>
      <c r="N135" s="220" t="str">
        <f>IF(C135="","",IN_DATA!P130)</f>
        <v/>
      </c>
      <c r="O135" s="112" t="str">
        <f>IF(C135="","",IN_DATA!Q130)</f>
        <v/>
      </c>
      <c r="P135" s="25" t="str">
        <f t="shared" si="19"/>
        <v/>
      </c>
      <c r="Q135" s="25" t="str">
        <f t="shared" si="20"/>
        <v/>
      </c>
      <c r="R135" s="25" t="str">
        <f t="shared" si="21"/>
        <v/>
      </c>
      <c r="S135" s="25" t="str">
        <f t="shared" si="22"/>
        <v/>
      </c>
      <c r="T135" s="25" t="str">
        <f t="shared" si="23"/>
        <v/>
      </c>
      <c r="U135" s="72" t="str">
        <f t="shared" si="24"/>
        <v/>
      </c>
      <c r="V135" s="224" t="str">
        <f>IF(C135="","",IF(IN_DATA!R130=3, IF(IN_DATA!$L$4=5, 250, 375), 0))</f>
        <v/>
      </c>
      <c r="W135" s="97" t="str">
        <f t="shared" si="25"/>
        <v/>
      </c>
      <c r="X135" s="97" t="str">
        <f t="shared" si="26"/>
        <v/>
      </c>
      <c r="Y135" s="97" t="str">
        <f t="shared" si="27"/>
        <v/>
      </c>
      <c r="Z135" s="97" t="str">
        <f t="shared" si="28"/>
        <v/>
      </c>
      <c r="AA135" s="97" t="str">
        <f t="shared" si="29"/>
        <v/>
      </c>
      <c r="AB135" s="97" t="str">
        <f t="shared" si="30"/>
        <v/>
      </c>
      <c r="AC135" s="97" t="str">
        <f t="shared" si="31"/>
        <v/>
      </c>
      <c r="AD135" s="228" t="str">
        <f t="shared" si="32"/>
        <v/>
      </c>
      <c r="AE135" s="266" t="str">
        <f t="shared" si="33"/>
        <v/>
      </c>
    </row>
    <row r="136" spans="1:31" x14ac:dyDescent="0.2">
      <c r="A136" s="3">
        <v>126</v>
      </c>
      <c r="B136" s="3">
        <f t="shared" si="36"/>
        <v>2138</v>
      </c>
      <c r="C136" s="149" t="str">
        <f>IN_DATA!P131</f>
        <v/>
      </c>
      <c r="D136" s="33" t="str">
        <f>IN_DATA!Q131</f>
        <v/>
      </c>
      <c r="F136" s="4">
        <f t="shared" si="37"/>
        <v>2138</v>
      </c>
      <c r="G136" s="24" t="str">
        <f>IF(C136="","",IN_DATA!C131*OCF*FPF)</f>
        <v/>
      </c>
      <c r="H136" s="24" t="str">
        <f>IF(C136="","",IN_DATA!D131*OCF*FPF)</f>
        <v/>
      </c>
      <c r="I136" s="24" t="str">
        <f>IF(C136="","",IN_DATA!E131)</f>
        <v/>
      </c>
      <c r="J136" s="24" t="str">
        <f>IF(C136="","",IN_DATA!F131)</f>
        <v/>
      </c>
      <c r="K136" s="24" t="str">
        <f>IF(C136="","",IN_DATA!H131)</f>
        <v/>
      </c>
      <c r="L136" s="155" t="str">
        <f>IF(C136="","",IN_DATA!G131)</f>
        <v/>
      </c>
      <c r="M136" s="154"/>
      <c r="N136" s="220" t="str">
        <f>IF(C136="","",IN_DATA!P131)</f>
        <v/>
      </c>
      <c r="O136" s="112" t="str">
        <f>IF(C136="","",IN_DATA!Q131)</f>
        <v/>
      </c>
      <c r="P136" s="25" t="str">
        <f t="shared" si="19"/>
        <v/>
      </c>
      <c r="Q136" s="25" t="str">
        <f t="shared" si="20"/>
        <v/>
      </c>
      <c r="R136" s="25" t="str">
        <f t="shared" si="21"/>
        <v/>
      </c>
      <c r="S136" s="25" t="str">
        <f t="shared" si="22"/>
        <v/>
      </c>
      <c r="T136" s="25" t="str">
        <f t="shared" si="23"/>
        <v/>
      </c>
      <c r="U136" s="72" t="str">
        <f t="shared" si="24"/>
        <v/>
      </c>
      <c r="V136" s="224" t="str">
        <f>IF(C136="","",IF(IN_DATA!R131=3, IF(IN_DATA!$L$4=5, 250, 375), 0))</f>
        <v/>
      </c>
      <c r="W136" s="97" t="str">
        <f t="shared" si="25"/>
        <v/>
      </c>
      <c r="X136" s="97" t="str">
        <f t="shared" si="26"/>
        <v/>
      </c>
      <c r="Y136" s="97" t="str">
        <f t="shared" si="27"/>
        <v/>
      </c>
      <c r="Z136" s="97" t="str">
        <f t="shared" si="28"/>
        <v/>
      </c>
      <c r="AA136" s="97" t="str">
        <f t="shared" si="29"/>
        <v/>
      </c>
      <c r="AB136" s="97" t="str">
        <f t="shared" si="30"/>
        <v/>
      </c>
      <c r="AC136" s="97" t="str">
        <f t="shared" si="31"/>
        <v/>
      </c>
      <c r="AD136" s="228" t="str">
        <f t="shared" si="32"/>
        <v/>
      </c>
      <c r="AE136" s="266" t="str">
        <f t="shared" si="33"/>
        <v/>
      </c>
    </row>
    <row r="137" spans="1:31" x14ac:dyDescent="0.2">
      <c r="A137" s="3">
        <v>127</v>
      </c>
      <c r="B137" s="3">
        <f t="shared" si="36"/>
        <v>2139</v>
      </c>
      <c r="C137" s="149" t="str">
        <f>IN_DATA!P132</f>
        <v/>
      </c>
      <c r="D137" s="33" t="str">
        <f>IN_DATA!Q132</f>
        <v/>
      </c>
      <c r="F137" s="4">
        <f t="shared" si="37"/>
        <v>2139</v>
      </c>
      <c r="G137" s="24" t="str">
        <f>IF(C137="","",IN_DATA!C132*OCF*FPF)</f>
        <v/>
      </c>
      <c r="H137" s="24" t="str">
        <f>IF(C137="","",IN_DATA!D132*OCF*FPF)</f>
        <v/>
      </c>
      <c r="I137" s="24" t="str">
        <f>IF(C137="","",IN_DATA!E132)</f>
        <v/>
      </c>
      <c r="J137" s="24" t="str">
        <f>IF(C137="","",IN_DATA!F132)</f>
        <v/>
      </c>
      <c r="K137" s="24" t="str">
        <f>IF(C137="","",IN_DATA!H132)</f>
        <v/>
      </c>
      <c r="L137" s="155" t="str">
        <f>IF(C137="","",IN_DATA!G132)</f>
        <v/>
      </c>
      <c r="M137" s="154"/>
      <c r="N137" s="220" t="str">
        <f>IF(C137="","",IN_DATA!P132)</f>
        <v/>
      </c>
      <c r="O137" s="112" t="str">
        <f>IF(C137="","",IN_DATA!Q132)</f>
        <v/>
      </c>
      <c r="P137" s="25" t="str">
        <f t="shared" si="19"/>
        <v/>
      </c>
      <c r="Q137" s="25" t="str">
        <f t="shared" si="20"/>
        <v/>
      </c>
      <c r="R137" s="25" t="str">
        <f t="shared" si="21"/>
        <v/>
      </c>
      <c r="S137" s="25" t="str">
        <f t="shared" si="22"/>
        <v/>
      </c>
      <c r="T137" s="25" t="str">
        <f t="shared" si="23"/>
        <v/>
      </c>
      <c r="U137" s="72" t="str">
        <f t="shared" si="24"/>
        <v/>
      </c>
      <c r="V137" s="224" t="str">
        <f>IF(C137="","",IF(IN_DATA!R132=3, IF(IN_DATA!$L$4=5, 250, 375), 0))</f>
        <v/>
      </c>
      <c r="W137" s="97" t="str">
        <f t="shared" si="25"/>
        <v/>
      </c>
      <c r="X137" s="97" t="str">
        <f t="shared" si="26"/>
        <v/>
      </c>
      <c r="Y137" s="97" t="str">
        <f t="shared" si="27"/>
        <v/>
      </c>
      <c r="Z137" s="97" t="str">
        <f t="shared" si="28"/>
        <v/>
      </c>
      <c r="AA137" s="97" t="str">
        <f t="shared" si="29"/>
        <v/>
      </c>
      <c r="AB137" s="97" t="str">
        <f t="shared" si="30"/>
        <v/>
      </c>
      <c r="AC137" s="97" t="str">
        <f t="shared" si="31"/>
        <v/>
      </c>
      <c r="AD137" s="228" t="str">
        <f t="shared" si="32"/>
        <v/>
      </c>
      <c r="AE137" s="266" t="str">
        <f t="shared" si="33"/>
        <v/>
      </c>
    </row>
    <row r="138" spans="1:31" x14ac:dyDescent="0.2">
      <c r="A138" s="3">
        <v>128</v>
      </c>
      <c r="B138" s="3">
        <f t="shared" si="36"/>
        <v>2140</v>
      </c>
      <c r="C138" s="149" t="str">
        <f>IN_DATA!P133</f>
        <v/>
      </c>
      <c r="D138" s="33" t="str">
        <f>IN_DATA!Q133</f>
        <v/>
      </c>
      <c r="F138" s="4">
        <f t="shared" si="37"/>
        <v>2140</v>
      </c>
      <c r="G138" s="24" t="str">
        <f>IF(C138="","",IN_DATA!C133*OCF*FPF)</f>
        <v/>
      </c>
      <c r="H138" s="24" t="str">
        <f>IF(C138="","",IN_DATA!D133*OCF*FPF)</f>
        <v/>
      </c>
      <c r="I138" s="24" t="str">
        <f>IF(C138="","",IN_DATA!E133)</f>
        <v/>
      </c>
      <c r="J138" s="24" t="str">
        <f>IF(C138="","",IN_DATA!F133)</f>
        <v/>
      </c>
      <c r="K138" s="24" t="str">
        <f>IF(C138="","",IN_DATA!H133)</f>
        <v/>
      </c>
      <c r="L138" s="155" t="str">
        <f>IF(C138="","",IN_DATA!G133)</f>
        <v/>
      </c>
      <c r="M138" s="154"/>
      <c r="N138" s="220" t="str">
        <f>IF(C138="","",IN_DATA!P133)</f>
        <v/>
      </c>
      <c r="O138" s="112" t="str">
        <f>IF(C138="","",IN_DATA!Q133)</f>
        <v/>
      </c>
      <c r="P138" s="25" t="str">
        <f t="shared" si="19"/>
        <v/>
      </c>
      <c r="Q138" s="25" t="str">
        <f t="shared" si="20"/>
        <v/>
      </c>
      <c r="R138" s="25" t="str">
        <f t="shared" si="21"/>
        <v/>
      </c>
      <c r="S138" s="25" t="str">
        <f t="shared" si="22"/>
        <v/>
      </c>
      <c r="T138" s="25" t="str">
        <f t="shared" si="23"/>
        <v/>
      </c>
      <c r="U138" s="72" t="str">
        <f t="shared" si="24"/>
        <v/>
      </c>
      <c r="V138" s="224" t="str">
        <f>IF(C138="","",IF(IN_DATA!R133=3, IF(IN_DATA!$L$4=5, 250, 375), 0))</f>
        <v/>
      </c>
      <c r="W138" s="97" t="str">
        <f t="shared" si="25"/>
        <v/>
      </c>
      <c r="X138" s="97" t="str">
        <f t="shared" si="26"/>
        <v/>
      </c>
      <c r="Y138" s="97" t="str">
        <f t="shared" si="27"/>
        <v/>
      </c>
      <c r="Z138" s="97" t="str">
        <f t="shared" si="28"/>
        <v/>
      </c>
      <c r="AA138" s="97" t="str">
        <f t="shared" si="29"/>
        <v/>
      </c>
      <c r="AB138" s="97" t="str">
        <f t="shared" si="30"/>
        <v/>
      </c>
      <c r="AC138" s="97" t="str">
        <f t="shared" si="31"/>
        <v/>
      </c>
      <c r="AD138" s="228" t="str">
        <f t="shared" si="32"/>
        <v/>
      </c>
      <c r="AE138" s="266" t="str">
        <f t="shared" si="33"/>
        <v/>
      </c>
    </row>
    <row r="139" spans="1:31" x14ac:dyDescent="0.2">
      <c r="A139" s="3">
        <v>129</v>
      </c>
      <c r="B139" s="3">
        <f t="shared" si="36"/>
        <v>2141</v>
      </c>
      <c r="C139" s="149" t="str">
        <f>IN_DATA!P134</f>
        <v/>
      </c>
      <c r="D139" s="33" t="str">
        <f>IN_DATA!Q134</f>
        <v/>
      </c>
      <c r="F139" s="4">
        <f t="shared" si="37"/>
        <v>2141</v>
      </c>
      <c r="G139" s="24" t="str">
        <f>IF(C139="","",IN_DATA!C134*OCF*FPF)</f>
        <v/>
      </c>
      <c r="H139" s="24" t="str">
        <f>IF(C139="","",IN_DATA!D134*OCF*FPF)</f>
        <v/>
      </c>
      <c r="I139" s="24" t="str">
        <f>IF(C139="","",IN_DATA!E134)</f>
        <v/>
      </c>
      <c r="J139" s="24" t="str">
        <f>IF(C139="","",IN_DATA!F134)</f>
        <v/>
      </c>
      <c r="K139" s="24" t="str">
        <f>IF(C139="","",IN_DATA!H134)</f>
        <v/>
      </c>
      <c r="L139" s="155" t="str">
        <f>IF(C139="","",IN_DATA!G134)</f>
        <v/>
      </c>
      <c r="M139" s="154"/>
      <c r="N139" s="220" t="str">
        <f>IF(C139="","",IN_DATA!P134)</f>
        <v/>
      </c>
      <c r="O139" s="112" t="str">
        <f>IF(C139="","",IN_DATA!Q134)</f>
        <v/>
      </c>
      <c r="P139" s="25" t="str">
        <f t="shared" ref="P139:P202" si="38">IF(C139="","",365*G139/1000)</f>
        <v/>
      </c>
      <c r="Q139" s="25" t="str">
        <f t="shared" ref="Q139:Q202" si="39">IF(C139="","",365*H139/1000)</f>
        <v/>
      </c>
      <c r="R139" s="25" t="str">
        <f t="shared" ref="R139:R202" si="40">IF(C139="","",365*I139/1000)</f>
        <v/>
      </c>
      <c r="S139" s="25" t="str">
        <f t="shared" ref="S139:S202" si="41">IF(C139="","",365*J139/1000)</f>
        <v/>
      </c>
      <c r="T139" s="25" t="str">
        <f t="shared" ref="T139:T202" si="42">IF(C139="","",365*K139/1000)</f>
        <v/>
      </c>
      <c r="U139" s="72" t="str">
        <f t="shared" ref="U139:U202" si="43">IF(C139="","",365*L139/1000)</f>
        <v/>
      </c>
      <c r="V139" s="224" t="str">
        <f>IF(C139="","",IF(IN_DATA!R134=3, IF(IN_DATA!$L$4=5, 250, 375), 0))</f>
        <v/>
      </c>
      <c r="W139" s="97" t="str">
        <f t="shared" ref="W139:W202" si="44">IF(C139="","",(G$5*N139+H$5*O139))</f>
        <v/>
      </c>
      <c r="X139" s="97" t="str">
        <f t="shared" ref="X139:X202" si="45">IF(C139="","",I$5*P139)</f>
        <v/>
      </c>
      <c r="Y139" s="97" t="str">
        <f t="shared" ref="Y139:Y202" si="46">IF(C139="","",J$5*Q139)</f>
        <v/>
      </c>
      <c r="Z139" s="97" t="str">
        <f t="shared" ref="Z139:Z202" si="47">IF(C139="","",K$5*R139)</f>
        <v/>
      </c>
      <c r="AA139" s="97" t="str">
        <f t="shared" ref="AA139:AA202" si="48">IF(C139="","",L$5*S139)</f>
        <v/>
      </c>
      <c r="AB139" s="97" t="str">
        <f t="shared" ref="AB139:AB202" si="49">IF(C139="","",M$5*T139)</f>
        <v/>
      </c>
      <c r="AC139" s="97" t="str">
        <f t="shared" ref="AC139:AC202" si="50">IF(C139="","",N$5*U139)</f>
        <v/>
      </c>
      <c r="AD139" s="228" t="str">
        <f t="shared" ref="AD139:AD202" si="51">IF(C139="","", SUM(V139:AC139))</f>
        <v/>
      </c>
      <c r="AE139" s="266" t="str">
        <f t="shared" ref="AE139:AE202" si="52">IF(C139="","",IF(AD139/(P139+Q139/10)&gt;$O$5,"",AD139/(P139+Q139/10)))</f>
        <v/>
      </c>
    </row>
    <row r="140" spans="1:31" x14ac:dyDescent="0.2">
      <c r="A140" s="3">
        <v>130</v>
      </c>
      <c r="B140" s="3">
        <f t="shared" si="36"/>
        <v>2142</v>
      </c>
      <c r="C140" s="149" t="str">
        <f>IN_DATA!P135</f>
        <v/>
      </c>
      <c r="D140" s="33" t="str">
        <f>IN_DATA!Q135</f>
        <v/>
      </c>
      <c r="F140" s="4">
        <f t="shared" si="37"/>
        <v>2142</v>
      </c>
      <c r="G140" s="24" t="str">
        <f>IF(C140="","",IN_DATA!C135*OCF*FPF)</f>
        <v/>
      </c>
      <c r="H140" s="24" t="str">
        <f>IF(C140="","",IN_DATA!D135*OCF*FPF)</f>
        <v/>
      </c>
      <c r="I140" s="24" t="str">
        <f>IF(C140="","",IN_DATA!E135)</f>
        <v/>
      </c>
      <c r="J140" s="24" t="str">
        <f>IF(C140="","",IN_DATA!F135)</f>
        <v/>
      </c>
      <c r="K140" s="24" t="str">
        <f>IF(C140="","",IN_DATA!H135)</f>
        <v/>
      </c>
      <c r="L140" s="155" t="str">
        <f>IF(C140="","",IN_DATA!G135)</f>
        <v/>
      </c>
      <c r="M140" s="154"/>
      <c r="N140" s="220" t="str">
        <f>IF(C140="","",IN_DATA!P135)</f>
        <v/>
      </c>
      <c r="O140" s="112" t="str">
        <f>IF(C140="","",IN_DATA!Q135)</f>
        <v/>
      </c>
      <c r="P140" s="25" t="str">
        <f t="shared" si="38"/>
        <v/>
      </c>
      <c r="Q140" s="25" t="str">
        <f t="shared" si="39"/>
        <v/>
      </c>
      <c r="R140" s="25" t="str">
        <f t="shared" si="40"/>
        <v/>
      </c>
      <c r="S140" s="25" t="str">
        <f t="shared" si="41"/>
        <v/>
      </c>
      <c r="T140" s="25" t="str">
        <f t="shared" si="42"/>
        <v/>
      </c>
      <c r="U140" s="72" t="str">
        <f t="shared" si="43"/>
        <v/>
      </c>
      <c r="V140" s="224" t="str">
        <f>IF(C140="","",IF(IN_DATA!R135=3, IF(IN_DATA!$L$4=5, 250, 375), 0))</f>
        <v/>
      </c>
      <c r="W140" s="97" t="str">
        <f t="shared" si="44"/>
        <v/>
      </c>
      <c r="X140" s="97" t="str">
        <f t="shared" si="45"/>
        <v/>
      </c>
      <c r="Y140" s="97" t="str">
        <f t="shared" si="46"/>
        <v/>
      </c>
      <c r="Z140" s="97" t="str">
        <f t="shared" si="47"/>
        <v/>
      </c>
      <c r="AA140" s="97" t="str">
        <f t="shared" si="48"/>
        <v/>
      </c>
      <c r="AB140" s="97" t="str">
        <f t="shared" si="49"/>
        <v/>
      </c>
      <c r="AC140" s="97" t="str">
        <f t="shared" si="50"/>
        <v/>
      </c>
      <c r="AD140" s="228" t="str">
        <f t="shared" si="51"/>
        <v/>
      </c>
      <c r="AE140" s="266" t="str">
        <f t="shared" si="52"/>
        <v/>
      </c>
    </row>
    <row r="141" spans="1:31" x14ac:dyDescent="0.2">
      <c r="A141" s="3">
        <v>131</v>
      </c>
      <c r="B141" s="3">
        <f t="shared" si="36"/>
        <v>2143</v>
      </c>
      <c r="C141" s="149" t="str">
        <f>IN_DATA!P136</f>
        <v/>
      </c>
      <c r="D141" s="33" t="str">
        <f>IN_DATA!Q136</f>
        <v/>
      </c>
      <c r="F141" s="4">
        <f t="shared" si="37"/>
        <v>2143</v>
      </c>
      <c r="G141" s="24" t="str">
        <f>IF(C141="","",IN_DATA!C136*OCF*FPF)</f>
        <v/>
      </c>
      <c r="H141" s="24" t="str">
        <f>IF(C141="","",IN_DATA!D136*OCF*FPF)</f>
        <v/>
      </c>
      <c r="I141" s="24" t="str">
        <f>IF(C141="","",IN_DATA!E136)</f>
        <v/>
      </c>
      <c r="J141" s="24" t="str">
        <f>IF(C141="","",IN_DATA!F136)</f>
        <v/>
      </c>
      <c r="K141" s="24" t="str">
        <f>IF(C141="","",IN_DATA!H136)</f>
        <v/>
      </c>
      <c r="L141" s="155" t="str">
        <f>IF(C141="","",IN_DATA!G136)</f>
        <v/>
      </c>
      <c r="M141" s="154"/>
      <c r="N141" s="220" t="str">
        <f>IF(C141="","",IN_DATA!P136)</f>
        <v/>
      </c>
      <c r="O141" s="112" t="str">
        <f>IF(C141="","",IN_DATA!Q136)</f>
        <v/>
      </c>
      <c r="P141" s="25" t="str">
        <f t="shared" si="38"/>
        <v/>
      </c>
      <c r="Q141" s="25" t="str">
        <f t="shared" si="39"/>
        <v/>
      </c>
      <c r="R141" s="25" t="str">
        <f t="shared" si="40"/>
        <v/>
      </c>
      <c r="S141" s="25" t="str">
        <f t="shared" si="41"/>
        <v/>
      </c>
      <c r="T141" s="25" t="str">
        <f t="shared" si="42"/>
        <v/>
      </c>
      <c r="U141" s="72" t="str">
        <f t="shared" si="43"/>
        <v/>
      </c>
      <c r="V141" s="224" t="str">
        <f>IF(C141="","",IF(IN_DATA!R136=3, IF(IN_DATA!$L$4=5, 250, 375), 0))</f>
        <v/>
      </c>
      <c r="W141" s="97" t="str">
        <f t="shared" si="44"/>
        <v/>
      </c>
      <c r="X141" s="97" t="str">
        <f t="shared" si="45"/>
        <v/>
      </c>
      <c r="Y141" s="97" t="str">
        <f t="shared" si="46"/>
        <v/>
      </c>
      <c r="Z141" s="97" t="str">
        <f t="shared" si="47"/>
        <v/>
      </c>
      <c r="AA141" s="97" t="str">
        <f t="shared" si="48"/>
        <v/>
      </c>
      <c r="AB141" s="97" t="str">
        <f t="shared" si="49"/>
        <v/>
      </c>
      <c r="AC141" s="97" t="str">
        <f t="shared" si="50"/>
        <v/>
      </c>
      <c r="AD141" s="228" t="str">
        <f t="shared" si="51"/>
        <v/>
      </c>
      <c r="AE141" s="266" t="str">
        <f t="shared" si="52"/>
        <v/>
      </c>
    </row>
    <row r="142" spans="1:31" x14ac:dyDescent="0.2">
      <c r="A142" s="3">
        <v>132</v>
      </c>
      <c r="B142" s="3">
        <f t="shared" si="36"/>
        <v>2144</v>
      </c>
      <c r="C142" s="149" t="str">
        <f>IN_DATA!P137</f>
        <v/>
      </c>
      <c r="D142" s="33" t="str">
        <f>IN_DATA!Q137</f>
        <v/>
      </c>
      <c r="F142" s="4">
        <f t="shared" si="37"/>
        <v>2144</v>
      </c>
      <c r="G142" s="24" t="str">
        <f>IF(C142="","",IN_DATA!C137*OCF*FPF)</f>
        <v/>
      </c>
      <c r="H142" s="24" t="str">
        <f>IF(C142="","",IN_DATA!D137*OCF*FPF)</f>
        <v/>
      </c>
      <c r="I142" s="24" t="str">
        <f>IF(C142="","",IN_DATA!E137)</f>
        <v/>
      </c>
      <c r="J142" s="24" t="str">
        <f>IF(C142="","",IN_DATA!F137)</f>
        <v/>
      </c>
      <c r="K142" s="24" t="str">
        <f>IF(C142="","",IN_DATA!H137)</f>
        <v/>
      </c>
      <c r="L142" s="155" t="str">
        <f>IF(C142="","",IN_DATA!G137)</f>
        <v/>
      </c>
      <c r="M142" s="154"/>
      <c r="N142" s="220" t="str">
        <f>IF(C142="","",IN_DATA!P137)</f>
        <v/>
      </c>
      <c r="O142" s="112" t="str">
        <f>IF(C142="","",IN_DATA!Q137)</f>
        <v/>
      </c>
      <c r="P142" s="25" t="str">
        <f t="shared" si="38"/>
        <v/>
      </c>
      <c r="Q142" s="25" t="str">
        <f t="shared" si="39"/>
        <v/>
      </c>
      <c r="R142" s="25" t="str">
        <f t="shared" si="40"/>
        <v/>
      </c>
      <c r="S142" s="25" t="str">
        <f t="shared" si="41"/>
        <v/>
      </c>
      <c r="T142" s="25" t="str">
        <f t="shared" si="42"/>
        <v/>
      </c>
      <c r="U142" s="72" t="str">
        <f t="shared" si="43"/>
        <v/>
      </c>
      <c r="V142" s="224" t="str">
        <f>IF(C142="","",IF(IN_DATA!R137=3, IF(IN_DATA!$L$4=5, 250, 375), 0))</f>
        <v/>
      </c>
      <c r="W142" s="97" t="str">
        <f t="shared" si="44"/>
        <v/>
      </c>
      <c r="X142" s="97" t="str">
        <f t="shared" si="45"/>
        <v/>
      </c>
      <c r="Y142" s="97" t="str">
        <f t="shared" si="46"/>
        <v/>
      </c>
      <c r="Z142" s="97" t="str">
        <f t="shared" si="47"/>
        <v/>
      </c>
      <c r="AA142" s="97" t="str">
        <f t="shared" si="48"/>
        <v/>
      </c>
      <c r="AB142" s="97" t="str">
        <f t="shared" si="49"/>
        <v/>
      </c>
      <c r="AC142" s="97" t="str">
        <f t="shared" si="50"/>
        <v/>
      </c>
      <c r="AD142" s="228" t="str">
        <f t="shared" si="51"/>
        <v/>
      </c>
      <c r="AE142" s="266" t="str">
        <f t="shared" si="52"/>
        <v/>
      </c>
    </row>
    <row r="143" spans="1:31" x14ac:dyDescent="0.2">
      <c r="A143" s="3">
        <v>133</v>
      </c>
      <c r="B143" s="3">
        <f t="shared" si="36"/>
        <v>2145</v>
      </c>
      <c r="C143" s="149" t="str">
        <f>IN_DATA!P138</f>
        <v/>
      </c>
      <c r="D143" s="33" t="str">
        <f>IN_DATA!Q138</f>
        <v/>
      </c>
      <c r="F143" s="4">
        <f t="shared" si="37"/>
        <v>2145</v>
      </c>
      <c r="G143" s="24" t="str">
        <f>IF(C143="","",IN_DATA!C138*OCF*FPF)</f>
        <v/>
      </c>
      <c r="H143" s="24" t="str">
        <f>IF(C143="","",IN_DATA!D138*OCF*FPF)</f>
        <v/>
      </c>
      <c r="I143" s="24" t="str">
        <f>IF(C143="","",IN_DATA!E138)</f>
        <v/>
      </c>
      <c r="J143" s="24" t="str">
        <f>IF(C143="","",IN_DATA!F138)</f>
        <v/>
      </c>
      <c r="K143" s="24" t="str">
        <f>IF(C143="","",IN_DATA!H138)</f>
        <v/>
      </c>
      <c r="L143" s="155" t="str">
        <f>IF(C143="","",IN_DATA!G138)</f>
        <v/>
      </c>
      <c r="M143" s="154"/>
      <c r="N143" s="220" t="str">
        <f>IF(C143="","",IN_DATA!P138)</f>
        <v/>
      </c>
      <c r="O143" s="112" t="str">
        <f>IF(C143="","",IN_DATA!Q138)</f>
        <v/>
      </c>
      <c r="P143" s="25" t="str">
        <f t="shared" si="38"/>
        <v/>
      </c>
      <c r="Q143" s="25" t="str">
        <f t="shared" si="39"/>
        <v/>
      </c>
      <c r="R143" s="25" t="str">
        <f t="shared" si="40"/>
        <v/>
      </c>
      <c r="S143" s="25" t="str">
        <f t="shared" si="41"/>
        <v/>
      </c>
      <c r="T143" s="25" t="str">
        <f t="shared" si="42"/>
        <v/>
      </c>
      <c r="U143" s="72" t="str">
        <f t="shared" si="43"/>
        <v/>
      </c>
      <c r="V143" s="224" t="str">
        <f>IF(C143="","",IF(IN_DATA!R138=3, IF(IN_DATA!$L$4=5, 250, 375), 0))</f>
        <v/>
      </c>
      <c r="W143" s="97" t="str">
        <f t="shared" si="44"/>
        <v/>
      </c>
      <c r="X143" s="97" t="str">
        <f t="shared" si="45"/>
        <v/>
      </c>
      <c r="Y143" s="97" t="str">
        <f t="shared" si="46"/>
        <v/>
      </c>
      <c r="Z143" s="97" t="str">
        <f t="shared" si="47"/>
        <v/>
      </c>
      <c r="AA143" s="97" t="str">
        <f t="shared" si="48"/>
        <v/>
      </c>
      <c r="AB143" s="97" t="str">
        <f t="shared" si="49"/>
        <v/>
      </c>
      <c r="AC143" s="97" t="str">
        <f t="shared" si="50"/>
        <v/>
      </c>
      <c r="AD143" s="228" t="str">
        <f t="shared" si="51"/>
        <v/>
      </c>
      <c r="AE143" s="266" t="str">
        <f t="shared" si="52"/>
        <v/>
      </c>
    </row>
    <row r="144" spans="1:31" x14ac:dyDescent="0.2">
      <c r="A144" s="3">
        <v>134</v>
      </c>
      <c r="B144" s="3">
        <f t="shared" si="36"/>
        <v>2146</v>
      </c>
      <c r="C144" s="149" t="str">
        <f>IN_DATA!P139</f>
        <v/>
      </c>
      <c r="D144" s="33" t="str">
        <f>IN_DATA!Q139</f>
        <v/>
      </c>
      <c r="F144" s="4">
        <f t="shared" si="37"/>
        <v>2146</v>
      </c>
      <c r="G144" s="24" t="str">
        <f>IF(C144="","",IN_DATA!C139*OCF*FPF)</f>
        <v/>
      </c>
      <c r="H144" s="24" t="str">
        <f>IF(C144="","",IN_DATA!D139*OCF*FPF)</f>
        <v/>
      </c>
      <c r="I144" s="24" t="str">
        <f>IF(C144="","",IN_DATA!E139)</f>
        <v/>
      </c>
      <c r="J144" s="24" t="str">
        <f>IF(C144="","",IN_DATA!F139)</f>
        <v/>
      </c>
      <c r="K144" s="24" t="str">
        <f>IF(C144="","",IN_DATA!H139)</f>
        <v/>
      </c>
      <c r="L144" s="155" t="str">
        <f>IF(C144="","",IN_DATA!G139)</f>
        <v/>
      </c>
      <c r="M144" s="154"/>
      <c r="N144" s="220" t="str">
        <f>IF(C144="","",IN_DATA!P139)</f>
        <v/>
      </c>
      <c r="O144" s="112" t="str">
        <f>IF(C144="","",IN_DATA!Q139)</f>
        <v/>
      </c>
      <c r="P144" s="25" t="str">
        <f t="shared" si="38"/>
        <v/>
      </c>
      <c r="Q144" s="25" t="str">
        <f t="shared" si="39"/>
        <v/>
      </c>
      <c r="R144" s="25" t="str">
        <f t="shared" si="40"/>
        <v/>
      </c>
      <c r="S144" s="25" t="str">
        <f t="shared" si="41"/>
        <v/>
      </c>
      <c r="T144" s="25" t="str">
        <f t="shared" si="42"/>
        <v/>
      </c>
      <c r="U144" s="72" t="str">
        <f t="shared" si="43"/>
        <v/>
      </c>
      <c r="V144" s="224" t="str">
        <f>IF(C144="","",IF(IN_DATA!R139=3, IF(IN_DATA!$L$4=5, 250, 375), 0))</f>
        <v/>
      </c>
      <c r="W144" s="97" t="str">
        <f t="shared" si="44"/>
        <v/>
      </c>
      <c r="X144" s="97" t="str">
        <f t="shared" si="45"/>
        <v/>
      </c>
      <c r="Y144" s="97" t="str">
        <f t="shared" si="46"/>
        <v/>
      </c>
      <c r="Z144" s="97" t="str">
        <f t="shared" si="47"/>
        <v/>
      </c>
      <c r="AA144" s="97" t="str">
        <f t="shared" si="48"/>
        <v/>
      </c>
      <c r="AB144" s="97" t="str">
        <f t="shared" si="49"/>
        <v/>
      </c>
      <c r="AC144" s="97" t="str">
        <f t="shared" si="50"/>
        <v/>
      </c>
      <c r="AD144" s="228" t="str">
        <f t="shared" si="51"/>
        <v/>
      </c>
      <c r="AE144" s="266" t="str">
        <f t="shared" si="52"/>
        <v/>
      </c>
    </row>
    <row r="145" spans="1:31" x14ac:dyDescent="0.2">
      <c r="A145" s="3">
        <v>135</v>
      </c>
      <c r="B145" s="3">
        <f t="shared" si="36"/>
        <v>2147</v>
      </c>
      <c r="C145" s="149" t="str">
        <f>IN_DATA!P140</f>
        <v/>
      </c>
      <c r="D145" s="33" t="str">
        <f>IN_DATA!Q140</f>
        <v/>
      </c>
      <c r="F145" s="4">
        <f t="shared" si="37"/>
        <v>2147</v>
      </c>
      <c r="G145" s="24" t="str">
        <f>IF(C145="","",IN_DATA!C140*OCF*FPF)</f>
        <v/>
      </c>
      <c r="H145" s="24" t="str">
        <f>IF(C145="","",IN_DATA!D140*OCF*FPF)</f>
        <v/>
      </c>
      <c r="I145" s="24" t="str">
        <f>IF(C145="","",IN_DATA!E140)</f>
        <v/>
      </c>
      <c r="J145" s="24" t="str">
        <f>IF(C145="","",IN_DATA!F140)</f>
        <v/>
      </c>
      <c r="K145" s="24" t="str">
        <f>IF(C145="","",IN_DATA!H140)</f>
        <v/>
      </c>
      <c r="L145" s="155" t="str">
        <f>IF(C145="","",IN_DATA!G140)</f>
        <v/>
      </c>
      <c r="M145" s="154"/>
      <c r="N145" s="220" t="str">
        <f>IF(C145="","",IN_DATA!P140)</f>
        <v/>
      </c>
      <c r="O145" s="112" t="str">
        <f>IF(C145="","",IN_DATA!Q140)</f>
        <v/>
      </c>
      <c r="P145" s="25" t="str">
        <f t="shared" si="38"/>
        <v/>
      </c>
      <c r="Q145" s="25" t="str">
        <f t="shared" si="39"/>
        <v/>
      </c>
      <c r="R145" s="25" t="str">
        <f t="shared" si="40"/>
        <v/>
      </c>
      <c r="S145" s="25" t="str">
        <f t="shared" si="41"/>
        <v/>
      </c>
      <c r="T145" s="25" t="str">
        <f t="shared" si="42"/>
        <v/>
      </c>
      <c r="U145" s="72" t="str">
        <f t="shared" si="43"/>
        <v/>
      </c>
      <c r="V145" s="224" t="str">
        <f>IF(C145="","",IF(IN_DATA!R140=3, IF(IN_DATA!$L$4=5, 250, 375), 0))</f>
        <v/>
      </c>
      <c r="W145" s="97" t="str">
        <f t="shared" si="44"/>
        <v/>
      </c>
      <c r="X145" s="97" t="str">
        <f t="shared" si="45"/>
        <v/>
      </c>
      <c r="Y145" s="97" t="str">
        <f t="shared" si="46"/>
        <v/>
      </c>
      <c r="Z145" s="97" t="str">
        <f t="shared" si="47"/>
        <v/>
      </c>
      <c r="AA145" s="97" t="str">
        <f t="shared" si="48"/>
        <v/>
      </c>
      <c r="AB145" s="97" t="str">
        <f t="shared" si="49"/>
        <v/>
      </c>
      <c r="AC145" s="97" t="str">
        <f t="shared" si="50"/>
        <v/>
      </c>
      <c r="AD145" s="228" t="str">
        <f t="shared" si="51"/>
        <v/>
      </c>
      <c r="AE145" s="266" t="str">
        <f t="shared" si="52"/>
        <v/>
      </c>
    </row>
    <row r="146" spans="1:31" x14ac:dyDescent="0.2">
      <c r="A146" s="3">
        <v>136</v>
      </c>
      <c r="B146" s="3">
        <f t="shared" si="36"/>
        <v>2148</v>
      </c>
      <c r="C146" s="149" t="str">
        <f>IN_DATA!P141</f>
        <v/>
      </c>
      <c r="D146" s="33" t="str">
        <f>IN_DATA!Q141</f>
        <v/>
      </c>
      <c r="F146" s="4">
        <f t="shared" si="37"/>
        <v>2148</v>
      </c>
      <c r="G146" s="24" t="str">
        <f>IF(C146="","",IN_DATA!C141*OCF*FPF)</f>
        <v/>
      </c>
      <c r="H146" s="24" t="str">
        <f>IF(C146="","",IN_DATA!D141*OCF*FPF)</f>
        <v/>
      </c>
      <c r="I146" s="24" t="str">
        <f>IF(C146="","",IN_DATA!E141)</f>
        <v/>
      </c>
      <c r="J146" s="24" t="str">
        <f>IF(C146="","",IN_DATA!F141)</f>
        <v/>
      </c>
      <c r="K146" s="24" t="str">
        <f>IF(C146="","",IN_DATA!H141)</f>
        <v/>
      </c>
      <c r="L146" s="155" t="str">
        <f>IF(C146="","",IN_DATA!G141)</f>
        <v/>
      </c>
      <c r="M146" s="154"/>
      <c r="N146" s="220" t="str">
        <f>IF(C146="","",IN_DATA!P141)</f>
        <v/>
      </c>
      <c r="O146" s="112" t="str">
        <f>IF(C146="","",IN_DATA!Q141)</f>
        <v/>
      </c>
      <c r="P146" s="25" t="str">
        <f t="shared" si="38"/>
        <v/>
      </c>
      <c r="Q146" s="25" t="str">
        <f t="shared" si="39"/>
        <v/>
      </c>
      <c r="R146" s="25" t="str">
        <f t="shared" si="40"/>
        <v/>
      </c>
      <c r="S146" s="25" t="str">
        <f t="shared" si="41"/>
        <v/>
      </c>
      <c r="T146" s="25" t="str">
        <f t="shared" si="42"/>
        <v/>
      </c>
      <c r="U146" s="72" t="str">
        <f t="shared" si="43"/>
        <v/>
      </c>
      <c r="V146" s="224" t="str">
        <f>IF(C146="","",IF(IN_DATA!R141=3, IF(IN_DATA!$L$4=5, 250, 375), 0))</f>
        <v/>
      </c>
      <c r="W146" s="97" t="str">
        <f t="shared" si="44"/>
        <v/>
      </c>
      <c r="X146" s="97" t="str">
        <f t="shared" si="45"/>
        <v/>
      </c>
      <c r="Y146" s="97" t="str">
        <f t="shared" si="46"/>
        <v/>
      </c>
      <c r="Z146" s="97" t="str">
        <f t="shared" si="47"/>
        <v/>
      </c>
      <c r="AA146" s="97" t="str">
        <f t="shared" si="48"/>
        <v/>
      </c>
      <c r="AB146" s="97" t="str">
        <f t="shared" si="49"/>
        <v/>
      </c>
      <c r="AC146" s="97" t="str">
        <f t="shared" si="50"/>
        <v/>
      </c>
      <c r="AD146" s="228" t="str">
        <f t="shared" si="51"/>
        <v/>
      </c>
      <c r="AE146" s="266" t="str">
        <f t="shared" si="52"/>
        <v/>
      </c>
    </row>
    <row r="147" spans="1:31" x14ac:dyDescent="0.2">
      <c r="A147" s="3">
        <v>137</v>
      </c>
      <c r="B147" s="3">
        <f t="shared" si="36"/>
        <v>2149</v>
      </c>
      <c r="C147" s="149" t="str">
        <f>IN_DATA!P142</f>
        <v/>
      </c>
      <c r="D147" s="33" t="str">
        <f>IN_DATA!Q142</f>
        <v/>
      </c>
      <c r="F147" s="4">
        <f t="shared" si="37"/>
        <v>2149</v>
      </c>
      <c r="G147" s="24" t="str">
        <f>IF(C147="","",IN_DATA!C142*OCF*FPF)</f>
        <v/>
      </c>
      <c r="H147" s="24" t="str">
        <f>IF(C147="","",IN_DATA!D142*OCF*FPF)</f>
        <v/>
      </c>
      <c r="I147" s="24" t="str">
        <f>IF(C147="","",IN_DATA!E142)</f>
        <v/>
      </c>
      <c r="J147" s="24" t="str">
        <f>IF(C147="","",IN_DATA!F142)</f>
        <v/>
      </c>
      <c r="K147" s="24" t="str">
        <f>IF(C147="","",IN_DATA!H142)</f>
        <v/>
      </c>
      <c r="L147" s="155" t="str">
        <f>IF(C147="","",IN_DATA!G142)</f>
        <v/>
      </c>
      <c r="M147" s="154"/>
      <c r="N147" s="220" t="str">
        <f>IF(C147="","",IN_DATA!P142)</f>
        <v/>
      </c>
      <c r="O147" s="112" t="str">
        <f>IF(C147="","",IN_DATA!Q142)</f>
        <v/>
      </c>
      <c r="P147" s="25" t="str">
        <f t="shared" si="38"/>
        <v/>
      </c>
      <c r="Q147" s="25" t="str">
        <f t="shared" si="39"/>
        <v/>
      </c>
      <c r="R147" s="25" t="str">
        <f t="shared" si="40"/>
        <v/>
      </c>
      <c r="S147" s="25" t="str">
        <f t="shared" si="41"/>
        <v/>
      </c>
      <c r="T147" s="25" t="str">
        <f t="shared" si="42"/>
        <v/>
      </c>
      <c r="U147" s="72" t="str">
        <f t="shared" si="43"/>
        <v/>
      </c>
      <c r="V147" s="224" t="str">
        <f>IF(C147="","",IF(IN_DATA!R142=3, IF(IN_DATA!$L$4=5, 250, 375), 0))</f>
        <v/>
      </c>
      <c r="W147" s="97" t="str">
        <f t="shared" si="44"/>
        <v/>
      </c>
      <c r="X147" s="97" t="str">
        <f t="shared" si="45"/>
        <v/>
      </c>
      <c r="Y147" s="97" t="str">
        <f t="shared" si="46"/>
        <v/>
      </c>
      <c r="Z147" s="97" t="str">
        <f t="shared" si="47"/>
        <v/>
      </c>
      <c r="AA147" s="97" t="str">
        <f t="shared" si="48"/>
        <v/>
      </c>
      <c r="AB147" s="97" t="str">
        <f t="shared" si="49"/>
        <v/>
      </c>
      <c r="AC147" s="97" t="str">
        <f t="shared" si="50"/>
        <v/>
      </c>
      <c r="AD147" s="228" t="str">
        <f t="shared" si="51"/>
        <v/>
      </c>
      <c r="AE147" s="266" t="str">
        <f t="shared" si="52"/>
        <v/>
      </c>
    </row>
    <row r="148" spans="1:31" x14ac:dyDescent="0.2">
      <c r="A148" s="3">
        <v>138</v>
      </c>
      <c r="B148" s="3">
        <f t="shared" si="36"/>
        <v>2150</v>
      </c>
      <c r="C148" s="149" t="str">
        <f>IN_DATA!P143</f>
        <v/>
      </c>
      <c r="D148" s="33" t="str">
        <f>IN_DATA!Q143</f>
        <v/>
      </c>
      <c r="F148" s="4">
        <f t="shared" si="37"/>
        <v>2150</v>
      </c>
      <c r="G148" s="24" t="str">
        <f>IF(C148="","",IN_DATA!C143*OCF*FPF)</f>
        <v/>
      </c>
      <c r="H148" s="24" t="str">
        <f>IF(C148="","",IN_DATA!D143*OCF*FPF)</f>
        <v/>
      </c>
      <c r="I148" s="24" t="str">
        <f>IF(C148="","",IN_DATA!E143)</f>
        <v/>
      </c>
      <c r="J148" s="24" t="str">
        <f>IF(C148="","",IN_DATA!F143)</f>
        <v/>
      </c>
      <c r="K148" s="24" t="str">
        <f>IF(C148="","",IN_DATA!H143)</f>
        <v/>
      </c>
      <c r="L148" s="155" t="str">
        <f>IF(C148="","",IN_DATA!G143)</f>
        <v/>
      </c>
      <c r="M148" s="154"/>
      <c r="N148" s="220" t="str">
        <f>IF(C148="","",IN_DATA!P143)</f>
        <v/>
      </c>
      <c r="O148" s="112" t="str">
        <f>IF(C148="","",IN_DATA!Q143)</f>
        <v/>
      </c>
      <c r="P148" s="25" t="str">
        <f t="shared" si="38"/>
        <v/>
      </c>
      <c r="Q148" s="25" t="str">
        <f t="shared" si="39"/>
        <v/>
      </c>
      <c r="R148" s="25" t="str">
        <f t="shared" si="40"/>
        <v/>
      </c>
      <c r="S148" s="25" t="str">
        <f t="shared" si="41"/>
        <v/>
      </c>
      <c r="T148" s="25" t="str">
        <f t="shared" si="42"/>
        <v/>
      </c>
      <c r="U148" s="72" t="str">
        <f t="shared" si="43"/>
        <v/>
      </c>
      <c r="V148" s="224" t="str">
        <f>IF(C148="","",IF(IN_DATA!R143=3, IF(IN_DATA!$L$4=5, 250, 375), 0))</f>
        <v/>
      </c>
      <c r="W148" s="97" t="str">
        <f t="shared" si="44"/>
        <v/>
      </c>
      <c r="X148" s="97" t="str">
        <f t="shared" si="45"/>
        <v/>
      </c>
      <c r="Y148" s="97" t="str">
        <f t="shared" si="46"/>
        <v/>
      </c>
      <c r="Z148" s="97" t="str">
        <f t="shared" si="47"/>
        <v/>
      </c>
      <c r="AA148" s="97" t="str">
        <f t="shared" si="48"/>
        <v/>
      </c>
      <c r="AB148" s="97" t="str">
        <f t="shared" si="49"/>
        <v/>
      </c>
      <c r="AC148" s="97" t="str">
        <f t="shared" si="50"/>
        <v/>
      </c>
      <c r="AD148" s="228" t="str">
        <f t="shared" si="51"/>
        <v/>
      </c>
      <c r="AE148" s="266" t="str">
        <f t="shared" si="52"/>
        <v/>
      </c>
    </row>
    <row r="149" spans="1:31" x14ac:dyDescent="0.2">
      <c r="A149" s="3">
        <v>139</v>
      </c>
      <c r="B149" s="3">
        <f t="shared" si="36"/>
        <v>2151</v>
      </c>
      <c r="C149" s="149" t="str">
        <f>IN_DATA!P144</f>
        <v/>
      </c>
      <c r="D149" s="33" t="str">
        <f>IN_DATA!Q144</f>
        <v/>
      </c>
      <c r="F149" s="4">
        <f t="shared" si="37"/>
        <v>2151</v>
      </c>
      <c r="G149" s="24" t="str">
        <f>IF(C149="","",IN_DATA!C144*OCF*FPF)</f>
        <v/>
      </c>
      <c r="H149" s="24" t="str">
        <f>IF(C149="","",IN_DATA!D144*OCF*FPF)</f>
        <v/>
      </c>
      <c r="I149" s="24" t="str">
        <f>IF(C149="","",IN_DATA!E144)</f>
        <v/>
      </c>
      <c r="J149" s="24" t="str">
        <f>IF(C149="","",IN_DATA!F144)</f>
        <v/>
      </c>
      <c r="K149" s="24" t="str">
        <f>IF(C149="","",IN_DATA!H144)</f>
        <v/>
      </c>
      <c r="L149" s="155" t="str">
        <f>IF(C149="","",IN_DATA!G144)</f>
        <v/>
      </c>
      <c r="M149" s="154"/>
      <c r="N149" s="220" t="str">
        <f>IF(C149="","",IN_DATA!P144)</f>
        <v/>
      </c>
      <c r="O149" s="112" t="str">
        <f>IF(C149="","",IN_DATA!Q144)</f>
        <v/>
      </c>
      <c r="P149" s="25" t="str">
        <f t="shared" si="38"/>
        <v/>
      </c>
      <c r="Q149" s="25" t="str">
        <f t="shared" si="39"/>
        <v/>
      </c>
      <c r="R149" s="25" t="str">
        <f t="shared" si="40"/>
        <v/>
      </c>
      <c r="S149" s="25" t="str">
        <f t="shared" si="41"/>
        <v/>
      </c>
      <c r="T149" s="25" t="str">
        <f t="shared" si="42"/>
        <v/>
      </c>
      <c r="U149" s="72" t="str">
        <f t="shared" si="43"/>
        <v/>
      </c>
      <c r="V149" s="224" t="str">
        <f>IF(C149="","",IF(IN_DATA!R144=3, IF(IN_DATA!$L$4=5, 250, 375), 0))</f>
        <v/>
      </c>
      <c r="W149" s="97" t="str">
        <f t="shared" si="44"/>
        <v/>
      </c>
      <c r="X149" s="97" t="str">
        <f t="shared" si="45"/>
        <v/>
      </c>
      <c r="Y149" s="97" t="str">
        <f t="shared" si="46"/>
        <v/>
      </c>
      <c r="Z149" s="97" t="str">
        <f t="shared" si="47"/>
        <v/>
      </c>
      <c r="AA149" s="97" t="str">
        <f t="shared" si="48"/>
        <v/>
      </c>
      <c r="AB149" s="97" t="str">
        <f t="shared" si="49"/>
        <v/>
      </c>
      <c r="AC149" s="97" t="str">
        <f t="shared" si="50"/>
        <v/>
      </c>
      <c r="AD149" s="228" t="str">
        <f t="shared" si="51"/>
        <v/>
      </c>
      <c r="AE149" s="266" t="str">
        <f t="shared" si="52"/>
        <v/>
      </c>
    </row>
    <row r="150" spans="1:31" x14ac:dyDescent="0.2">
      <c r="A150" s="3">
        <v>140</v>
      </c>
      <c r="B150" s="3">
        <f t="shared" si="36"/>
        <v>2152</v>
      </c>
      <c r="C150" s="149" t="str">
        <f>IN_DATA!P145</f>
        <v/>
      </c>
      <c r="D150" s="33" t="str">
        <f>IN_DATA!Q145</f>
        <v/>
      </c>
      <c r="F150" s="4">
        <f t="shared" si="37"/>
        <v>2152</v>
      </c>
      <c r="G150" s="24" t="str">
        <f>IF(C150="","",IN_DATA!C145*OCF*FPF)</f>
        <v/>
      </c>
      <c r="H150" s="24" t="str">
        <f>IF(C150="","",IN_DATA!D145*OCF*FPF)</f>
        <v/>
      </c>
      <c r="I150" s="24" t="str">
        <f>IF(C150="","",IN_DATA!E145)</f>
        <v/>
      </c>
      <c r="J150" s="24" t="str">
        <f>IF(C150="","",IN_DATA!F145)</f>
        <v/>
      </c>
      <c r="K150" s="24" t="str">
        <f>IF(C150="","",IN_DATA!H145)</f>
        <v/>
      </c>
      <c r="L150" s="155" t="str">
        <f>IF(C150="","",IN_DATA!G145)</f>
        <v/>
      </c>
      <c r="M150" s="154"/>
      <c r="N150" s="220" t="str">
        <f>IF(C150="","",IN_DATA!P145)</f>
        <v/>
      </c>
      <c r="O150" s="112" t="str">
        <f>IF(C150="","",IN_DATA!Q145)</f>
        <v/>
      </c>
      <c r="P150" s="25" t="str">
        <f t="shared" si="38"/>
        <v/>
      </c>
      <c r="Q150" s="25" t="str">
        <f t="shared" si="39"/>
        <v/>
      </c>
      <c r="R150" s="25" t="str">
        <f t="shared" si="40"/>
        <v/>
      </c>
      <c r="S150" s="25" t="str">
        <f t="shared" si="41"/>
        <v/>
      </c>
      <c r="T150" s="25" t="str">
        <f t="shared" si="42"/>
        <v/>
      </c>
      <c r="U150" s="72" t="str">
        <f t="shared" si="43"/>
        <v/>
      </c>
      <c r="V150" s="224" t="str">
        <f>IF(C150="","",IF(IN_DATA!R145=3, IF(IN_DATA!$L$4=5, 250, 375), 0))</f>
        <v/>
      </c>
      <c r="W150" s="97" t="str">
        <f t="shared" si="44"/>
        <v/>
      </c>
      <c r="X150" s="97" t="str">
        <f t="shared" si="45"/>
        <v/>
      </c>
      <c r="Y150" s="97" t="str">
        <f t="shared" si="46"/>
        <v/>
      </c>
      <c r="Z150" s="97" t="str">
        <f t="shared" si="47"/>
        <v/>
      </c>
      <c r="AA150" s="97" t="str">
        <f t="shared" si="48"/>
        <v/>
      </c>
      <c r="AB150" s="97" t="str">
        <f t="shared" si="49"/>
        <v/>
      </c>
      <c r="AC150" s="97" t="str">
        <f t="shared" si="50"/>
        <v/>
      </c>
      <c r="AD150" s="228" t="str">
        <f t="shared" si="51"/>
        <v/>
      </c>
      <c r="AE150" s="266" t="str">
        <f t="shared" si="52"/>
        <v/>
      </c>
    </row>
    <row r="151" spans="1:31" x14ac:dyDescent="0.2">
      <c r="A151" s="3">
        <v>141</v>
      </c>
      <c r="B151" s="3">
        <f t="shared" si="36"/>
        <v>2153</v>
      </c>
      <c r="C151" s="149" t="str">
        <f>IN_DATA!P146</f>
        <v/>
      </c>
      <c r="D151" s="33" t="str">
        <f>IN_DATA!Q146</f>
        <v/>
      </c>
      <c r="F151" s="4">
        <f t="shared" si="37"/>
        <v>2153</v>
      </c>
      <c r="G151" s="24" t="str">
        <f>IF(C151="","",IN_DATA!C146*OCF*FPF)</f>
        <v/>
      </c>
      <c r="H151" s="24" t="str">
        <f>IF(C151="","",IN_DATA!D146*OCF*FPF)</f>
        <v/>
      </c>
      <c r="I151" s="24" t="str">
        <f>IF(C151="","",IN_DATA!E146)</f>
        <v/>
      </c>
      <c r="J151" s="24" t="str">
        <f>IF(C151="","",IN_DATA!F146)</f>
        <v/>
      </c>
      <c r="K151" s="24" t="str">
        <f>IF(C151="","",IN_DATA!H146)</f>
        <v/>
      </c>
      <c r="L151" s="155" t="str">
        <f>IF(C151="","",IN_DATA!G146)</f>
        <v/>
      </c>
      <c r="M151" s="154"/>
      <c r="N151" s="220" t="str">
        <f>IF(C151="","",IN_DATA!P146)</f>
        <v/>
      </c>
      <c r="O151" s="112" t="str">
        <f>IF(C151="","",IN_DATA!Q146)</f>
        <v/>
      </c>
      <c r="P151" s="25" t="str">
        <f t="shared" si="38"/>
        <v/>
      </c>
      <c r="Q151" s="25" t="str">
        <f t="shared" si="39"/>
        <v/>
      </c>
      <c r="R151" s="25" t="str">
        <f t="shared" si="40"/>
        <v/>
      </c>
      <c r="S151" s="25" t="str">
        <f t="shared" si="41"/>
        <v/>
      </c>
      <c r="T151" s="25" t="str">
        <f t="shared" si="42"/>
        <v/>
      </c>
      <c r="U151" s="72" t="str">
        <f t="shared" si="43"/>
        <v/>
      </c>
      <c r="V151" s="224" t="str">
        <f>IF(C151="","",IF(IN_DATA!R146=3, IF(IN_DATA!$L$4=5, 250, 375), 0))</f>
        <v/>
      </c>
      <c r="W151" s="97" t="str">
        <f t="shared" si="44"/>
        <v/>
      </c>
      <c r="X151" s="97" t="str">
        <f t="shared" si="45"/>
        <v/>
      </c>
      <c r="Y151" s="97" t="str">
        <f t="shared" si="46"/>
        <v/>
      </c>
      <c r="Z151" s="97" t="str">
        <f t="shared" si="47"/>
        <v/>
      </c>
      <c r="AA151" s="97" t="str">
        <f t="shared" si="48"/>
        <v/>
      </c>
      <c r="AB151" s="97" t="str">
        <f t="shared" si="49"/>
        <v/>
      </c>
      <c r="AC151" s="97" t="str">
        <f t="shared" si="50"/>
        <v/>
      </c>
      <c r="AD151" s="228" t="str">
        <f t="shared" si="51"/>
        <v/>
      </c>
      <c r="AE151" s="266" t="str">
        <f t="shared" si="52"/>
        <v/>
      </c>
    </row>
    <row r="152" spans="1:31" x14ac:dyDescent="0.2">
      <c r="A152" s="3">
        <v>142</v>
      </c>
      <c r="B152" s="3">
        <f t="shared" si="36"/>
        <v>2154</v>
      </c>
      <c r="C152" s="149" t="str">
        <f>IN_DATA!P147</f>
        <v/>
      </c>
      <c r="D152" s="33" t="str">
        <f>IN_DATA!Q147</f>
        <v/>
      </c>
      <c r="F152" s="4">
        <f t="shared" si="37"/>
        <v>2154</v>
      </c>
      <c r="G152" s="24" t="str">
        <f>IF(C152="","",IN_DATA!C147*OCF*FPF)</f>
        <v/>
      </c>
      <c r="H152" s="24" t="str">
        <f>IF(C152="","",IN_DATA!D147*OCF*FPF)</f>
        <v/>
      </c>
      <c r="I152" s="24" t="str">
        <f>IF(C152="","",IN_DATA!E147)</f>
        <v/>
      </c>
      <c r="J152" s="24" t="str">
        <f>IF(C152="","",IN_DATA!F147)</f>
        <v/>
      </c>
      <c r="K152" s="24" t="str">
        <f>IF(C152="","",IN_DATA!H147)</f>
        <v/>
      </c>
      <c r="L152" s="155" t="str">
        <f>IF(C152="","",IN_DATA!G147)</f>
        <v/>
      </c>
      <c r="M152" s="154"/>
      <c r="N152" s="220" t="str">
        <f>IF(C152="","",IN_DATA!P147)</f>
        <v/>
      </c>
      <c r="O152" s="112" t="str">
        <f>IF(C152="","",IN_DATA!Q147)</f>
        <v/>
      </c>
      <c r="P152" s="25" t="str">
        <f t="shared" si="38"/>
        <v/>
      </c>
      <c r="Q152" s="25" t="str">
        <f t="shared" si="39"/>
        <v/>
      </c>
      <c r="R152" s="25" t="str">
        <f t="shared" si="40"/>
        <v/>
      </c>
      <c r="S152" s="25" t="str">
        <f t="shared" si="41"/>
        <v/>
      </c>
      <c r="T152" s="25" t="str">
        <f t="shared" si="42"/>
        <v/>
      </c>
      <c r="U152" s="72" t="str">
        <f t="shared" si="43"/>
        <v/>
      </c>
      <c r="V152" s="224" t="str">
        <f>IF(C152="","",IF(IN_DATA!R147=3, IF(IN_DATA!$L$4=5, 250, 375), 0))</f>
        <v/>
      </c>
      <c r="W152" s="97" t="str">
        <f t="shared" si="44"/>
        <v/>
      </c>
      <c r="X152" s="97" t="str">
        <f t="shared" si="45"/>
        <v/>
      </c>
      <c r="Y152" s="97" t="str">
        <f t="shared" si="46"/>
        <v/>
      </c>
      <c r="Z152" s="97" t="str">
        <f t="shared" si="47"/>
        <v/>
      </c>
      <c r="AA152" s="97" t="str">
        <f t="shared" si="48"/>
        <v/>
      </c>
      <c r="AB152" s="97" t="str">
        <f t="shared" si="49"/>
        <v/>
      </c>
      <c r="AC152" s="97" t="str">
        <f t="shared" si="50"/>
        <v/>
      </c>
      <c r="AD152" s="228" t="str">
        <f t="shared" si="51"/>
        <v/>
      </c>
      <c r="AE152" s="266" t="str">
        <f t="shared" si="52"/>
        <v/>
      </c>
    </row>
    <row r="153" spans="1:31" x14ac:dyDescent="0.2">
      <c r="A153" s="3">
        <v>143</v>
      </c>
      <c r="B153" s="3">
        <f t="shared" si="36"/>
        <v>2155</v>
      </c>
      <c r="C153" s="149" t="str">
        <f>IN_DATA!P148</f>
        <v/>
      </c>
      <c r="D153" s="33" t="str">
        <f>IN_DATA!Q148</f>
        <v/>
      </c>
      <c r="F153" s="4">
        <f t="shared" si="37"/>
        <v>2155</v>
      </c>
      <c r="G153" s="24" t="str">
        <f>IF(C153="","",IN_DATA!C148*OCF*FPF)</f>
        <v/>
      </c>
      <c r="H153" s="24" t="str">
        <f>IF(C153="","",IN_DATA!D148*OCF*FPF)</f>
        <v/>
      </c>
      <c r="I153" s="24" t="str">
        <f>IF(C153="","",IN_DATA!E148)</f>
        <v/>
      </c>
      <c r="J153" s="24" t="str">
        <f>IF(C153="","",IN_DATA!F148)</f>
        <v/>
      </c>
      <c r="K153" s="24" t="str">
        <f>IF(C153="","",IN_DATA!H148)</f>
        <v/>
      </c>
      <c r="L153" s="155" t="str">
        <f>IF(C153="","",IN_DATA!G148)</f>
        <v/>
      </c>
      <c r="M153" s="154"/>
      <c r="N153" s="220" t="str">
        <f>IF(C153="","",IN_DATA!P148)</f>
        <v/>
      </c>
      <c r="O153" s="112" t="str">
        <f>IF(C153="","",IN_DATA!Q148)</f>
        <v/>
      </c>
      <c r="P153" s="25" t="str">
        <f t="shared" si="38"/>
        <v/>
      </c>
      <c r="Q153" s="25" t="str">
        <f t="shared" si="39"/>
        <v/>
      </c>
      <c r="R153" s="25" t="str">
        <f t="shared" si="40"/>
        <v/>
      </c>
      <c r="S153" s="25" t="str">
        <f t="shared" si="41"/>
        <v/>
      </c>
      <c r="T153" s="25" t="str">
        <f t="shared" si="42"/>
        <v/>
      </c>
      <c r="U153" s="72" t="str">
        <f t="shared" si="43"/>
        <v/>
      </c>
      <c r="V153" s="224" t="str">
        <f>IF(C153="","",IF(IN_DATA!R148=3, IF(IN_DATA!$L$4=5, 250, 375), 0))</f>
        <v/>
      </c>
      <c r="W153" s="97" t="str">
        <f t="shared" si="44"/>
        <v/>
      </c>
      <c r="X153" s="97" t="str">
        <f t="shared" si="45"/>
        <v/>
      </c>
      <c r="Y153" s="97" t="str">
        <f t="shared" si="46"/>
        <v/>
      </c>
      <c r="Z153" s="97" t="str">
        <f t="shared" si="47"/>
        <v/>
      </c>
      <c r="AA153" s="97" t="str">
        <f t="shared" si="48"/>
        <v/>
      </c>
      <c r="AB153" s="97" t="str">
        <f t="shared" si="49"/>
        <v/>
      </c>
      <c r="AC153" s="97" t="str">
        <f t="shared" si="50"/>
        <v/>
      </c>
      <c r="AD153" s="228" t="str">
        <f t="shared" si="51"/>
        <v/>
      </c>
      <c r="AE153" s="266" t="str">
        <f t="shared" si="52"/>
        <v/>
      </c>
    </row>
    <row r="154" spans="1:31" x14ac:dyDescent="0.2">
      <c r="A154" s="3">
        <v>144</v>
      </c>
      <c r="B154" s="3">
        <f t="shared" si="36"/>
        <v>2156</v>
      </c>
      <c r="C154" s="149" t="str">
        <f>IN_DATA!P149</f>
        <v/>
      </c>
      <c r="D154" s="33" t="str">
        <f>IN_DATA!Q149</f>
        <v/>
      </c>
      <c r="F154" s="4">
        <f t="shared" si="37"/>
        <v>2156</v>
      </c>
      <c r="G154" s="24" t="str">
        <f>IF(C154="","",IN_DATA!C149*OCF*FPF)</f>
        <v/>
      </c>
      <c r="H154" s="24" t="str">
        <f>IF(C154="","",IN_DATA!D149*OCF*FPF)</f>
        <v/>
      </c>
      <c r="I154" s="24" t="str">
        <f>IF(C154="","",IN_DATA!E149)</f>
        <v/>
      </c>
      <c r="J154" s="24" t="str">
        <f>IF(C154="","",IN_DATA!F149)</f>
        <v/>
      </c>
      <c r="K154" s="24" t="str">
        <f>IF(C154="","",IN_DATA!H149)</f>
        <v/>
      </c>
      <c r="L154" s="155" t="str">
        <f>IF(C154="","",IN_DATA!G149)</f>
        <v/>
      </c>
      <c r="M154" s="154"/>
      <c r="N154" s="220" t="str">
        <f>IF(C154="","",IN_DATA!P149)</f>
        <v/>
      </c>
      <c r="O154" s="112" t="str">
        <f>IF(C154="","",IN_DATA!Q149)</f>
        <v/>
      </c>
      <c r="P154" s="25" t="str">
        <f t="shared" si="38"/>
        <v/>
      </c>
      <c r="Q154" s="25" t="str">
        <f t="shared" si="39"/>
        <v/>
      </c>
      <c r="R154" s="25" t="str">
        <f t="shared" si="40"/>
        <v/>
      </c>
      <c r="S154" s="25" t="str">
        <f t="shared" si="41"/>
        <v/>
      </c>
      <c r="T154" s="25" t="str">
        <f t="shared" si="42"/>
        <v/>
      </c>
      <c r="U154" s="72" t="str">
        <f t="shared" si="43"/>
        <v/>
      </c>
      <c r="V154" s="224" t="str">
        <f>IF(C154="","",IF(IN_DATA!R149=3, IF(IN_DATA!$L$4=5, 250, 375), 0))</f>
        <v/>
      </c>
      <c r="W154" s="97" t="str">
        <f t="shared" si="44"/>
        <v/>
      </c>
      <c r="X154" s="97" t="str">
        <f t="shared" si="45"/>
        <v/>
      </c>
      <c r="Y154" s="97" t="str">
        <f t="shared" si="46"/>
        <v/>
      </c>
      <c r="Z154" s="97" t="str">
        <f t="shared" si="47"/>
        <v/>
      </c>
      <c r="AA154" s="97" t="str">
        <f t="shared" si="48"/>
        <v/>
      </c>
      <c r="AB154" s="97" t="str">
        <f t="shared" si="49"/>
        <v/>
      </c>
      <c r="AC154" s="97" t="str">
        <f t="shared" si="50"/>
        <v/>
      </c>
      <c r="AD154" s="228" t="str">
        <f t="shared" si="51"/>
        <v/>
      </c>
      <c r="AE154" s="266" t="str">
        <f t="shared" si="52"/>
        <v/>
      </c>
    </row>
    <row r="155" spans="1:31" x14ac:dyDescent="0.2">
      <c r="A155" s="3">
        <v>145</v>
      </c>
      <c r="B155" s="3">
        <f t="shared" si="36"/>
        <v>2157</v>
      </c>
      <c r="C155" s="149" t="str">
        <f>IN_DATA!P150</f>
        <v/>
      </c>
      <c r="D155" s="33" t="str">
        <f>IN_DATA!Q150</f>
        <v/>
      </c>
      <c r="F155" s="4">
        <f t="shared" si="37"/>
        <v>2157</v>
      </c>
      <c r="G155" s="24" t="str">
        <f>IF(C155="","",IN_DATA!C150*OCF*FPF)</f>
        <v/>
      </c>
      <c r="H155" s="24" t="str">
        <f>IF(C155="","",IN_DATA!D150*OCF*FPF)</f>
        <v/>
      </c>
      <c r="I155" s="24" t="str">
        <f>IF(C155="","",IN_DATA!E150)</f>
        <v/>
      </c>
      <c r="J155" s="24" t="str">
        <f>IF(C155="","",IN_DATA!F150)</f>
        <v/>
      </c>
      <c r="K155" s="24" t="str">
        <f>IF(C155="","",IN_DATA!H150)</f>
        <v/>
      </c>
      <c r="L155" s="155" t="str">
        <f>IF(C155="","",IN_DATA!G150)</f>
        <v/>
      </c>
      <c r="M155" s="154"/>
      <c r="N155" s="220" t="str">
        <f>IF(C155="","",IN_DATA!P150)</f>
        <v/>
      </c>
      <c r="O155" s="112" t="str">
        <f>IF(C155="","",IN_DATA!Q150)</f>
        <v/>
      </c>
      <c r="P155" s="25" t="str">
        <f t="shared" si="38"/>
        <v/>
      </c>
      <c r="Q155" s="25" t="str">
        <f t="shared" si="39"/>
        <v/>
      </c>
      <c r="R155" s="25" t="str">
        <f t="shared" si="40"/>
        <v/>
      </c>
      <c r="S155" s="25" t="str">
        <f t="shared" si="41"/>
        <v/>
      </c>
      <c r="T155" s="25" t="str">
        <f t="shared" si="42"/>
        <v/>
      </c>
      <c r="U155" s="72" t="str">
        <f t="shared" si="43"/>
        <v/>
      </c>
      <c r="V155" s="224" t="str">
        <f>IF(C155="","",IF(IN_DATA!R150=3, IF(IN_DATA!$L$4=5, 250, 375), 0))</f>
        <v/>
      </c>
      <c r="W155" s="97" t="str">
        <f t="shared" si="44"/>
        <v/>
      </c>
      <c r="X155" s="97" t="str">
        <f t="shared" si="45"/>
        <v/>
      </c>
      <c r="Y155" s="97" t="str">
        <f t="shared" si="46"/>
        <v/>
      </c>
      <c r="Z155" s="97" t="str">
        <f t="shared" si="47"/>
        <v/>
      </c>
      <c r="AA155" s="97" t="str">
        <f t="shared" si="48"/>
        <v/>
      </c>
      <c r="AB155" s="97" t="str">
        <f t="shared" si="49"/>
        <v/>
      </c>
      <c r="AC155" s="97" t="str">
        <f t="shared" si="50"/>
        <v/>
      </c>
      <c r="AD155" s="228" t="str">
        <f t="shared" si="51"/>
        <v/>
      </c>
      <c r="AE155" s="266" t="str">
        <f t="shared" si="52"/>
        <v/>
      </c>
    </row>
    <row r="156" spans="1:31" x14ac:dyDescent="0.2">
      <c r="A156" s="3">
        <v>146</v>
      </c>
      <c r="B156" s="3">
        <f t="shared" si="36"/>
        <v>2158</v>
      </c>
      <c r="C156" s="149" t="str">
        <f>IN_DATA!P151</f>
        <v/>
      </c>
      <c r="D156" s="33" t="str">
        <f>IN_DATA!Q151</f>
        <v/>
      </c>
      <c r="F156" s="4">
        <f t="shared" si="37"/>
        <v>2158</v>
      </c>
      <c r="G156" s="24" t="str">
        <f>IF(C156="","",IN_DATA!C151*OCF*FPF)</f>
        <v/>
      </c>
      <c r="H156" s="24" t="str">
        <f>IF(C156="","",IN_DATA!D151*OCF*FPF)</f>
        <v/>
      </c>
      <c r="I156" s="24" t="str">
        <f>IF(C156="","",IN_DATA!E151)</f>
        <v/>
      </c>
      <c r="J156" s="24" t="str">
        <f>IF(C156="","",IN_DATA!F151)</f>
        <v/>
      </c>
      <c r="K156" s="24" t="str">
        <f>IF(C156="","",IN_DATA!H151)</f>
        <v/>
      </c>
      <c r="L156" s="155" t="str">
        <f>IF(C156="","",IN_DATA!G151)</f>
        <v/>
      </c>
      <c r="M156" s="154"/>
      <c r="N156" s="220" t="str">
        <f>IF(C156="","",IN_DATA!P151)</f>
        <v/>
      </c>
      <c r="O156" s="112" t="str">
        <f>IF(C156="","",IN_DATA!Q151)</f>
        <v/>
      </c>
      <c r="P156" s="25" t="str">
        <f t="shared" si="38"/>
        <v/>
      </c>
      <c r="Q156" s="25" t="str">
        <f t="shared" si="39"/>
        <v/>
      </c>
      <c r="R156" s="25" t="str">
        <f t="shared" si="40"/>
        <v/>
      </c>
      <c r="S156" s="25" t="str">
        <f t="shared" si="41"/>
        <v/>
      </c>
      <c r="T156" s="25" t="str">
        <f t="shared" si="42"/>
        <v/>
      </c>
      <c r="U156" s="72" t="str">
        <f t="shared" si="43"/>
        <v/>
      </c>
      <c r="V156" s="224" t="str">
        <f>IF(C156="","",IF(IN_DATA!R151=3, IF(IN_DATA!$L$4=5, 250, 375), 0))</f>
        <v/>
      </c>
      <c r="W156" s="97" t="str">
        <f t="shared" si="44"/>
        <v/>
      </c>
      <c r="X156" s="97" t="str">
        <f t="shared" si="45"/>
        <v/>
      </c>
      <c r="Y156" s="97" t="str">
        <f t="shared" si="46"/>
        <v/>
      </c>
      <c r="Z156" s="97" t="str">
        <f t="shared" si="47"/>
        <v/>
      </c>
      <c r="AA156" s="97" t="str">
        <f t="shared" si="48"/>
        <v/>
      </c>
      <c r="AB156" s="97" t="str">
        <f t="shared" si="49"/>
        <v/>
      </c>
      <c r="AC156" s="97" t="str">
        <f t="shared" si="50"/>
        <v/>
      </c>
      <c r="AD156" s="228" t="str">
        <f t="shared" si="51"/>
        <v/>
      </c>
      <c r="AE156" s="266" t="str">
        <f t="shared" si="52"/>
        <v/>
      </c>
    </row>
    <row r="157" spans="1:31" x14ac:dyDescent="0.2">
      <c r="A157" s="3">
        <v>147</v>
      </c>
      <c r="B157" s="3">
        <f t="shared" si="36"/>
        <v>2159</v>
      </c>
      <c r="C157" s="149" t="str">
        <f>IN_DATA!P152</f>
        <v/>
      </c>
      <c r="D157" s="33" t="str">
        <f>IN_DATA!Q152</f>
        <v/>
      </c>
      <c r="F157" s="4">
        <f t="shared" si="37"/>
        <v>2159</v>
      </c>
      <c r="G157" s="24" t="str">
        <f>IF(C157="","",IN_DATA!C152*OCF*FPF)</f>
        <v/>
      </c>
      <c r="H157" s="24" t="str">
        <f>IF(C157="","",IN_DATA!D152*OCF*FPF)</f>
        <v/>
      </c>
      <c r="I157" s="24" t="str">
        <f>IF(C157="","",IN_DATA!E152)</f>
        <v/>
      </c>
      <c r="J157" s="24" t="str">
        <f>IF(C157="","",IN_DATA!F152)</f>
        <v/>
      </c>
      <c r="K157" s="24" t="str">
        <f>IF(C157="","",IN_DATA!H152)</f>
        <v/>
      </c>
      <c r="L157" s="155" t="str">
        <f>IF(C157="","",IN_DATA!G152)</f>
        <v/>
      </c>
      <c r="M157" s="154"/>
      <c r="N157" s="220" t="str">
        <f>IF(C157="","",IN_DATA!P152)</f>
        <v/>
      </c>
      <c r="O157" s="112" t="str">
        <f>IF(C157="","",IN_DATA!Q152)</f>
        <v/>
      </c>
      <c r="P157" s="25" t="str">
        <f t="shared" si="38"/>
        <v/>
      </c>
      <c r="Q157" s="25" t="str">
        <f t="shared" si="39"/>
        <v/>
      </c>
      <c r="R157" s="25" t="str">
        <f t="shared" si="40"/>
        <v/>
      </c>
      <c r="S157" s="25" t="str">
        <f t="shared" si="41"/>
        <v/>
      </c>
      <c r="T157" s="25" t="str">
        <f t="shared" si="42"/>
        <v/>
      </c>
      <c r="U157" s="72" t="str">
        <f t="shared" si="43"/>
        <v/>
      </c>
      <c r="V157" s="224" t="str">
        <f>IF(C157="","",IF(IN_DATA!R152=3, IF(IN_DATA!$L$4=5, 250, 375), 0))</f>
        <v/>
      </c>
      <c r="W157" s="97" t="str">
        <f t="shared" si="44"/>
        <v/>
      </c>
      <c r="X157" s="97" t="str">
        <f t="shared" si="45"/>
        <v/>
      </c>
      <c r="Y157" s="97" t="str">
        <f t="shared" si="46"/>
        <v/>
      </c>
      <c r="Z157" s="97" t="str">
        <f t="shared" si="47"/>
        <v/>
      </c>
      <c r="AA157" s="97" t="str">
        <f t="shared" si="48"/>
        <v/>
      </c>
      <c r="AB157" s="97" t="str">
        <f t="shared" si="49"/>
        <v/>
      </c>
      <c r="AC157" s="97" t="str">
        <f t="shared" si="50"/>
        <v/>
      </c>
      <c r="AD157" s="228" t="str">
        <f t="shared" si="51"/>
        <v/>
      </c>
      <c r="AE157" s="266" t="str">
        <f t="shared" si="52"/>
        <v/>
      </c>
    </row>
    <row r="158" spans="1:31" x14ac:dyDescent="0.2">
      <c r="A158" s="3">
        <v>148</v>
      </c>
      <c r="B158" s="3">
        <f t="shared" si="36"/>
        <v>2160</v>
      </c>
      <c r="C158" s="149" t="str">
        <f>IN_DATA!P153</f>
        <v/>
      </c>
      <c r="D158" s="33" t="str">
        <f>IN_DATA!Q153</f>
        <v/>
      </c>
      <c r="F158" s="4">
        <f t="shared" si="37"/>
        <v>2160</v>
      </c>
      <c r="G158" s="24" t="str">
        <f>IF(C158="","",IN_DATA!C153*OCF*FPF)</f>
        <v/>
      </c>
      <c r="H158" s="24" t="str">
        <f>IF(C158="","",IN_DATA!D153*OCF*FPF)</f>
        <v/>
      </c>
      <c r="I158" s="24" t="str">
        <f>IF(C158="","",IN_DATA!E153)</f>
        <v/>
      </c>
      <c r="J158" s="24" t="str">
        <f>IF(C158="","",IN_DATA!F153)</f>
        <v/>
      </c>
      <c r="K158" s="24" t="str">
        <f>IF(C158="","",IN_DATA!H153)</f>
        <v/>
      </c>
      <c r="L158" s="155" t="str">
        <f>IF(C158="","",IN_DATA!G153)</f>
        <v/>
      </c>
      <c r="M158" s="154"/>
      <c r="N158" s="220" t="str">
        <f>IF(C158="","",IN_DATA!P153)</f>
        <v/>
      </c>
      <c r="O158" s="112" t="str">
        <f>IF(C158="","",IN_DATA!Q153)</f>
        <v/>
      </c>
      <c r="P158" s="25" t="str">
        <f t="shared" si="38"/>
        <v/>
      </c>
      <c r="Q158" s="25" t="str">
        <f t="shared" si="39"/>
        <v/>
      </c>
      <c r="R158" s="25" t="str">
        <f t="shared" si="40"/>
        <v/>
      </c>
      <c r="S158" s="25" t="str">
        <f t="shared" si="41"/>
        <v/>
      </c>
      <c r="T158" s="25" t="str">
        <f t="shared" si="42"/>
        <v/>
      </c>
      <c r="U158" s="72" t="str">
        <f t="shared" si="43"/>
        <v/>
      </c>
      <c r="V158" s="224" t="str">
        <f>IF(C158="","",IF(IN_DATA!R153=3, IF(IN_DATA!$L$4=5, 250, 375), 0))</f>
        <v/>
      </c>
      <c r="W158" s="97" t="str">
        <f t="shared" si="44"/>
        <v/>
      </c>
      <c r="X158" s="97" t="str">
        <f t="shared" si="45"/>
        <v/>
      </c>
      <c r="Y158" s="97" t="str">
        <f t="shared" si="46"/>
        <v/>
      </c>
      <c r="Z158" s="97" t="str">
        <f t="shared" si="47"/>
        <v/>
      </c>
      <c r="AA158" s="97" t="str">
        <f t="shared" si="48"/>
        <v/>
      </c>
      <c r="AB158" s="97" t="str">
        <f t="shared" si="49"/>
        <v/>
      </c>
      <c r="AC158" s="97" t="str">
        <f t="shared" si="50"/>
        <v/>
      </c>
      <c r="AD158" s="228" t="str">
        <f t="shared" si="51"/>
        <v/>
      </c>
      <c r="AE158" s="266" t="str">
        <f t="shared" si="52"/>
        <v/>
      </c>
    </row>
    <row r="159" spans="1:31" x14ac:dyDescent="0.2">
      <c r="A159" s="3">
        <v>149</v>
      </c>
      <c r="B159" s="3">
        <f t="shared" si="36"/>
        <v>2161</v>
      </c>
      <c r="C159" s="149" t="str">
        <f>IN_DATA!P154</f>
        <v/>
      </c>
      <c r="D159" s="33" t="str">
        <f>IN_DATA!Q154</f>
        <v/>
      </c>
      <c r="F159" s="4">
        <f t="shared" si="37"/>
        <v>2161</v>
      </c>
      <c r="G159" s="24" t="str">
        <f>IF(C159="","",IN_DATA!C154*OCF*FPF)</f>
        <v/>
      </c>
      <c r="H159" s="24" t="str">
        <f>IF(C159="","",IN_DATA!D154*OCF*FPF)</f>
        <v/>
      </c>
      <c r="I159" s="24" t="str">
        <f>IF(C159="","",IN_DATA!E154)</f>
        <v/>
      </c>
      <c r="J159" s="24" t="str">
        <f>IF(C159="","",IN_DATA!F154)</f>
        <v/>
      </c>
      <c r="K159" s="24" t="str">
        <f>IF(C159="","",IN_DATA!H154)</f>
        <v/>
      </c>
      <c r="L159" s="155" t="str">
        <f>IF(C159="","",IN_DATA!G154)</f>
        <v/>
      </c>
      <c r="M159" s="154"/>
      <c r="N159" s="220" t="str">
        <f>IF(C159="","",IN_DATA!P154)</f>
        <v/>
      </c>
      <c r="O159" s="112" t="str">
        <f>IF(C159="","",IN_DATA!Q154)</f>
        <v/>
      </c>
      <c r="P159" s="25" t="str">
        <f t="shared" si="38"/>
        <v/>
      </c>
      <c r="Q159" s="25" t="str">
        <f t="shared" si="39"/>
        <v/>
      </c>
      <c r="R159" s="25" t="str">
        <f t="shared" si="40"/>
        <v/>
      </c>
      <c r="S159" s="25" t="str">
        <f t="shared" si="41"/>
        <v/>
      </c>
      <c r="T159" s="25" t="str">
        <f t="shared" si="42"/>
        <v/>
      </c>
      <c r="U159" s="72" t="str">
        <f t="shared" si="43"/>
        <v/>
      </c>
      <c r="V159" s="224" t="str">
        <f>IF(C159="","",IF(IN_DATA!R154=3, IF(IN_DATA!$L$4=5, 250, 375), 0))</f>
        <v/>
      </c>
      <c r="W159" s="97" t="str">
        <f t="shared" si="44"/>
        <v/>
      </c>
      <c r="X159" s="97" t="str">
        <f t="shared" si="45"/>
        <v/>
      </c>
      <c r="Y159" s="97" t="str">
        <f t="shared" si="46"/>
        <v/>
      </c>
      <c r="Z159" s="97" t="str">
        <f t="shared" si="47"/>
        <v/>
      </c>
      <c r="AA159" s="97" t="str">
        <f t="shared" si="48"/>
        <v/>
      </c>
      <c r="AB159" s="97" t="str">
        <f t="shared" si="49"/>
        <v/>
      </c>
      <c r="AC159" s="97" t="str">
        <f t="shared" si="50"/>
        <v/>
      </c>
      <c r="AD159" s="228" t="str">
        <f t="shared" si="51"/>
        <v/>
      </c>
      <c r="AE159" s="266" t="str">
        <f t="shared" si="52"/>
        <v/>
      </c>
    </row>
    <row r="160" spans="1:31" x14ac:dyDescent="0.2">
      <c r="A160" s="3">
        <v>150</v>
      </c>
      <c r="B160" s="3">
        <f t="shared" si="36"/>
        <v>2162</v>
      </c>
      <c r="C160" s="149" t="str">
        <f>IN_DATA!P155</f>
        <v/>
      </c>
      <c r="D160" s="33" t="str">
        <f>IN_DATA!Q155</f>
        <v/>
      </c>
      <c r="F160" s="4">
        <f t="shared" si="37"/>
        <v>2162</v>
      </c>
      <c r="G160" s="24" t="str">
        <f>IF(C160="","",IN_DATA!C155*OCF*FPF)</f>
        <v/>
      </c>
      <c r="H160" s="24" t="str">
        <f>IF(C160="","",IN_DATA!D155*OCF*FPF)</f>
        <v/>
      </c>
      <c r="I160" s="24" t="str">
        <f>IF(C160="","",IN_DATA!E155)</f>
        <v/>
      </c>
      <c r="J160" s="24" t="str">
        <f>IF(C160="","",IN_DATA!F155)</f>
        <v/>
      </c>
      <c r="K160" s="24" t="str">
        <f>IF(C160="","",IN_DATA!H155)</f>
        <v/>
      </c>
      <c r="L160" s="155" t="str">
        <f>IF(C160="","",IN_DATA!G155)</f>
        <v/>
      </c>
      <c r="M160" s="154"/>
      <c r="N160" s="220" t="str">
        <f>IF(C160="","",IN_DATA!P155)</f>
        <v/>
      </c>
      <c r="O160" s="112" t="str">
        <f>IF(C160="","",IN_DATA!Q155)</f>
        <v/>
      </c>
      <c r="P160" s="25" t="str">
        <f t="shared" si="38"/>
        <v/>
      </c>
      <c r="Q160" s="25" t="str">
        <f t="shared" si="39"/>
        <v/>
      </c>
      <c r="R160" s="25" t="str">
        <f t="shared" si="40"/>
        <v/>
      </c>
      <c r="S160" s="25" t="str">
        <f t="shared" si="41"/>
        <v/>
      </c>
      <c r="T160" s="25" t="str">
        <f t="shared" si="42"/>
        <v/>
      </c>
      <c r="U160" s="72" t="str">
        <f t="shared" si="43"/>
        <v/>
      </c>
      <c r="V160" s="224" t="str">
        <f>IF(C160="","",IF(IN_DATA!R155=3, IF(IN_DATA!$L$4=5, 250, 375), 0))</f>
        <v/>
      </c>
      <c r="W160" s="97" t="str">
        <f t="shared" si="44"/>
        <v/>
      </c>
      <c r="X160" s="97" t="str">
        <f t="shared" si="45"/>
        <v/>
      </c>
      <c r="Y160" s="97" t="str">
        <f t="shared" si="46"/>
        <v/>
      </c>
      <c r="Z160" s="97" t="str">
        <f t="shared" si="47"/>
        <v/>
      </c>
      <c r="AA160" s="97" t="str">
        <f t="shared" si="48"/>
        <v/>
      </c>
      <c r="AB160" s="97" t="str">
        <f t="shared" si="49"/>
        <v/>
      </c>
      <c r="AC160" s="97" t="str">
        <f t="shared" si="50"/>
        <v/>
      </c>
      <c r="AD160" s="228" t="str">
        <f t="shared" si="51"/>
        <v/>
      </c>
      <c r="AE160" s="266" t="str">
        <f t="shared" si="52"/>
        <v/>
      </c>
    </row>
    <row r="161" spans="1:31" x14ac:dyDescent="0.2">
      <c r="A161" s="3">
        <v>151</v>
      </c>
      <c r="B161" s="3">
        <f t="shared" si="36"/>
        <v>2163</v>
      </c>
      <c r="C161" s="149" t="str">
        <f>IN_DATA!P156</f>
        <v/>
      </c>
      <c r="D161" s="33" t="str">
        <f>IN_DATA!Q156</f>
        <v/>
      </c>
      <c r="F161" s="4">
        <f t="shared" si="37"/>
        <v>2163</v>
      </c>
      <c r="G161" s="24" t="str">
        <f>IF(C161="","",IN_DATA!C156*OCF*FPF)</f>
        <v/>
      </c>
      <c r="H161" s="24" t="str">
        <f>IF(C161="","",IN_DATA!D156*OCF*FPF)</f>
        <v/>
      </c>
      <c r="I161" s="24" t="str">
        <f>IF(C161="","",IN_DATA!E156)</f>
        <v/>
      </c>
      <c r="J161" s="24" t="str">
        <f>IF(C161="","",IN_DATA!F156)</f>
        <v/>
      </c>
      <c r="K161" s="24" t="str">
        <f>IF(C161="","",IN_DATA!H156)</f>
        <v/>
      </c>
      <c r="L161" s="155" t="str">
        <f>IF(C161="","",IN_DATA!G156)</f>
        <v/>
      </c>
      <c r="M161" s="154"/>
      <c r="N161" s="220" t="str">
        <f>IF(C161="","",IN_DATA!P156)</f>
        <v/>
      </c>
      <c r="O161" s="112" t="str">
        <f>IF(C161="","",IN_DATA!Q156)</f>
        <v/>
      </c>
      <c r="P161" s="25" t="str">
        <f t="shared" si="38"/>
        <v/>
      </c>
      <c r="Q161" s="25" t="str">
        <f t="shared" si="39"/>
        <v/>
      </c>
      <c r="R161" s="25" t="str">
        <f t="shared" si="40"/>
        <v/>
      </c>
      <c r="S161" s="25" t="str">
        <f t="shared" si="41"/>
        <v/>
      </c>
      <c r="T161" s="25" t="str">
        <f t="shared" si="42"/>
        <v/>
      </c>
      <c r="U161" s="72" t="str">
        <f t="shared" si="43"/>
        <v/>
      </c>
      <c r="V161" s="224" t="str">
        <f>IF(C161="","",IF(IN_DATA!R156=3, IF(IN_DATA!$L$4=5, 250, 375), 0))</f>
        <v/>
      </c>
      <c r="W161" s="97" t="str">
        <f t="shared" si="44"/>
        <v/>
      </c>
      <c r="X161" s="97" t="str">
        <f t="shared" si="45"/>
        <v/>
      </c>
      <c r="Y161" s="97" t="str">
        <f t="shared" si="46"/>
        <v/>
      </c>
      <c r="Z161" s="97" t="str">
        <f t="shared" si="47"/>
        <v/>
      </c>
      <c r="AA161" s="97" t="str">
        <f t="shared" si="48"/>
        <v/>
      </c>
      <c r="AB161" s="97" t="str">
        <f t="shared" si="49"/>
        <v/>
      </c>
      <c r="AC161" s="97" t="str">
        <f t="shared" si="50"/>
        <v/>
      </c>
      <c r="AD161" s="228" t="str">
        <f t="shared" si="51"/>
        <v/>
      </c>
      <c r="AE161" s="266" t="str">
        <f t="shared" si="52"/>
        <v/>
      </c>
    </row>
    <row r="162" spans="1:31" x14ac:dyDescent="0.2">
      <c r="A162" s="3">
        <v>152</v>
      </c>
      <c r="B162" s="3">
        <f t="shared" si="36"/>
        <v>2164</v>
      </c>
      <c r="C162" s="149" t="str">
        <f>IN_DATA!P157</f>
        <v/>
      </c>
      <c r="D162" s="33" t="str">
        <f>IN_DATA!Q157</f>
        <v/>
      </c>
      <c r="F162" s="4">
        <f t="shared" si="37"/>
        <v>2164</v>
      </c>
      <c r="G162" s="24" t="str">
        <f>IF(C162="","",IN_DATA!C157*OCF*FPF)</f>
        <v/>
      </c>
      <c r="H162" s="24" t="str">
        <f>IF(C162="","",IN_DATA!D157*OCF*FPF)</f>
        <v/>
      </c>
      <c r="I162" s="24" t="str">
        <f>IF(C162="","",IN_DATA!E157)</f>
        <v/>
      </c>
      <c r="J162" s="24" t="str">
        <f>IF(C162="","",IN_DATA!F157)</f>
        <v/>
      </c>
      <c r="K162" s="24" t="str">
        <f>IF(C162="","",IN_DATA!H157)</f>
        <v/>
      </c>
      <c r="L162" s="155" t="str">
        <f>IF(C162="","",IN_DATA!G157)</f>
        <v/>
      </c>
      <c r="M162" s="154"/>
      <c r="N162" s="220" t="str">
        <f>IF(C162="","",IN_DATA!P157)</f>
        <v/>
      </c>
      <c r="O162" s="112" t="str">
        <f>IF(C162="","",IN_DATA!Q157)</f>
        <v/>
      </c>
      <c r="P162" s="25" t="str">
        <f t="shared" si="38"/>
        <v/>
      </c>
      <c r="Q162" s="25" t="str">
        <f t="shared" si="39"/>
        <v/>
      </c>
      <c r="R162" s="25" t="str">
        <f t="shared" si="40"/>
        <v/>
      </c>
      <c r="S162" s="25" t="str">
        <f t="shared" si="41"/>
        <v/>
      </c>
      <c r="T162" s="25" t="str">
        <f t="shared" si="42"/>
        <v/>
      </c>
      <c r="U162" s="72" t="str">
        <f t="shared" si="43"/>
        <v/>
      </c>
      <c r="V162" s="224" t="str">
        <f>IF(C162="","",IF(IN_DATA!R157=3, IF(IN_DATA!$L$4=5, 250, 375), 0))</f>
        <v/>
      </c>
      <c r="W162" s="97" t="str">
        <f t="shared" si="44"/>
        <v/>
      </c>
      <c r="X162" s="97" t="str">
        <f t="shared" si="45"/>
        <v/>
      </c>
      <c r="Y162" s="97" t="str">
        <f t="shared" si="46"/>
        <v/>
      </c>
      <c r="Z162" s="97" t="str">
        <f t="shared" si="47"/>
        <v/>
      </c>
      <c r="AA162" s="97" t="str">
        <f t="shared" si="48"/>
        <v/>
      </c>
      <c r="AB162" s="97" t="str">
        <f t="shared" si="49"/>
        <v/>
      </c>
      <c r="AC162" s="97" t="str">
        <f t="shared" si="50"/>
        <v/>
      </c>
      <c r="AD162" s="228" t="str">
        <f t="shared" si="51"/>
        <v/>
      </c>
      <c r="AE162" s="266" t="str">
        <f t="shared" si="52"/>
        <v/>
      </c>
    </row>
    <row r="163" spans="1:31" x14ac:dyDescent="0.2">
      <c r="A163" s="3">
        <v>153</v>
      </c>
      <c r="B163" s="3">
        <f t="shared" si="36"/>
        <v>2165</v>
      </c>
      <c r="C163" s="149" t="str">
        <f>IN_DATA!P158</f>
        <v/>
      </c>
      <c r="D163" s="33" t="str">
        <f>IN_DATA!Q158</f>
        <v/>
      </c>
      <c r="F163" s="4">
        <f t="shared" si="37"/>
        <v>2165</v>
      </c>
      <c r="G163" s="24" t="str">
        <f>IF(C163="","",IN_DATA!C158*OCF*FPF)</f>
        <v/>
      </c>
      <c r="H163" s="24" t="str">
        <f>IF(C163="","",IN_DATA!D158*OCF*FPF)</f>
        <v/>
      </c>
      <c r="I163" s="24" t="str">
        <f>IF(C163="","",IN_DATA!E158)</f>
        <v/>
      </c>
      <c r="J163" s="24" t="str">
        <f>IF(C163="","",IN_DATA!F158)</f>
        <v/>
      </c>
      <c r="K163" s="24" t="str">
        <f>IF(C163="","",IN_DATA!H158)</f>
        <v/>
      </c>
      <c r="L163" s="155" t="str">
        <f>IF(C163="","",IN_DATA!G158)</f>
        <v/>
      </c>
      <c r="M163" s="154"/>
      <c r="N163" s="220" t="str">
        <f>IF(C163="","",IN_DATA!P158)</f>
        <v/>
      </c>
      <c r="O163" s="112" t="str">
        <f>IF(C163="","",IN_DATA!Q158)</f>
        <v/>
      </c>
      <c r="P163" s="25" t="str">
        <f t="shared" si="38"/>
        <v/>
      </c>
      <c r="Q163" s="25" t="str">
        <f t="shared" si="39"/>
        <v/>
      </c>
      <c r="R163" s="25" t="str">
        <f t="shared" si="40"/>
        <v/>
      </c>
      <c r="S163" s="25" t="str">
        <f t="shared" si="41"/>
        <v/>
      </c>
      <c r="T163" s="25" t="str">
        <f t="shared" si="42"/>
        <v/>
      </c>
      <c r="U163" s="72" t="str">
        <f t="shared" si="43"/>
        <v/>
      </c>
      <c r="V163" s="224" t="str">
        <f>IF(C163="","",IF(IN_DATA!R158=3, IF(IN_DATA!$L$4=5, 250, 375), 0))</f>
        <v/>
      </c>
      <c r="W163" s="97" t="str">
        <f t="shared" si="44"/>
        <v/>
      </c>
      <c r="X163" s="97" t="str">
        <f t="shared" si="45"/>
        <v/>
      </c>
      <c r="Y163" s="97" t="str">
        <f t="shared" si="46"/>
        <v/>
      </c>
      <c r="Z163" s="97" t="str">
        <f t="shared" si="47"/>
        <v/>
      </c>
      <c r="AA163" s="97" t="str">
        <f t="shared" si="48"/>
        <v/>
      </c>
      <c r="AB163" s="97" t="str">
        <f t="shared" si="49"/>
        <v/>
      </c>
      <c r="AC163" s="97" t="str">
        <f t="shared" si="50"/>
        <v/>
      </c>
      <c r="AD163" s="228" t="str">
        <f t="shared" si="51"/>
        <v/>
      </c>
      <c r="AE163" s="266" t="str">
        <f t="shared" si="52"/>
        <v/>
      </c>
    </row>
    <row r="164" spans="1:31" x14ac:dyDescent="0.2">
      <c r="A164" s="3">
        <v>154</v>
      </c>
      <c r="B164" s="3">
        <f t="shared" si="36"/>
        <v>2166</v>
      </c>
      <c r="C164" s="149" t="str">
        <f>IN_DATA!P159</f>
        <v/>
      </c>
      <c r="D164" s="33" t="str">
        <f>IN_DATA!Q159</f>
        <v/>
      </c>
      <c r="F164" s="4">
        <f t="shared" si="37"/>
        <v>2166</v>
      </c>
      <c r="G164" s="24" t="str">
        <f>IF(C164="","",IN_DATA!C159*OCF*FPF)</f>
        <v/>
      </c>
      <c r="H164" s="24" t="str">
        <f>IF(C164="","",IN_DATA!D159*OCF*FPF)</f>
        <v/>
      </c>
      <c r="I164" s="24" t="str">
        <f>IF(C164="","",IN_DATA!E159)</f>
        <v/>
      </c>
      <c r="J164" s="24" t="str">
        <f>IF(C164="","",IN_DATA!F159)</f>
        <v/>
      </c>
      <c r="K164" s="24" t="str">
        <f>IF(C164="","",IN_DATA!H159)</f>
        <v/>
      </c>
      <c r="L164" s="155" t="str">
        <f>IF(C164="","",IN_DATA!G159)</f>
        <v/>
      </c>
      <c r="M164" s="154"/>
      <c r="N164" s="220" t="str">
        <f>IF(C164="","",IN_DATA!P159)</f>
        <v/>
      </c>
      <c r="O164" s="112" t="str">
        <f>IF(C164="","",IN_DATA!Q159)</f>
        <v/>
      </c>
      <c r="P164" s="25" t="str">
        <f t="shared" si="38"/>
        <v/>
      </c>
      <c r="Q164" s="25" t="str">
        <f t="shared" si="39"/>
        <v/>
      </c>
      <c r="R164" s="25" t="str">
        <f t="shared" si="40"/>
        <v/>
      </c>
      <c r="S164" s="25" t="str">
        <f t="shared" si="41"/>
        <v/>
      </c>
      <c r="T164" s="25" t="str">
        <f t="shared" si="42"/>
        <v/>
      </c>
      <c r="U164" s="72" t="str">
        <f t="shared" si="43"/>
        <v/>
      </c>
      <c r="V164" s="224" t="str">
        <f>IF(C164="","",IF(IN_DATA!R159=3, IF(IN_DATA!$L$4=5, 250, 375), 0))</f>
        <v/>
      </c>
      <c r="W164" s="97" t="str">
        <f t="shared" si="44"/>
        <v/>
      </c>
      <c r="X164" s="97" t="str">
        <f t="shared" si="45"/>
        <v/>
      </c>
      <c r="Y164" s="97" t="str">
        <f t="shared" si="46"/>
        <v/>
      </c>
      <c r="Z164" s="97" t="str">
        <f t="shared" si="47"/>
        <v/>
      </c>
      <c r="AA164" s="97" t="str">
        <f t="shared" si="48"/>
        <v/>
      </c>
      <c r="AB164" s="97" t="str">
        <f t="shared" si="49"/>
        <v/>
      </c>
      <c r="AC164" s="97" t="str">
        <f t="shared" si="50"/>
        <v/>
      </c>
      <c r="AD164" s="228" t="str">
        <f t="shared" si="51"/>
        <v/>
      </c>
      <c r="AE164" s="266" t="str">
        <f t="shared" si="52"/>
        <v/>
      </c>
    </row>
    <row r="165" spans="1:31" x14ac:dyDescent="0.2">
      <c r="A165" s="3">
        <v>155</v>
      </c>
      <c r="B165" s="3">
        <f t="shared" si="36"/>
        <v>2167</v>
      </c>
      <c r="C165" s="149" t="str">
        <f>IN_DATA!P160</f>
        <v/>
      </c>
      <c r="D165" s="33" t="str">
        <f>IN_DATA!Q160</f>
        <v/>
      </c>
      <c r="F165" s="4">
        <f t="shared" si="37"/>
        <v>2167</v>
      </c>
      <c r="G165" s="24" t="str">
        <f>IF(C165="","",IN_DATA!C160*OCF*FPF)</f>
        <v/>
      </c>
      <c r="H165" s="24" t="str">
        <f>IF(C165="","",IN_DATA!D160*OCF*FPF)</f>
        <v/>
      </c>
      <c r="I165" s="24" t="str">
        <f>IF(C165="","",IN_DATA!E160)</f>
        <v/>
      </c>
      <c r="J165" s="24" t="str">
        <f>IF(C165="","",IN_DATA!F160)</f>
        <v/>
      </c>
      <c r="K165" s="24" t="str">
        <f>IF(C165="","",IN_DATA!H160)</f>
        <v/>
      </c>
      <c r="L165" s="155" t="str">
        <f>IF(C165="","",IN_DATA!G160)</f>
        <v/>
      </c>
      <c r="M165" s="154"/>
      <c r="N165" s="220" t="str">
        <f>IF(C165="","",IN_DATA!P160)</f>
        <v/>
      </c>
      <c r="O165" s="112" t="str">
        <f>IF(C165="","",IN_DATA!Q160)</f>
        <v/>
      </c>
      <c r="P165" s="25" t="str">
        <f t="shared" si="38"/>
        <v/>
      </c>
      <c r="Q165" s="25" t="str">
        <f t="shared" si="39"/>
        <v/>
      </c>
      <c r="R165" s="25" t="str">
        <f t="shared" si="40"/>
        <v/>
      </c>
      <c r="S165" s="25" t="str">
        <f t="shared" si="41"/>
        <v/>
      </c>
      <c r="T165" s="25" t="str">
        <f t="shared" si="42"/>
        <v/>
      </c>
      <c r="U165" s="72" t="str">
        <f t="shared" si="43"/>
        <v/>
      </c>
      <c r="V165" s="224" t="str">
        <f>IF(C165="","",IF(IN_DATA!R160=3, IF(IN_DATA!$L$4=5, 250, 375), 0))</f>
        <v/>
      </c>
      <c r="W165" s="97" t="str">
        <f t="shared" si="44"/>
        <v/>
      </c>
      <c r="X165" s="97" t="str">
        <f t="shared" si="45"/>
        <v/>
      </c>
      <c r="Y165" s="97" t="str">
        <f t="shared" si="46"/>
        <v/>
      </c>
      <c r="Z165" s="97" t="str">
        <f t="shared" si="47"/>
        <v/>
      </c>
      <c r="AA165" s="97" t="str">
        <f t="shared" si="48"/>
        <v/>
      </c>
      <c r="AB165" s="97" t="str">
        <f t="shared" si="49"/>
        <v/>
      </c>
      <c r="AC165" s="97" t="str">
        <f t="shared" si="50"/>
        <v/>
      </c>
      <c r="AD165" s="228" t="str">
        <f t="shared" si="51"/>
        <v/>
      </c>
      <c r="AE165" s="266" t="str">
        <f t="shared" si="52"/>
        <v/>
      </c>
    </row>
    <row r="166" spans="1:31" x14ac:dyDescent="0.2">
      <c r="A166" s="3">
        <v>156</v>
      </c>
      <c r="B166" s="3">
        <f t="shared" si="36"/>
        <v>2168</v>
      </c>
      <c r="C166" s="149" t="str">
        <f>IN_DATA!P161</f>
        <v/>
      </c>
      <c r="D166" s="33" t="str">
        <f>IN_DATA!Q161</f>
        <v/>
      </c>
      <c r="F166" s="4">
        <f t="shared" si="37"/>
        <v>2168</v>
      </c>
      <c r="G166" s="24" t="str">
        <f>IF(C166="","",IN_DATA!C161*OCF*FPF)</f>
        <v/>
      </c>
      <c r="H166" s="24" t="str">
        <f>IF(C166="","",IN_DATA!D161*OCF*FPF)</f>
        <v/>
      </c>
      <c r="I166" s="24" t="str">
        <f>IF(C166="","",IN_DATA!E161)</f>
        <v/>
      </c>
      <c r="J166" s="24" t="str">
        <f>IF(C166="","",IN_DATA!F161)</f>
        <v/>
      </c>
      <c r="K166" s="24" t="str">
        <f>IF(C166="","",IN_DATA!H161)</f>
        <v/>
      </c>
      <c r="L166" s="155" t="str">
        <f>IF(C166="","",IN_DATA!G161)</f>
        <v/>
      </c>
      <c r="M166" s="154"/>
      <c r="N166" s="220" t="str">
        <f>IF(C166="","",IN_DATA!P161)</f>
        <v/>
      </c>
      <c r="O166" s="112" t="str">
        <f>IF(C166="","",IN_DATA!Q161)</f>
        <v/>
      </c>
      <c r="P166" s="25" t="str">
        <f t="shared" si="38"/>
        <v/>
      </c>
      <c r="Q166" s="25" t="str">
        <f t="shared" si="39"/>
        <v/>
      </c>
      <c r="R166" s="25" t="str">
        <f t="shared" si="40"/>
        <v/>
      </c>
      <c r="S166" s="25" t="str">
        <f t="shared" si="41"/>
        <v/>
      </c>
      <c r="T166" s="25" t="str">
        <f t="shared" si="42"/>
        <v/>
      </c>
      <c r="U166" s="72" t="str">
        <f t="shared" si="43"/>
        <v/>
      </c>
      <c r="V166" s="224" t="str">
        <f>IF(C166="","",IF(IN_DATA!R161=3, IF(IN_DATA!$L$4=5, 250, 375), 0))</f>
        <v/>
      </c>
      <c r="W166" s="97" t="str">
        <f t="shared" si="44"/>
        <v/>
      </c>
      <c r="X166" s="97" t="str">
        <f t="shared" si="45"/>
        <v/>
      </c>
      <c r="Y166" s="97" t="str">
        <f t="shared" si="46"/>
        <v/>
      </c>
      <c r="Z166" s="97" t="str">
        <f t="shared" si="47"/>
        <v/>
      </c>
      <c r="AA166" s="97" t="str">
        <f t="shared" si="48"/>
        <v/>
      </c>
      <c r="AB166" s="97" t="str">
        <f t="shared" si="49"/>
        <v/>
      </c>
      <c r="AC166" s="97" t="str">
        <f t="shared" si="50"/>
        <v/>
      </c>
      <c r="AD166" s="228" t="str">
        <f t="shared" si="51"/>
        <v/>
      </c>
      <c r="AE166" s="266" t="str">
        <f t="shared" si="52"/>
        <v/>
      </c>
    </row>
    <row r="167" spans="1:31" x14ac:dyDescent="0.2">
      <c r="A167" s="3">
        <v>157</v>
      </c>
      <c r="B167" s="3">
        <f t="shared" si="36"/>
        <v>2169</v>
      </c>
      <c r="C167" s="149" t="str">
        <f>IN_DATA!P162</f>
        <v/>
      </c>
      <c r="D167" s="33" t="str">
        <f>IN_DATA!Q162</f>
        <v/>
      </c>
      <c r="F167" s="4">
        <f t="shared" si="37"/>
        <v>2169</v>
      </c>
      <c r="G167" s="24" t="str">
        <f>IF(C167="","",IN_DATA!C162*OCF*FPF)</f>
        <v/>
      </c>
      <c r="H167" s="24" t="str">
        <f>IF(C167="","",IN_DATA!D162*OCF*FPF)</f>
        <v/>
      </c>
      <c r="I167" s="24" t="str">
        <f>IF(C167="","",IN_DATA!E162)</f>
        <v/>
      </c>
      <c r="J167" s="24" t="str">
        <f>IF(C167="","",IN_DATA!F162)</f>
        <v/>
      </c>
      <c r="K167" s="24" t="str">
        <f>IF(C167="","",IN_DATA!H162)</f>
        <v/>
      </c>
      <c r="L167" s="155" t="str">
        <f>IF(C167="","",IN_DATA!G162)</f>
        <v/>
      </c>
      <c r="M167" s="154"/>
      <c r="N167" s="220" t="str">
        <f>IF(C167="","",IN_DATA!P162)</f>
        <v/>
      </c>
      <c r="O167" s="112" t="str">
        <f>IF(C167="","",IN_DATA!Q162)</f>
        <v/>
      </c>
      <c r="P167" s="25" t="str">
        <f t="shared" si="38"/>
        <v/>
      </c>
      <c r="Q167" s="25" t="str">
        <f t="shared" si="39"/>
        <v/>
      </c>
      <c r="R167" s="25" t="str">
        <f t="shared" si="40"/>
        <v/>
      </c>
      <c r="S167" s="25" t="str">
        <f t="shared" si="41"/>
        <v/>
      </c>
      <c r="T167" s="25" t="str">
        <f t="shared" si="42"/>
        <v/>
      </c>
      <c r="U167" s="72" t="str">
        <f t="shared" si="43"/>
        <v/>
      </c>
      <c r="V167" s="224" t="str">
        <f>IF(C167="","",IF(IN_DATA!R162=3, IF(IN_DATA!$L$4=5, 250, 375), 0))</f>
        <v/>
      </c>
      <c r="W167" s="97" t="str">
        <f t="shared" si="44"/>
        <v/>
      </c>
      <c r="X167" s="97" t="str">
        <f t="shared" si="45"/>
        <v/>
      </c>
      <c r="Y167" s="97" t="str">
        <f t="shared" si="46"/>
        <v/>
      </c>
      <c r="Z167" s="97" t="str">
        <f t="shared" si="47"/>
        <v/>
      </c>
      <c r="AA167" s="97" t="str">
        <f t="shared" si="48"/>
        <v/>
      </c>
      <c r="AB167" s="97" t="str">
        <f t="shared" si="49"/>
        <v/>
      </c>
      <c r="AC167" s="97" t="str">
        <f t="shared" si="50"/>
        <v/>
      </c>
      <c r="AD167" s="228" t="str">
        <f t="shared" si="51"/>
        <v/>
      </c>
      <c r="AE167" s="266" t="str">
        <f t="shared" si="52"/>
        <v/>
      </c>
    </row>
    <row r="168" spans="1:31" x14ac:dyDescent="0.2">
      <c r="A168" s="3">
        <v>158</v>
      </c>
      <c r="B168" s="3">
        <f t="shared" si="36"/>
        <v>2170</v>
      </c>
      <c r="C168" s="149" t="str">
        <f>IN_DATA!P163</f>
        <v/>
      </c>
      <c r="D168" s="33" t="str">
        <f>IN_DATA!Q163</f>
        <v/>
      </c>
      <c r="F168" s="4">
        <f t="shared" si="37"/>
        <v>2170</v>
      </c>
      <c r="G168" s="24" t="str">
        <f>IF(C168="","",IN_DATA!C163*OCF*FPF)</f>
        <v/>
      </c>
      <c r="H168" s="24" t="str">
        <f>IF(C168="","",IN_DATA!D163*OCF*FPF)</f>
        <v/>
      </c>
      <c r="I168" s="24" t="str">
        <f>IF(C168="","",IN_DATA!E163)</f>
        <v/>
      </c>
      <c r="J168" s="24" t="str">
        <f>IF(C168="","",IN_DATA!F163)</f>
        <v/>
      </c>
      <c r="K168" s="24" t="str">
        <f>IF(C168="","",IN_DATA!H163)</f>
        <v/>
      </c>
      <c r="L168" s="155" t="str">
        <f>IF(C168="","",IN_DATA!G163)</f>
        <v/>
      </c>
      <c r="M168" s="154"/>
      <c r="N168" s="220" t="str">
        <f>IF(C168="","",IN_DATA!P163)</f>
        <v/>
      </c>
      <c r="O168" s="112" t="str">
        <f>IF(C168="","",IN_DATA!Q163)</f>
        <v/>
      </c>
      <c r="P168" s="25" t="str">
        <f t="shared" si="38"/>
        <v/>
      </c>
      <c r="Q168" s="25" t="str">
        <f t="shared" si="39"/>
        <v/>
      </c>
      <c r="R168" s="25" t="str">
        <f t="shared" si="40"/>
        <v/>
      </c>
      <c r="S168" s="25" t="str">
        <f t="shared" si="41"/>
        <v/>
      </c>
      <c r="T168" s="25" t="str">
        <f t="shared" si="42"/>
        <v/>
      </c>
      <c r="U168" s="72" t="str">
        <f t="shared" si="43"/>
        <v/>
      </c>
      <c r="V168" s="224" t="str">
        <f>IF(C168="","",IF(IN_DATA!R163=3, IF(IN_DATA!$L$4=5, 250, 375), 0))</f>
        <v/>
      </c>
      <c r="W168" s="97" t="str">
        <f t="shared" si="44"/>
        <v/>
      </c>
      <c r="X168" s="97" t="str">
        <f t="shared" si="45"/>
        <v/>
      </c>
      <c r="Y168" s="97" t="str">
        <f t="shared" si="46"/>
        <v/>
      </c>
      <c r="Z168" s="97" t="str">
        <f t="shared" si="47"/>
        <v/>
      </c>
      <c r="AA168" s="97" t="str">
        <f t="shared" si="48"/>
        <v/>
      </c>
      <c r="AB168" s="97" t="str">
        <f t="shared" si="49"/>
        <v/>
      </c>
      <c r="AC168" s="97" t="str">
        <f t="shared" si="50"/>
        <v/>
      </c>
      <c r="AD168" s="228" t="str">
        <f t="shared" si="51"/>
        <v/>
      </c>
      <c r="AE168" s="266" t="str">
        <f t="shared" si="52"/>
        <v/>
      </c>
    </row>
    <row r="169" spans="1:31" x14ac:dyDescent="0.2">
      <c r="A169" s="3">
        <v>159</v>
      </c>
      <c r="B169" s="3">
        <f t="shared" si="36"/>
        <v>2171</v>
      </c>
      <c r="C169" s="149" t="str">
        <f>IN_DATA!P164</f>
        <v/>
      </c>
      <c r="D169" s="33" t="str">
        <f>IN_DATA!Q164</f>
        <v/>
      </c>
      <c r="F169" s="4">
        <f t="shared" si="37"/>
        <v>2171</v>
      </c>
      <c r="G169" s="24" t="str">
        <f>IF(C169="","",IN_DATA!C164*OCF*FPF)</f>
        <v/>
      </c>
      <c r="H169" s="24" t="str">
        <f>IF(C169="","",IN_DATA!D164*OCF*FPF)</f>
        <v/>
      </c>
      <c r="I169" s="24" t="str">
        <f>IF(C169="","",IN_DATA!E164)</f>
        <v/>
      </c>
      <c r="J169" s="24" t="str">
        <f>IF(C169="","",IN_DATA!F164)</f>
        <v/>
      </c>
      <c r="K169" s="24" t="str">
        <f>IF(C169="","",IN_DATA!H164)</f>
        <v/>
      </c>
      <c r="L169" s="155" t="str">
        <f>IF(C169="","",IN_DATA!G164)</f>
        <v/>
      </c>
      <c r="M169" s="154"/>
      <c r="N169" s="220" t="str">
        <f>IF(C169="","",IN_DATA!P164)</f>
        <v/>
      </c>
      <c r="O169" s="112" t="str">
        <f>IF(C169="","",IN_DATA!Q164)</f>
        <v/>
      </c>
      <c r="P169" s="25" t="str">
        <f t="shared" si="38"/>
        <v/>
      </c>
      <c r="Q169" s="25" t="str">
        <f t="shared" si="39"/>
        <v/>
      </c>
      <c r="R169" s="25" t="str">
        <f t="shared" si="40"/>
        <v/>
      </c>
      <c r="S169" s="25" t="str">
        <f t="shared" si="41"/>
        <v/>
      </c>
      <c r="T169" s="25" t="str">
        <f t="shared" si="42"/>
        <v/>
      </c>
      <c r="U169" s="72" t="str">
        <f t="shared" si="43"/>
        <v/>
      </c>
      <c r="V169" s="224" t="str">
        <f>IF(C169="","",IF(IN_DATA!R164=3, IF(IN_DATA!$L$4=5, 250, 375), 0))</f>
        <v/>
      </c>
      <c r="W169" s="97" t="str">
        <f t="shared" si="44"/>
        <v/>
      </c>
      <c r="X169" s="97" t="str">
        <f t="shared" si="45"/>
        <v/>
      </c>
      <c r="Y169" s="97" t="str">
        <f t="shared" si="46"/>
        <v/>
      </c>
      <c r="Z169" s="97" t="str">
        <f t="shared" si="47"/>
        <v/>
      </c>
      <c r="AA169" s="97" t="str">
        <f t="shared" si="48"/>
        <v/>
      </c>
      <c r="AB169" s="97" t="str">
        <f t="shared" si="49"/>
        <v/>
      </c>
      <c r="AC169" s="97" t="str">
        <f t="shared" si="50"/>
        <v/>
      </c>
      <c r="AD169" s="228" t="str">
        <f t="shared" si="51"/>
        <v/>
      </c>
      <c r="AE169" s="266" t="str">
        <f t="shared" si="52"/>
        <v/>
      </c>
    </row>
    <row r="170" spans="1:31" x14ac:dyDescent="0.2">
      <c r="A170" s="3">
        <v>160</v>
      </c>
      <c r="B170" s="3">
        <f t="shared" si="36"/>
        <v>2172</v>
      </c>
      <c r="C170" s="149" t="str">
        <f>IN_DATA!P165</f>
        <v/>
      </c>
      <c r="D170" s="33" t="str">
        <f>IN_DATA!Q165</f>
        <v/>
      </c>
      <c r="F170" s="4">
        <f t="shared" si="37"/>
        <v>2172</v>
      </c>
      <c r="G170" s="24" t="str">
        <f>IF(C170="","",IN_DATA!C165*OCF*FPF)</f>
        <v/>
      </c>
      <c r="H170" s="24" t="str">
        <f>IF(C170="","",IN_DATA!D165*OCF*FPF)</f>
        <v/>
      </c>
      <c r="I170" s="24" t="str">
        <f>IF(C170="","",IN_DATA!E165)</f>
        <v/>
      </c>
      <c r="J170" s="24" t="str">
        <f>IF(C170="","",IN_DATA!F165)</f>
        <v/>
      </c>
      <c r="K170" s="24" t="str">
        <f>IF(C170="","",IN_DATA!H165)</f>
        <v/>
      </c>
      <c r="L170" s="155" t="str">
        <f>IF(C170="","",IN_DATA!G165)</f>
        <v/>
      </c>
      <c r="M170" s="154"/>
      <c r="N170" s="220" t="str">
        <f>IF(C170="","",IN_DATA!P165)</f>
        <v/>
      </c>
      <c r="O170" s="112" t="str">
        <f>IF(C170="","",IN_DATA!Q165)</f>
        <v/>
      </c>
      <c r="P170" s="25" t="str">
        <f t="shared" si="38"/>
        <v/>
      </c>
      <c r="Q170" s="25" t="str">
        <f t="shared" si="39"/>
        <v/>
      </c>
      <c r="R170" s="25" t="str">
        <f t="shared" si="40"/>
        <v/>
      </c>
      <c r="S170" s="25" t="str">
        <f t="shared" si="41"/>
        <v/>
      </c>
      <c r="T170" s="25" t="str">
        <f t="shared" si="42"/>
        <v/>
      </c>
      <c r="U170" s="72" t="str">
        <f t="shared" si="43"/>
        <v/>
      </c>
      <c r="V170" s="224" t="str">
        <f>IF(C170="","",IF(IN_DATA!R165=3, IF(IN_DATA!$L$4=5, 250, 375), 0))</f>
        <v/>
      </c>
      <c r="W170" s="97" t="str">
        <f t="shared" si="44"/>
        <v/>
      </c>
      <c r="X170" s="97" t="str">
        <f t="shared" si="45"/>
        <v/>
      </c>
      <c r="Y170" s="97" t="str">
        <f t="shared" si="46"/>
        <v/>
      </c>
      <c r="Z170" s="97" t="str">
        <f t="shared" si="47"/>
        <v/>
      </c>
      <c r="AA170" s="97" t="str">
        <f t="shared" si="48"/>
        <v/>
      </c>
      <c r="AB170" s="97" t="str">
        <f t="shared" si="49"/>
        <v/>
      </c>
      <c r="AC170" s="97" t="str">
        <f t="shared" si="50"/>
        <v/>
      </c>
      <c r="AD170" s="228" t="str">
        <f t="shared" si="51"/>
        <v/>
      </c>
      <c r="AE170" s="266" t="str">
        <f t="shared" si="52"/>
        <v/>
      </c>
    </row>
    <row r="171" spans="1:31" x14ac:dyDescent="0.2">
      <c r="A171" s="3">
        <v>161</v>
      </c>
      <c r="B171" s="3">
        <f t="shared" si="36"/>
        <v>2173</v>
      </c>
      <c r="C171" s="149" t="str">
        <f>IN_DATA!P166</f>
        <v/>
      </c>
      <c r="D171" s="33" t="str">
        <f>IN_DATA!Q166</f>
        <v/>
      </c>
      <c r="F171" s="4">
        <f t="shared" si="37"/>
        <v>2173</v>
      </c>
      <c r="G171" s="24" t="str">
        <f>IF(C171="","",IN_DATA!C166*OCF*FPF)</f>
        <v/>
      </c>
      <c r="H171" s="24" t="str">
        <f>IF(C171="","",IN_DATA!D166*OCF*FPF)</f>
        <v/>
      </c>
      <c r="I171" s="24" t="str">
        <f>IF(C171="","",IN_DATA!E166)</f>
        <v/>
      </c>
      <c r="J171" s="24" t="str">
        <f>IF(C171="","",IN_DATA!F166)</f>
        <v/>
      </c>
      <c r="K171" s="24" t="str">
        <f>IF(C171="","",IN_DATA!H166)</f>
        <v/>
      </c>
      <c r="L171" s="155" t="str">
        <f>IF(C171="","",IN_DATA!G166)</f>
        <v/>
      </c>
      <c r="M171" s="154"/>
      <c r="N171" s="220" t="str">
        <f>IF(C171="","",IN_DATA!P166)</f>
        <v/>
      </c>
      <c r="O171" s="112" t="str">
        <f>IF(C171="","",IN_DATA!Q166)</f>
        <v/>
      </c>
      <c r="P171" s="25" t="str">
        <f t="shared" si="38"/>
        <v/>
      </c>
      <c r="Q171" s="25" t="str">
        <f t="shared" si="39"/>
        <v/>
      </c>
      <c r="R171" s="25" t="str">
        <f t="shared" si="40"/>
        <v/>
      </c>
      <c r="S171" s="25" t="str">
        <f t="shared" si="41"/>
        <v/>
      </c>
      <c r="T171" s="25" t="str">
        <f t="shared" si="42"/>
        <v/>
      </c>
      <c r="U171" s="72" t="str">
        <f t="shared" si="43"/>
        <v/>
      </c>
      <c r="V171" s="224" t="str">
        <f>IF(C171="","",IF(IN_DATA!R166=3, IF(IN_DATA!$L$4=5, 250, 375), 0))</f>
        <v/>
      </c>
      <c r="W171" s="97" t="str">
        <f t="shared" si="44"/>
        <v/>
      </c>
      <c r="X171" s="97" t="str">
        <f t="shared" si="45"/>
        <v/>
      </c>
      <c r="Y171" s="97" t="str">
        <f t="shared" si="46"/>
        <v/>
      </c>
      <c r="Z171" s="97" t="str">
        <f t="shared" si="47"/>
        <v/>
      </c>
      <c r="AA171" s="97" t="str">
        <f t="shared" si="48"/>
        <v/>
      </c>
      <c r="AB171" s="97" t="str">
        <f t="shared" si="49"/>
        <v/>
      </c>
      <c r="AC171" s="97" t="str">
        <f t="shared" si="50"/>
        <v/>
      </c>
      <c r="AD171" s="228" t="str">
        <f t="shared" si="51"/>
        <v/>
      </c>
      <c r="AE171" s="266" t="str">
        <f t="shared" si="52"/>
        <v/>
      </c>
    </row>
    <row r="172" spans="1:31" x14ac:dyDescent="0.2">
      <c r="A172" s="3">
        <v>162</v>
      </c>
      <c r="B172" s="3">
        <f t="shared" si="36"/>
        <v>2174</v>
      </c>
      <c r="C172" s="149" t="str">
        <f>IN_DATA!P167</f>
        <v/>
      </c>
      <c r="D172" s="33" t="str">
        <f>IN_DATA!Q167</f>
        <v/>
      </c>
      <c r="F172" s="4">
        <f t="shared" si="37"/>
        <v>2174</v>
      </c>
      <c r="G172" s="24" t="str">
        <f>IF(C172="","",IN_DATA!C167*OCF*FPF)</f>
        <v/>
      </c>
      <c r="H172" s="24" t="str">
        <f>IF(C172="","",IN_DATA!D167*OCF*FPF)</f>
        <v/>
      </c>
      <c r="I172" s="24" t="str">
        <f>IF(C172="","",IN_DATA!E167)</f>
        <v/>
      </c>
      <c r="J172" s="24" t="str">
        <f>IF(C172="","",IN_DATA!F167)</f>
        <v/>
      </c>
      <c r="K172" s="24" t="str">
        <f>IF(C172="","",IN_DATA!H167)</f>
        <v/>
      </c>
      <c r="L172" s="155" t="str">
        <f>IF(C172="","",IN_DATA!G167)</f>
        <v/>
      </c>
      <c r="M172" s="154"/>
      <c r="N172" s="220" t="str">
        <f>IF(C172="","",IN_DATA!P167)</f>
        <v/>
      </c>
      <c r="O172" s="112" t="str">
        <f>IF(C172="","",IN_DATA!Q167)</f>
        <v/>
      </c>
      <c r="P172" s="25" t="str">
        <f t="shared" si="38"/>
        <v/>
      </c>
      <c r="Q172" s="25" t="str">
        <f t="shared" si="39"/>
        <v/>
      </c>
      <c r="R172" s="25" t="str">
        <f t="shared" si="40"/>
        <v/>
      </c>
      <c r="S172" s="25" t="str">
        <f t="shared" si="41"/>
        <v/>
      </c>
      <c r="T172" s="25" t="str">
        <f t="shared" si="42"/>
        <v/>
      </c>
      <c r="U172" s="72" t="str">
        <f t="shared" si="43"/>
        <v/>
      </c>
      <c r="V172" s="224" t="str">
        <f>IF(C172="","",IF(IN_DATA!R167=3, IF(IN_DATA!$L$4=5, 250, 375), 0))</f>
        <v/>
      </c>
      <c r="W172" s="97" t="str">
        <f t="shared" si="44"/>
        <v/>
      </c>
      <c r="X172" s="97" t="str">
        <f t="shared" si="45"/>
        <v/>
      </c>
      <c r="Y172" s="97" t="str">
        <f t="shared" si="46"/>
        <v/>
      </c>
      <c r="Z172" s="97" t="str">
        <f t="shared" si="47"/>
        <v/>
      </c>
      <c r="AA172" s="97" t="str">
        <f t="shared" si="48"/>
        <v/>
      </c>
      <c r="AB172" s="97" t="str">
        <f t="shared" si="49"/>
        <v/>
      </c>
      <c r="AC172" s="97" t="str">
        <f t="shared" si="50"/>
        <v/>
      </c>
      <c r="AD172" s="228" t="str">
        <f t="shared" si="51"/>
        <v/>
      </c>
      <c r="AE172" s="266" t="str">
        <f t="shared" si="52"/>
        <v/>
      </c>
    </row>
    <row r="173" spans="1:31" x14ac:dyDescent="0.2">
      <c r="A173" s="3">
        <v>163</v>
      </c>
      <c r="B173" s="3">
        <f t="shared" si="36"/>
        <v>2175</v>
      </c>
      <c r="C173" s="149" t="str">
        <f>IN_DATA!P168</f>
        <v/>
      </c>
      <c r="D173" s="33" t="str">
        <f>IN_DATA!Q168</f>
        <v/>
      </c>
      <c r="F173" s="4">
        <f t="shared" si="37"/>
        <v>2175</v>
      </c>
      <c r="G173" s="24" t="str">
        <f>IF(C173="","",IN_DATA!C168*OCF*FPF)</f>
        <v/>
      </c>
      <c r="H173" s="24" t="str">
        <f>IF(C173="","",IN_DATA!D168*OCF*FPF)</f>
        <v/>
      </c>
      <c r="I173" s="24" t="str">
        <f>IF(C173="","",IN_DATA!E168)</f>
        <v/>
      </c>
      <c r="J173" s="24" t="str">
        <f>IF(C173="","",IN_DATA!F168)</f>
        <v/>
      </c>
      <c r="K173" s="24" t="str">
        <f>IF(C173="","",IN_DATA!H168)</f>
        <v/>
      </c>
      <c r="L173" s="155" t="str">
        <f>IF(C173="","",IN_DATA!G168)</f>
        <v/>
      </c>
      <c r="M173" s="154"/>
      <c r="N173" s="220" t="str">
        <f>IF(C173="","",IN_DATA!P168)</f>
        <v/>
      </c>
      <c r="O173" s="112" t="str">
        <f>IF(C173="","",IN_DATA!Q168)</f>
        <v/>
      </c>
      <c r="P173" s="25" t="str">
        <f t="shared" si="38"/>
        <v/>
      </c>
      <c r="Q173" s="25" t="str">
        <f t="shared" si="39"/>
        <v/>
      </c>
      <c r="R173" s="25" t="str">
        <f t="shared" si="40"/>
        <v/>
      </c>
      <c r="S173" s="25" t="str">
        <f t="shared" si="41"/>
        <v/>
      </c>
      <c r="T173" s="25" t="str">
        <f t="shared" si="42"/>
        <v/>
      </c>
      <c r="U173" s="72" t="str">
        <f t="shared" si="43"/>
        <v/>
      </c>
      <c r="V173" s="224" t="str">
        <f>IF(C173="","",IF(IN_DATA!R168=3, IF(IN_DATA!$L$4=5, 250, 375), 0))</f>
        <v/>
      </c>
      <c r="W173" s="97" t="str">
        <f t="shared" si="44"/>
        <v/>
      </c>
      <c r="X173" s="97" t="str">
        <f t="shared" si="45"/>
        <v/>
      </c>
      <c r="Y173" s="97" t="str">
        <f t="shared" si="46"/>
        <v/>
      </c>
      <c r="Z173" s="97" t="str">
        <f t="shared" si="47"/>
        <v/>
      </c>
      <c r="AA173" s="97" t="str">
        <f t="shared" si="48"/>
        <v/>
      </c>
      <c r="AB173" s="97" t="str">
        <f t="shared" si="49"/>
        <v/>
      </c>
      <c r="AC173" s="97" t="str">
        <f t="shared" si="50"/>
        <v/>
      </c>
      <c r="AD173" s="228" t="str">
        <f t="shared" si="51"/>
        <v/>
      </c>
      <c r="AE173" s="266" t="str">
        <f t="shared" si="52"/>
        <v/>
      </c>
    </row>
    <row r="174" spans="1:31" x14ac:dyDescent="0.2">
      <c r="A174" s="3">
        <v>164</v>
      </c>
      <c r="B174" s="3">
        <f t="shared" ref="B174:B209" si="53">A174+$B$5</f>
        <v>2176</v>
      </c>
      <c r="C174" s="149" t="str">
        <f>IN_DATA!P169</f>
        <v/>
      </c>
      <c r="D174" s="33" t="str">
        <f>IN_DATA!Q169</f>
        <v/>
      </c>
      <c r="F174" s="4">
        <f t="shared" ref="F174:F209" si="54">B174</f>
        <v>2176</v>
      </c>
      <c r="G174" s="24" t="str">
        <f>IF(C174="","",IN_DATA!C169*OCF*FPF)</f>
        <v/>
      </c>
      <c r="H174" s="24" t="str">
        <f>IF(C174="","",IN_DATA!D169*OCF*FPF)</f>
        <v/>
      </c>
      <c r="I174" s="24" t="str">
        <f>IF(C174="","",IN_DATA!E169)</f>
        <v/>
      </c>
      <c r="J174" s="24" t="str">
        <f>IF(C174="","",IN_DATA!F169)</f>
        <v/>
      </c>
      <c r="K174" s="24" t="str">
        <f>IF(C174="","",IN_DATA!H169)</f>
        <v/>
      </c>
      <c r="L174" s="155" t="str">
        <f>IF(C174="","",IN_DATA!G169)</f>
        <v/>
      </c>
      <c r="M174" s="154"/>
      <c r="N174" s="220" t="str">
        <f>IF(C174="","",IN_DATA!P169)</f>
        <v/>
      </c>
      <c r="O174" s="112" t="str">
        <f>IF(C174="","",IN_DATA!Q169)</f>
        <v/>
      </c>
      <c r="P174" s="25" t="str">
        <f t="shared" si="38"/>
        <v/>
      </c>
      <c r="Q174" s="25" t="str">
        <f t="shared" si="39"/>
        <v/>
      </c>
      <c r="R174" s="25" t="str">
        <f t="shared" si="40"/>
        <v/>
      </c>
      <c r="S174" s="25" t="str">
        <f t="shared" si="41"/>
        <v/>
      </c>
      <c r="T174" s="25" t="str">
        <f t="shared" si="42"/>
        <v/>
      </c>
      <c r="U174" s="72" t="str">
        <f t="shared" si="43"/>
        <v/>
      </c>
      <c r="V174" s="224" t="str">
        <f>IF(C174="","",IF(IN_DATA!R169=3, IF(IN_DATA!$L$4=5, 250, 375), 0))</f>
        <v/>
      </c>
      <c r="W174" s="97" t="str">
        <f t="shared" si="44"/>
        <v/>
      </c>
      <c r="X174" s="97" t="str">
        <f t="shared" si="45"/>
        <v/>
      </c>
      <c r="Y174" s="97" t="str">
        <f t="shared" si="46"/>
        <v/>
      </c>
      <c r="Z174" s="97" t="str">
        <f t="shared" si="47"/>
        <v/>
      </c>
      <c r="AA174" s="97" t="str">
        <f t="shared" si="48"/>
        <v/>
      </c>
      <c r="AB174" s="97" t="str">
        <f t="shared" si="49"/>
        <v/>
      </c>
      <c r="AC174" s="97" t="str">
        <f t="shared" si="50"/>
        <v/>
      </c>
      <c r="AD174" s="228" t="str">
        <f t="shared" si="51"/>
        <v/>
      </c>
      <c r="AE174" s="266" t="str">
        <f t="shared" si="52"/>
        <v/>
      </c>
    </row>
    <row r="175" spans="1:31" x14ac:dyDescent="0.2">
      <c r="A175" s="3">
        <v>165</v>
      </c>
      <c r="B175" s="3">
        <f t="shared" si="53"/>
        <v>2177</v>
      </c>
      <c r="C175" s="149" t="str">
        <f>IN_DATA!P170</f>
        <v/>
      </c>
      <c r="D175" s="33" t="str">
        <f>IN_DATA!Q170</f>
        <v/>
      </c>
      <c r="F175" s="4">
        <f t="shared" si="54"/>
        <v>2177</v>
      </c>
      <c r="G175" s="24" t="str">
        <f>IF(C175="","",IN_DATA!C170*OCF*FPF)</f>
        <v/>
      </c>
      <c r="H175" s="24" t="str">
        <f>IF(C175="","",IN_DATA!D170*OCF*FPF)</f>
        <v/>
      </c>
      <c r="I175" s="24" t="str">
        <f>IF(C175="","",IN_DATA!E170)</f>
        <v/>
      </c>
      <c r="J175" s="24" t="str">
        <f>IF(C175="","",IN_DATA!F170)</f>
        <v/>
      </c>
      <c r="K175" s="24" t="str">
        <f>IF(C175="","",IN_DATA!H170)</f>
        <v/>
      </c>
      <c r="L175" s="155" t="str">
        <f>IF(C175="","",IN_DATA!G170)</f>
        <v/>
      </c>
      <c r="M175" s="154"/>
      <c r="N175" s="220" t="str">
        <f>IF(C175="","",IN_DATA!P170)</f>
        <v/>
      </c>
      <c r="O175" s="112" t="str">
        <f>IF(C175="","",IN_DATA!Q170)</f>
        <v/>
      </c>
      <c r="P175" s="25" t="str">
        <f t="shared" si="38"/>
        <v/>
      </c>
      <c r="Q175" s="25" t="str">
        <f t="shared" si="39"/>
        <v/>
      </c>
      <c r="R175" s="25" t="str">
        <f t="shared" si="40"/>
        <v/>
      </c>
      <c r="S175" s="25" t="str">
        <f t="shared" si="41"/>
        <v/>
      </c>
      <c r="T175" s="25" t="str">
        <f t="shared" si="42"/>
        <v/>
      </c>
      <c r="U175" s="72" t="str">
        <f t="shared" si="43"/>
        <v/>
      </c>
      <c r="V175" s="224" t="str">
        <f>IF(C175="","",IF(IN_DATA!R170=3, IF(IN_DATA!$L$4=5, 250, 375), 0))</f>
        <v/>
      </c>
      <c r="W175" s="97" t="str">
        <f t="shared" si="44"/>
        <v/>
      </c>
      <c r="X175" s="97" t="str">
        <f t="shared" si="45"/>
        <v/>
      </c>
      <c r="Y175" s="97" t="str">
        <f t="shared" si="46"/>
        <v/>
      </c>
      <c r="Z175" s="97" t="str">
        <f t="shared" si="47"/>
        <v/>
      </c>
      <c r="AA175" s="97" t="str">
        <f t="shared" si="48"/>
        <v/>
      </c>
      <c r="AB175" s="97" t="str">
        <f t="shared" si="49"/>
        <v/>
      </c>
      <c r="AC175" s="97" t="str">
        <f t="shared" si="50"/>
        <v/>
      </c>
      <c r="AD175" s="228" t="str">
        <f t="shared" si="51"/>
        <v/>
      </c>
      <c r="AE175" s="266" t="str">
        <f t="shared" si="52"/>
        <v/>
      </c>
    </row>
    <row r="176" spans="1:31" x14ac:dyDescent="0.2">
      <c r="A176" s="3">
        <v>166</v>
      </c>
      <c r="B176" s="3">
        <f t="shared" si="53"/>
        <v>2178</v>
      </c>
      <c r="C176" s="149" t="str">
        <f>IN_DATA!P171</f>
        <v/>
      </c>
      <c r="D176" s="33" t="str">
        <f>IN_DATA!Q171</f>
        <v/>
      </c>
      <c r="F176" s="4">
        <f t="shared" si="54"/>
        <v>2178</v>
      </c>
      <c r="G176" s="24" t="str">
        <f>IF(C176="","",IN_DATA!C171*OCF*FPF)</f>
        <v/>
      </c>
      <c r="H176" s="24" t="str">
        <f>IF(C176="","",IN_DATA!D171*OCF*FPF)</f>
        <v/>
      </c>
      <c r="I176" s="24" t="str">
        <f>IF(C176="","",IN_DATA!E171)</f>
        <v/>
      </c>
      <c r="J176" s="24" t="str">
        <f>IF(C176="","",IN_DATA!F171)</f>
        <v/>
      </c>
      <c r="K176" s="24" t="str">
        <f>IF(C176="","",IN_DATA!H171)</f>
        <v/>
      </c>
      <c r="L176" s="155" t="str">
        <f>IF(C176="","",IN_DATA!G171)</f>
        <v/>
      </c>
      <c r="M176" s="154"/>
      <c r="N176" s="220" t="str">
        <f>IF(C176="","",IN_DATA!P171)</f>
        <v/>
      </c>
      <c r="O176" s="112" t="str">
        <f>IF(C176="","",IN_DATA!Q171)</f>
        <v/>
      </c>
      <c r="P176" s="25" t="str">
        <f t="shared" si="38"/>
        <v/>
      </c>
      <c r="Q176" s="25" t="str">
        <f t="shared" si="39"/>
        <v/>
      </c>
      <c r="R176" s="25" t="str">
        <f t="shared" si="40"/>
        <v/>
      </c>
      <c r="S176" s="25" t="str">
        <f t="shared" si="41"/>
        <v/>
      </c>
      <c r="T176" s="25" t="str">
        <f t="shared" si="42"/>
        <v/>
      </c>
      <c r="U176" s="72" t="str">
        <f t="shared" si="43"/>
        <v/>
      </c>
      <c r="V176" s="224" t="str">
        <f>IF(C176="","",IF(IN_DATA!R171=3, IF(IN_DATA!$L$4=5, 250, 375), 0))</f>
        <v/>
      </c>
      <c r="W176" s="97" t="str">
        <f t="shared" si="44"/>
        <v/>
      </c>
      <c r="X176" s="97" t="str">
        <f t="shared" si="45"/>
        <v/>
      </c>
      <c r="Y176" s="97" t="str">
        <f t="shared" si="46"/>
        <v/>
      </c>
      <c r="Z176" s="97" t="str">
        <f t="shared" si="47"/>
        <v/>
      </c>
      <c r="AA176" s="97" t="str">
        <f t="shared" si="48"/>
        <v/>
      </c>
      <c r="AB176" s="97" t="str">
        <f t="shared" si="49"/>
        <v/>
      </c>
      <c r="AC176" s="97" t="str">
        <f t="shared" si="50"/>
        <v/>
      </c>
      <c r="AD176" s="228" t="str">
        <f t="shared" si="51"/>
        <v/>
      </c>
      <c r="AE176" s="266" t="str">
        <f t="shared" si="52"/>
        <v/>
      </c>
    </row>
    <row r="177" spans="1:31" x14ac:dyDescent="0.2">
      <c r="A177" s="3">
        <v>167</v>
      </c>
      <c r="B177" s="3">
        <f t="shared" si="53"/>
        <v>2179</v>
      </c>
      <c r="C177" s="149" t="str">
        <f>IN_DATA!P172</f>
        <v/>
      </c>
      <c r="D177" s="33" t="str">
        <f>IN_DATA!Q172</f>
        <v/>
      </c>
      <c r="F177" s="4">
        <f t="shared" si="54"/>
        <v>2179</v>
      </c>
      <c r="G177" s="24" t="str">
        <f>IF(C177="","",IN_DATA!C172*OCF*FPF)</f>
        <v/>
      </c>
      <c r="H177" s="24" t="str">
        <f>IF(C177="","",IN_DATA!D172*OCF*FPF)</f>
        <v/>
      </c>
      <c r="I177" s="24" t="str">
        <f>IF(C177="","",IN_DATA!E172)</f>
        <v/>
      </c>
      <c r="J177" s="24" t="str">
        <f>IF(C177="","",IN_DATA!F172)</f>
        <v/>
      </c>
      <c r="K177" s="24" t="str">
        <f>IF(C177="","",IN_DATA!H172)</f>
        <v/>
      </c>
      <c r="L177" s="155" t="str">
        <f>IF(C177="","",IN_DATA!G172)</f>
        <v/>
      </c>
      <c r="M177" s="154"/>
      <c r="N177" s="220" t="str">
        <f>IF(C177="","",IN_DATA!P172)</f>
        <v/>
      </c>
      <c r="O177" s="112" t="str">
        <f>IF(C177="","",IN_DATA!Q172)</f>
        <v/>
      </c>
      <c r="P177" s="25" t="str">
        <f t="shared" si="38"/>
        <v/>
      </c>
      <c r="Q177" s="25" t="str">
        <f t="shared" si="39"/>
        <v/>
      </c>
      <c r="R177" s="25" t="str">
        <f t="shared" si="40"/>
        <v/>
      </c>
      <c r="S177" s="25" t="str">
        <f t="shared" si="41"/>
        <v/>
      </c>
      <c r="T177" s="25" t="str">
        <f t="shared" si="42"/>
        <v/>
      </c>
      <c r="U177" s="72" t="str">
        <f t="shared" si="43"/>
        <v/>
      </c>
      <c r="V177" s="224" t="str">
        <f>IF(C177="","",IF(IN_DATA!R172=3, IF(IN_DATA!$L$4=5, 250, 375), 0))</f>
        <v/>
      </c>
      <c r="W177" s="97" t="str">
        <f t="shared" si="44"/>
        <v/>
      </c>
      <c r="X177" s="97" t="str">
        <f t="shared" si="45"/>
        <v/>
      </c>
      <c r="Y177" s="97" t="str">
        <f t="shared" si="46"/>
        <v/>
      </c>
      <c r="Z177" s="97" t="str">
        <f t="shared" si="47"/>
        <v/>
      </c>
      <c r="AA177" s="97" t="str">
        <f t="shared" si="48"/>
        <v/>
      </c>
      <c r="AB177" s="97" t="str">
        <f t="shared" si="49"/>
        <v/>
      </c>
      <c r="AC177" s="97" t="str">
        <f t="shared" si="50"/>
        <v/>
      </c>
      <c r="AD177" s="228" t="str">
        <f t="shared" si="51"/>
        <v/>
      </c>
      <c r="AE177" s="266" t="str">
        <f t="shared" si="52"/>
        <v/>
      </c>
    </row>
    <row r="178" spans="1:31" x14ac:dyDescent="0.2">
      <c r="A178" s="3">
        <v>168</v>
      </c>
      <c r="B178" s="3">
        <f t="shared" si="53"/>
        <v>2180</v>
      </c>
      <c r="C178" s="149" t="str">
        <f>IN_DATA!P173</f>
        <v/>
      </c>
      <c r="D178" s="33" t="str">
        <f>IN_DATA!Q173</f>
        <v/>
      </c>
      <c r="F178" s="4">
        <f t="shared" si="54"/>
        <v>2180</v>
      </c>
      <c r="G178" s="24" t="str">
        <f>IF(C178="","",IN_DATA!C173*OCF*FPF)</f>
        <v/>
      </c>
      <c r="H178" s="24" t="str">
        <f>IF(C178="","",IN_DATA!D173*OCF*FPF)</f>
        <v/>
      </c>
      <c r="I178" s="24" t="str">
        <f>IF(C178="","",IN_DATA!E173)</f>
        <v/>
      </c>
      <c r="J178" s="24" t="str">
        <f>IF(C178="","",IN_DATA!F173)</f>
        <v/>
      </c>
      <c r="K178" s="24" t="str">
        <f>IF(C178="","",IN_DATA!H173)</f>
        <v/>
      </c>
      <c r="L178" s="155" t="str">
        <f>IF(C178="","",IN_DATA!G173)</f>
        <v/>
      </c>
      <c r="M178" s="154"/>
      <c r="N178" s="220" t="str">
        <f>IF(C178="","",IN_DATA!P173)</f>
        <v/>
      </c>
      <c r="O178" s="112" t="str">
        <f>IF(C178="","",IN_DATA!Q173)</f>
        <v/>
      </c>
      <c r="P178" s="25" t="str">
        <f t="shared" si="38"/>
        <v/>
      </c>
      <c r="Q178" s="25" t="str">
        <f t="shared" si="39"/>
        <v/>
      </c>
      <c r="R178" s="25" t="str">
        <f t="shared" si="40"/>
        <v/>
      </c>
      <c r="S178" s="25" t="str">
        <f t="shared" si="41"/>
        <v/>
      </c>
      <c r="T178" s="25" t="str">
        <f t="shared" si="42"/>
        <v/>
      </c>
      <c r="U178" s="72" t="str">
        <f t="shared" si="43"/>
        <v/>
      </c>
      <c r="V178" s="224" t="str">
        <f>IF(C178="","",IF(IN_DATA!R173=3, IF(IN_DATA!$L$4=5, 250, 375), 0))</f>
        <v/>
      </c>
      <c r="W178" s="97" t="str">
        <f t="shared" si="44"/>
        <v/>
      </c>
      <c r="X178" s="97" t="str">
        <f t="shared" si="45"/>
        <v/>
      </c>
      <c r="Y178" s="97" t="str">
        <f t="shared" si="46"/>
        <v/>
      </c>
      <c r="Z178" s="97" t="str">
        <f t="shared" si="47"/>
        <v/>
      </c>
      <c r="AA178" s="97" t="str">
        <f t="shared" si="48"/>
        <v/>
      </c>
      <c r="AB178" s="97" t="str">
        <f t="shared" si="49"/>
        <v/>
      </c>
      <c r="AC178" s="97" t="str">
        <f t="shared" si="50"/>
        <v/>
      </c>
      <c r="AD178" s="228" t="str">
        <f t="shared" si="51"/>
        <v/>
      </c>
      <c r="AE178" s="266" t="str">
        <f t="shared" si="52"/>
        <v/>
      </c>
    </row>
    <row r="179" spans="1:31" x14ac:dyDescent="0.2">
      <c r="A179" s="3">
        <v>169</v>
      </c>
      <c r="B179" s="3">
        <f t="shared" si="53"/>
        <v>2181</v>
      </c>
      <c r="C179" s="149" t="str">
        <f>IN_DATA!P174</f>
        <v/>
      </c>
      <c r="D179" s="33" t="str">
        <f>IN_DATA!Q174</f>
        <v/>
      </c>
      <c r="F179" s="4">
        <f t="shared" si="54"/>
        <v>2181</v>
      </c>
      <c r="G179" s="24" t="str">
        <f>IF(C179="","",IN_DATA!C174*OCF*FPF)</f>
        <v/>
      </c>
      <c r="H179" s="24" t="str">
        <f>IF(C179="","",IN_DATA!D174*OCF*FPF)</f>
        <v/>
      </c>
      <c r="I179" s="24" t="str">
        <f>IF(C179="","",IN_DATA!E174)</f>
        <v/>
      </c>
      <c r="J179" s="24" t="str">
        <f>IF(C179="","",IN_DATA!F174)</f>
        <v/>
      </c>
      <c r="K179" s="24" t="str">
        <f>IF(C179="","",IN_DATA!H174)</f>
        <v/>
      </c>
      <c r="L179" s="155" t="str">
        <f>IF(C179="","",IN_DATA!G174)</f>
        <v/>
      </c>
      <c r="M179" s="154"/>
      <c r="N179" s="220" t="str">
        <f>IF(C179="","",IN_DATA!P174)</f>
        <v/>
      </c>
      <c r="O179" s="112" t="str">
        <f>IF(C179="","",IN_DATA!Q174)</f>
        <v/>
      </c>
      <c r="P179" s="25" t="str">
        <f t="shared" si="38"/>
        <v/>
      </c>
      <c r="Q179" s="25" t="str">
        <f t="shared" si="39"/>
        <v/>
      </c>
      <c r="R179" s="25" t="str">
        <f t="shared" si="40"/>
        <v/>
      </c>
      <c r="S179" s="25" t="str">
        <f t="shared" si="41"/>
        <v/>
      </c>
      <c r="T179" s="25" t="str">
        <f t="shared" si="42"/>
        <v/>
      </c>
      <c r="U179" s="72" t="str">
        <f t="shared" si="43"/>
        <v/>
      </c>
      <c r="V179" s="224" t="str">
        <f>IF(C179="","",IF(IN_DATA!R174=3, IF(IN_DATA!$L$4=5, 250, 375), 0))</f>
        <v/>
      </c>
      <c r="W179" s="97" t="str">
        <f t="shared" si="44"/>
        <v/>
      </c>
      <c r="X179" s="97" t="str">
        <f t="shared" si="45"/>
        <v/>
      </c>
      <c r="Y179" s="97" t="str">
        <f t="shared" si="46"/>
        <v/>
      </c>
      <c r="Z179" s="97" t="str">
        <f t="shared" si="47"/>
        <v/>
      </c>
      <c r="AA179" s="97" t="str">
        <f t="shared" si="48"/>
        <v/>
      </c>
      <c r="AB179" s="97" t="str">
        <f t="shared" si="49"/>
        <v/>
      </c>
      <c r="AC179" s="97" t="str">
        <f t="shared" si="50"/>
        <v/>
      </c>
      <c r="AD179" s="228" t="str">
        <f t="shared" si="51"/>
        <v/>
      </c>
      <c r="AE179" s="266" t="str">
        <f t="shared" si="52"/>
        <v/>
      </c>
    </row>
    <row r="180" spans="1:31" x14ac:dyDescent="0.2">
      <c r="A180" s="3">
        <v>170</v>
      </c>
      <c r="B180" s="3">
        <f t="shared" si="53"/>
        <v>2182</v>
      </c>
      <c r="C180" s="149" t="str">
        <f>IN_DATA!P175</f>
        <v/>
      </c>
      <c r="D180" s="33" t="str">
        <f>IN_DATA!Q175</f>
        <v/>
      </c>
      <c r="F180" s="4">
        <f t="shared" si="54"/>
        <v>2182</v>
      </c>
      <c r="G180" s="24" t="str">
        <f>IF(C180="","",IN_DATA!C175*OCF*FPF)</f>
        <v/>
      </c>
      <c r="H180" s="24" t="str">
        <f>IF(C180="","",IN_DATA!D175*OCF*FPF)</f>
        <v/>
      </c>
      <c r="I180" s="24" t="str">
        <f>IF(C180="","",IN_DATA!E175)</f>
        <v/>
      </c>
      <c r="J180" s="24" t="str">
        <f>IF(C180="","",IN_DATA!F175)</f>
        <v/>
      </c>
      <c r="K180" s="24" t="str">
        <f>IF(C180="","",IN_DATA!H175)</f>
        <v/>
      </c>
      <c r="L180" s="155" t="str">
        <f>IF(C180="","",IN_DATA!G175)</f>
        <v/>
      </c>
      <c r="M180" s="154"/>
      <c r="N180" s="220" t="str">
        <f>IF(C180="","",IN_DATA!P175)</f>
        <v/>
      </c>
      <c r="O180" s="112" t="str">
        <f>IF(C180="","",IN_DATA!Q175)</f>
        <v/>
      </c>
      <c r="P180" s="25" t="str">
        <f t="shared" si="38"/>
        <v/>
      </c>
      <c r="Q180" s="25" t="str">
        <f t="shared" si="39"/>
        <v/>
      </c>
      <c r="R180" s="25" t="str">
        <f t="shared" si="40"/>
        <v/>
      </c>
      <c r="S180" s="25" t="str">
        <f t="shared" si="41"/>
        <v/>
      </c>
      <c r="T180" s="25" t="str">
        <f t="shared" si="42"/>
        <v/>
      </c>
      <c r="U180" s="72" t="str">
        <f t="shared" si="43"/>
        <v/>
      </c>
      <c r="V180" s="224" t="str">
        <f>IF(C180="","",IF(IN_DATA!R175=3, IF(IN_DATA!$L$4=5, 250, 375), 0))</f>
        <v/>
      </c>
      <c r="W180" s="97" t="str">
        <f t="shared" si="44"/>
        <v/>
      </c>
      <c r="X180" s="97" t="str">
        <f t="shared" si="45"/>
        <v/>
      </c>
      <c r="Y180" s="97" t="str">
        <f t="shared" si="46"/>
        <v/>
      </c>
      <c r="Z180" s="97" t="str">
        <f t="shared" si="47"/>
        <v/>
      </c>
      <c r="AA180" s="97" t="str">
        <f t="shared" si="48"/>
        <v/>
      </c>
      <c r="AB180" s="97" t="str">
        <f t="shared" si="49"/>
        <v/>
      </c>
      <c r="AC180" s="97" t="str">
        <f t="shared" si="50"/>
        <v/>
      </c>
      <c r="AD180" s="228" t="str">
        <f t="shared" si="51"/>
        <v/>
      </c>
      <c r="AE180" s="266" t="str">
        <f t="shared" si="52"/>
        <v/>
      </c>
    </row>
    <row r="181" spans="1:31" x14ac:dyDescent="0.2">
      <c r="A181" s="3">
        <v>171</v>
      </c>
      <c r="B181" s="3">
        <f t="shared" si="53"/>
        <v>2183</v>
      </c>
      <c r="C181" s="149" t="str">
        <f>IN_DATA!P176</f>
        <v/>
      </c>
      <c r="D181" s="33" t="str">
        <f>IN_DATA!Q176</f>
        <v/>
      </c>
      <c r="F181" s="4">
        <f t="shared" si="54"/>
        <v>2183</v>
      </c>
      <c r="G181" s="24" t="str">
        <f>IF(C181="","",IN_DATA!C176*OCF*FPF)</f>
        <v/>
      </c>
      <c r="H181" s="24" t="str">
        <f>IF(C181="","",IN_DATA!D176*OCF*FPF)</f>
        <v/>
      </c>
      <c r="I181" s="24" t="str">
        <f>IF(C181="","",IN_DATA!E176)</f>
        <v/>
      </c>
      <c r="J181" s="24" t="str">
        <f>IF(C181="","",IN_DATA!F176)</f>
        <v/>
      </c>
      <c r="K181" s="24" t="str">
        <f>IF(C181="","",IN_DATA!H176)</f>
        <v/>
      </c>
      <c r="L181" s="155" t="str">
        <f>IF(C181="","",IN_DATA!G176)</f>
        <v/>
      </c>
      <c r="M181" s="154"/>
      <c r="N181" s="220" t="str">
        <f>IF(C181="","",IN_DATA!P176)</f>
        <v/>
      </c>
      <c r="O181" s="112" t="str">
        <f>IF(C181="","",IN_DATA!Q176)</f>
        <v/>
      </c>
      <c r="P181" s="25" t="str">
        <f t="shared" si="38"/>
        <v/>
      </c>
      <c r="Q181" s="25" t="str">
        <f t="shared" si="39"/>
        <v/>
      </c>
      <c r="R181" s="25" t="str">
        <f t="shared" si="40"/>
        <v/>
      </c>
      <c r="S181" s="25" t="str">
        <f t="shared" si="41"/>
        <v/>
      </c>
      <c r="T181" s="25" t="str">
        <f t="shared" si="42"/>
        <v/>
      </c>
      <c r="U181" s="72" t="str">
        <f t="shared" si="43"/>
        <v/>
      </c>
      <c r="V181" s="224" t="str">
        <f>IF(C181="","",IF(IN_DATA!R176=3, IF(IN_DATA!$L$4=5, 250, 375), 0))</f>
        <v/>
      </c>
      <c r="W181" s="97" t="str">
        <f t="shared" si="44"/>
        <v/>
      </c>
      <c r="X181" s="97" t="str">
        <f t="shared" si="45"/>
        <v/>
      </c>
      <c r="Y181" s="97" t="str">
        <f t="shared" si="46"/>
        <v/>
      </c>
      <c r="Z181" s="97" t="str">
        <f t="shared" si="47"/>
        <v/>
      </c>
      <c r="AA181" s="97" t="str">
        <f t="shared" si="48"/>
        <v/>
      </c>
      <c r="AB181" s="97" t="str">
        <f t="shared" si="49"/>
        <v/>
      </c>
      <c r="AC181" s="97" t="str">
        <f t="shared" si="50"/>
        <v/>
      </c>
      <c r="AD181" s="228" t="str">
        <f t="shared" si="51"/>
        <v/>
      </c>
      <c r="AE181" s="266" t="str">
        <f t="shared" si="52"/>
        <v/>
      </c>
    </row>
    <row r="182" spans="1:31" x14ac:dyDescent="0.2">
      <c r="A182" s="3">
        <v>172</v>
      </c>
      <c r="B182" s="3">
        <f t="shared" si="53"/>
        <v>2184</v>
      </c>
      <c r="C182" s="149" t="str">
        <f>IN_DATA!P177</f>
        <v/>
      </c>
      <c r="D182" s="33" t="str">
        <f>IN_DATA!Q177</f>
        <v/>
      </c>
      <c r="F182" s="4">
        <f t="shared" si="54"/>
        <v>2184</v>
      </c>
      <c r="G182" s="24" t="str">
        <f>IF(C182="","",IN_DATA!C177*OCF*FPF)</f>
        <v/>
      </c>
      <c r="H182" s="24" t="str">
        <f>IF(C182="","",IN_DATA!D177*OCF*FPF)</f>
        <v/>
      </c>
      <c r="I182" s="24" t="str">
        <f>IF(C182="","",IN_DATA!E177)</f>
        <v/>
      </c>
      <c r="J182" s="24" t="str">
        <f>IF(C182="","",IN_DATA!F177)</f>
        <v/>
      </c>
      <c r="K182" s="24" t="str">
        <f>IF(C182="","",IN_DATA!H177)</f>
        <v/>
      </c>
      <c r="L182" s="155" t="str">
        <f>IF(C182="","",IN_DATA!G177)</f>
        <v/>
      </c>
      <c r="M182" s="154"/>
      <c r="N182" s="220" t="str">
        <f>IF(C182="","",IN_DATA!P177)</f>
        <v/>
      </c>
      <c r="O182" s="112" t="str">
        <f>IF(C182="","",IN_DATA!Q177)</f>
        <v/>
      </c>
      <c r="P182" s="25" t="str">
        <f t="shared" si="38"/>
        <v/>
      </c>
      <c r="Q182" s="25" t="str">
        <f t="shared" si="39"/>
        <v/>
      </c>
      <c r="R182" s="25" t="str">
        <f t="shared" si="40"/>
        <v/>
      </c>
      <c r="S182" s="25" t="str">
        <f t="shared" si="41"/>
        <v/>
      </c>
      <c r="T182" s="25" t="str">
        <f t="shared" si="42"/>
        <v/>
      </c>
      <c r="U182" s="72" t="str">
        <f t="shared" si="43"/>
        <v/>
      </c>
      <c r="V182" s="224" t="str">
        <f>IF(C182="","",IF(IN_DATA!R177=3, IF(IN_DATA!$L$4=5, 250, 375), 0))</f>
        <v/>
      </c>
      <c r="W182" s="97" t="str">
        <f t="shared" si="44"/>
        <v/>
      </c>
      <c r="X182" s="97" t="str">
        <f t="shared" si="45"/>
        <v/>
      </c>
      <c r="Y182" s="97" t="str">
        <f t="shared" si="46"/>
        <v/>
      </c>
      <c r="Z182" s="97" t="str">
        <f t="shared" si="47"/>
        <v/>
      </c>
      <c r="AA182" s="97" t="str">
        <f t="shared" si="48"/>
        <v/>
      </c>
      <c r="AB182" s="97" t="str">
        <f t="shared" si="49"/>
        <v/>
      </c>
      <c r="AC182" s="97" t="str">
        <f t="shared" si="50"/>
        <v/>
      </c>
      <c r="AD182" s="228" t="str">
        <f t="shared" si="51"/>
        <v/>
      </c>
      <c r="AE182" s="266" t="str">
        <f t="shared" si="52"/>
        <v/>
      </c>
    </row>
    <row r="183" spans="1:31" x14ac:dyDescent="0.2">
      <c r="A183" s="3">
        <v>173</v>
      </c>
      <c r="B183" s="3">
        <f t="shared" si="53"/>
        <v>2185</v>
      </c>
      <c r="C183" s="149" t="str">
        <f>IN_DATA!P178</f>
        <v/>
      </c>
      <c r="D183" s="33" t="str">
        <f>IN_DATA!Q178</f>
        <v/>
      </c>
      <c r="F183" s="4">
        <f t="shared" si="54"/>
        <v>2185</v>
      </c>
      <c r="G183" s="24" t="str">
        <f>IF(C183="","",IN_DATA!C178*OCF*FPF)</f>
        <v/>
      </c>
      <c r="H183" s="24" t="str">
        <f>IF(C183="","",IN_DATA!D178*OCF*FPF)</f>
        <v/>
      </c>
      <c r="I183" s="24" t="str">
        <f>IF(C183="","",IN_DATA!E178)</f>
        <v/>
      </c>
      <c r="J183" s="24" t="str">
        <f>IF(C183="","",IN_DATA!F178)</f>
        <v/>
      </c>
      <c r="K183" s="24" t="str">
        <f>IF(C183="","",IN_DATA!H178)</f>
        <v/>
      </c>
      <c r="L183" s="155" t="str">
        <f>IF(C183="","",IN_DATA!G178)</f>
        <v/>
      </c>
      <c r="M183" s="154"/>
      <c r="N183" s="220" t="str">
        <f>IF(C183="","",IN_DATA!P178)</f>
        <v/>
      </c>
      <c r="O183" s="112" t="str">
        <f>IF(C183="","",IN_DATA!Q178)</f>
        <v/>
      </c>
      <c r="P183" s="25" t="str">
        <f t="shared" si="38"/>
        <v/>
      </c>
      <c r="Q183" s="25" t="str">
        <f t="shared" si="39"/>
        <v/>
      </c>
      <c r="R183" s="25" t="str">
        <f t="shared" si="40"/>
        <v/>
      </c>
      <c r="S183" s="25" t="str">
        <f t="shared" si="41"/>
        <v/>
      </c>
      <c r="T183" s="25" t="str">
        <f t="shared" si="42"/>
        <v/>
      </c>
      <c r="U183" s="72" t="str">
        <f t="shared" si="43"/>
        <v/>
      </c>
      <c r="V183" s="224" t="str">
        <f>IF(C183="","",IF(IN_DATA!R178=3, IF(IN_DATA!$L$4=5, 250, 375), 0))</f>
        <v/>
      </c>
      <c r="W183" s="97" t="str">
        <f t="shared" si="44"/>
        <v/>
      </c>
      <c r="X183" s="97" t="str">
        <f t="shared" si="45"/>
        <v/>
      </c>
      <c r="Y183" s="97" t="str">
        <f t="shared" si="46"/>
        <v/>
      </c>
      <c r="Z183" s="97" t="str">
        <f t="shared" si="47"/>
        <v/>
      </c>
      <c r="AA183" s="97" t="str">
        <f t="shared" si="48"/>
        <v/>
      </c>
      <c r="AB183" s="97" t="str">
        <f t="shared" si="49"/>
        <v/>
      </c>
      <c r="AC183" s="97" t="str">
        <f t="shared" si="50"/>
        <v/>
      </c>
      <c r="AD183" s="228" t="str">
        <f t="shared" si="51"/>
        <v/>
      </c>
      <c r="AE183" s="266" t="str">
        <f t="shared" si="52"/>
        <v/>
      </c>
    </row>
    <row r="184" spans="1:31" x14ac:dyDescent="0.2">
      <c r="A184" s="3">
        <v>174</v>
      </c>
      <c r="B184" s="3">
        <f t="shared" si="53"/>
        <v>2186</v>
      </c>
      <c r="C184" s="149" t="str">
        <f>IN_DATA!P179</f>
        <v/>
      </c>
      <c r="D184" s="33" t="str">
        <f>IN_DATA!Q179</f>
        <v/>
      </c>
      <c r="F184" s="4">
        <f t="shared" si="54"/>
        <v>2186</v>
      </c>
      <c r="G184" s="24" t="str">
        <f>IF(C184="","",IN_DATA!C179*OCF*FPF)</f>
        <v/>
      </c>
      <c r="H184" s="24" t="str">
        <f>IF(C184="","",IN_DATA!D179*OCF*FPF)</f>
        <v/>
      </c>
      <c r="I184" s="24" t="str">
        <f>IF(C184="","",IN_DATA!E179)</f>
        <v/>
      </c>
      <c r="J184" s="24" t="str">
        <f>IF(C184="","",IN_DATA!F179)</f>
        <v/>
      </c>
      <c r="K184" s="24" t="str">
        <f>IF(C184="","",IN_DATA!H179)</f>
        <v/>
      </c>
      <c r="L184" s="155" t="str">
        <f>IF(C184="","",IN_DATA!G179)</f>
        <v/>
      </c>
      <c r="M184" s="154"/>
      <c r="N184" s="220" t="str">
        <f>IF(C184="","",IN_DATA!P179)</f>
        <v/>
      </c>
      <c r="O184" s="112" t="str">
        <f>IF(C184="","",IN_DATA!Q179)</f>
        <v/>
      </c>
      <c r="P184" s="25" t="str">
        <f t="shared" si="38"/>
        <v/>
      </c>
      <c r="Q184" s="25" t="str">
        <f t="shared" si="39"/>
        <v/>
      </c>
      <c r="R184" s="25" t="str">
        <f t="shared" si="40"/>
        <v/>
      </c>
      <c r="S184" s="25" t="str">
        <f t="shared" si="41"/>
        <v/>
      </c>
      <c r="T184" s="25" t="str">
        <f t="shared" si="42"/>
        <v/>
      </c>
      <c r="U184" s="72" t="str">
        <f t="shared" si="43"/>
        <v/>
      </c>
      <c r="V184" s="224" t="str">
        <f>IF(C184="","",IF(IN_DATA!R179=3, IF(IN_DATA!$L$4=5, 250, 375), 0))</f>
        <v/>
      </c>
      <c r="W184" s="97" t="str">
        <f t="shared" si="44"/>
        <v/>
      </c>
      <c r="X184" s="97" t="str">
        <f t="shared" si="45"/>
        <v/>
      </c>
      <c r="Y184" s="97" t="str">
        <f t="shared" si="46"/>
        <v/>
      </c>
      <c r="Z184" s="97" t="str">
        <f t="shared" si="47"/>
        <v/>
      </c>
      <c r="AA184" s="97" t="str">
        <f t="shared" si="48"/>
        <v/>
      </c>
      <c r="AB184" s="97" t="str">
        <f t="shared" si="49"/>
        <v/>
      </c>
      <c r="AC184" s="97" t="str">
        <f t="shared" si="50"/>
        <v/>
      </c>
      <c r="AD184" s="228" t="str">
        <f t="shared" si="51"/>
        <v/>
      </c>
      <c r="AE184" s="266" t="str">
        <f t="shared" si="52"/>
        <v/>
      </c>
    </row>
    <row r="185" spans="1:31" x14ac:dyDescent="0.2">
      <c r="A185" s="3">
        <v>175</v>
      </c>
      <c r="B185" s="3">
        <f t="shared" si="53"/>
        <v>2187</v>
      </c>
      <c r="C185" s="149" t="str">
        <f>IN_DATA!P180</f>
        <v/>
      </c>
      <c r="D185" s="33" t="str">
        <f>IN_DATA!Q180</f>
        <v/>
      </c>
      <c r="F185" s="4">
        <f t="shared" si="54"/>
        <v>2187</v>
      </c>
      <c r="G185" s="24" t="str">
        <f>IF(C185="","",IN_DATA!C180*OCF*FPF)</f>
        <v/>
      </c>
      <c r="H185" s="24" t="str">
        <f>IF(C185="","",IN_DATA!D180*OCF*FPF)</f>
        <v/>
      </c>
      <c r="I185" s="24" t="str">
        <f>IF(C185="","",IN_DATA!E180)</f>
        <v/>
      </c>
      <c r="J185" s="24" t="str">
        <f>IF(C185="","",IN_DATA!F180)</f>
        <v/>
      </c>
      <c r="K185" s="24" t="str">
        <f>IF(C185="","",IN_DATA!H180)</f>
        <v/>
      </c>
      <c r="L185" s="155" t="str">
        <f>IF(C185="","",IN_DATA!G180)</f>
        <v/>
      </c>
      <c r="M185" s="154"/>
      <c r="N185" s="220" t="str">
        <f>IF(C185="","",IN_DATA!P180)</f>
        <v/>
      </c>
      <c r="O185" s="112" t="str">
        <f>IF(C185="","",IN_DATA!Q180)</f>
        <v/>
      </c>
      <c r="P185" s="25" t="str">
        <f t="shared" si="38"/>
        <v/>
      </c>
      <c r="Q185" s="25" t="str">
        <f t="shared" si="39"/>
        <v/>
      </c>
      <c r="R185" s="25" t="str">
        <f t="shared" si="40"/>
        <v/>
      </c>
      <c r="S185" s="25" t="str">
        <f t="shared" si="41"/>
        <v/>
      </c>
      <c r="T185" s="25" t="str">
        <f t="shared" si="42"/>
        <v/>
      </c>
      <c r="U185" s="72" t="str">
        <f t="shared" si="43"/>
        <v/>
      </c>
      <c r="V185" s="224" t="str">
        <f>IF(C185="","",IF(IN_DATA!R180=3, IF(IN_DATA!$L$4=5, 250, 375), 0))</f>
        <v/>
      </c>
      <c r="W185" s="97" t="str">
        <f t="shared" si="44"/>
        <v/>
      </c>
      <c r="X185" s="97" t="str">
        <f t="shared" si="45"/>
        <v/>
      </c>
      <c r="Y185" s="97" t="str">
        <f t="shared" si="46"/>
        <v/>
      </c>
      <c r="Z185" s="97" t="str">
        <f t="shared" si="47"/>
        <v/>
      </c>
      <c r="AA185" s="97" t="str">
        <f t="shared" si="48"/>
        <v/>
      </c>
      <c r="AB185" s="97" t="str">
        <f t="shared" si="49"/>
        <v/>
      </c>
      <c r="AC185" s="97" t="str">
        <f t="shared" si="50"/>
        <v/>
      </c>
      <c r="AD185" s="228" t="str">
        <f t="shared" si="51"/>
        <v/>
      </c>
      <c r="AE185" s="266" t="str">
        <f t="shared" si="52"/>
        <v/>
      </c>
    </row>
    <row r="186" spans="1:31" x14ac:dyDescent="0.2">
      <c r="A186" s="3">
        <v>176</v>
      </c>
      <c r="B186" s="3">
        <f t="shared" si="53"/>
        <v>2188</v>
      </c>
      <c r="C186" s="149" t="str">
        <f>IN_DATA!P181</f>
        <v/>
      </c>
      <c r="D186" s="33" t="str">
        <f>IN_DATA!Q181</f>
        <v/>
      </c>
      <c r="F186" s="4">
        <f t="shared" si="54"/>
        <v>2188</v>
      </c>
      <c r="G186" s="24" t="str">
        <f>IF(C186="","",IN_DATA!C181*OCF*FPF)</f>
        <v/>
      </c>
      <c r="H186" s="24" t="str">
        <f>IF(C186="","",IN_DATA!D181*OCF*FPF)</f>
        <v/>
      </c>
      <c r="I186" s="24" t="str">
        <f>IF(C186="","",IN_DATA!E181)</f>
        <v/>
      </c>
      <c r="J186" s="24" t="str">
        <f>IF(C186="","",IN_DATA!F181)</f>
        <v/>
      </c>
      <c r="K186" s="24" t="str">
        <f>IF(C186="","",IN_DATA!H181)</f>
        <v/>
      </c>
      <c r="L186" s="155" t="str">
        <f>IF(C186="","",IN_DATA!G181)</f>
        <v/>
      </c>
      <c r="M186" s="154"/>
      <c r="N186" s="220" t="str">
        <f>IF(C186="","",IN_DATA!P181)</f>
        <v/>
      </c>
      <c r="O186" s="112" t="str">
        <f>IF(C186="","",IN_DATA!Q181)</f>
        <v/>
      </c>
      <c r="P186" s="25" t="str">
        <f t="shared" si="38"/>
        <v/>
      </c>
      <c r="Q186" s="25" t="str">
        <f t="shared" si="39"/>
        <v/>
      </c>
      <c r="R186" s="25" t="str">
        <f t="shared" si="40"/>
        <v/>
      </c>
      <c r="S186" s="25" t="str">
        <f t="shared" si="41"/>
        <v/>
      </c>
      <c r="T186" s="25" t="str">
        <f t="shared" si="42"/>
        <v/>
      </c>
      <c r="U186" s="72" t="str">
        <f t="shared" si="43"/>
        <v/>
      </c>
      <c r="V186" s="224" t="str">
        <f>IF(C186="","",IF(IN_DATA!R181=3, IF(IN_DATA!$L$4=5, 250, 375), 0))</f>
        <v/>
      </c>
      <c r="W186" s="97" t="str">
        <f t="shared" si="44"/>
        <v/>
      </c>
      <c r="X186" s="97" t="str">
        <f t="shared" si="45"/>
        <v/>
      </c>
      <c r="Y186" s="97" t="str">
        <f t="shared" si="46"/>
        <v/>
      </c>
      <c r="Z186" s="97" t="str">
        <f t="shared" si="47"/>
        <v/>
      </c>
      <c r="AA186" s="97" t="str">
        <f t="shared" si="48"/>
        <v/>
      </c>
      <c r="AB186" s="97" t="str">
        <f t="shared" si="49"/>
        <v/>
      </c>
      <c r="AC186" s="97" t="str">
        <f t="shared" si="50"/>
        <v/>
      </c>
      <c r="AD186" s="228" t="str">
        <f t="shared" si="51"/>
        <v/>
      </c>
      <c r="AE186" s="266" t="str">
        <f t="shared" si="52"/>
        <v/>
      </c>
    </row>
    <row r="187" spans="1:31" x14ac:dyDescent="0.2">
      <c r="A187" s="3">
        <v>177</v>
      </c>
      <c r="B187" s="3">
        <f t="shared" si="53"/>
        <v>2189</v>
      </c>
      <c r="C187" s="149" t="str">
        <f>IN_DATA!P182</f>
        <v/>
      </c>
      <c r="D187" s="33" t="str">
        <f>IN_DATA!Q182</f>
        <v/>
      </c>
      <c r="F187" s="4">
        <f t="shared" si="54"/>
        <v>2189</v>
      </c>
      <c r="G187" s="24" t="str">
        <f>IF(C187="","",IN_DATA!C182*OCF*FPF)</f>
        <v/>
      </c>
      <c r="H187" s="24" t="str">
        <f>IF(C187="","",IN_DATA!D182*OCF*FPF)</f>
        <v/>
      </c>
      <c r="I187" s="24" t="str">
        <f>IF(C187="","",IN_DATA!E182)</f>
        <v/>
      </c>
      <c r="J187" s="24" t="str">
        <f>IF(C187="","",IN_DATA!F182)</f>
        <v/>
      </c>
      <c r="K187" s="24" t="str">
        <f>IF(C187="","",IN_DATA!H182)</f>
        <v/>
      </c>
      <c r="L187" s="155" t="str">
        <f>IF(C187="","",IN_DATA!G182)</f>
        <v/>
      </c>
      <c r="M187" s="154"/>
      <c r="N187" s="220" t="str">
        <f>IF(C187="","",IN_DATA!P182)</f>
        <v/>
      </c>
      <c r="O187" s="112" t="str">
        <f>IF(C187="","",IN_DATA!Q182)</f>
        <v/>
      </c>
      <c r="P187" s="25" t="str">
        <f t="shared" si="38"/>
        <v/>
      </c>
      <c r="Q187" s="25" t="str">
        <f t="shared" si="39"/>
        <v/>
      </c>
      <c r="R187" s="25" t="str">
        <f t="shared" si="40"/>
        <v/>
      </c>
      <c r="S187" s="25" t="str">
        <f t="shared" si="41"/>
        <v/>
      </c>
      <c r="T187" s="25" t="str">
        <f t="shared" si="42"/>
        <v/>
      </c>
      <c r="U187" s="72" t="str">
        <f t="shared" si="43"/>
        <v/>
      </c>
      <c r="V187" s="224" t="str">
        <f>IF(C187="","",IF(IN_DATA!R182=3, IF(IN_DATA!$L$4=5, 250, 375), 0))</f>
        <v/>
      </c>
      <c r="W187" s="97" t="str">
        <f t="shared" si="44"/>
        <v/>
      </c>
      <c r="X187" s="97" t="str">
        <f t="shared" si="45"/>
        <v/>
      </c>
      <c r="Y187" s="97" t="str">
        <f t="shared" si="46"/>
        <v/>
      </c>
      <c r="Z187" s="97" t="str">
        <f t="shared" si="47"/>
        <v/>
      </c>
      <c r="AA187" s="97" t="str">
        <f t="shared" si="48"/>
        <v/>
      </c>
      <c r="AB187" s="97" t="str">
        <f t="shared" si="49"/>
        <v/>
      </c>
      <c r="AC187" s="97" t="str">
        <f t="shared" si="50"/>
        <v/>
      </c>
      <c r="AD187" s="228" t="str">
        <f t="shared" si="51"/>
        <v/>
      </c>
      <c r="AE187" s="266" t="str">
        <f t="shared" si="52"/>
        <v/>
      </c>
    </row>
    <row r="188" spans="1:31" x14ac:dyDescent="0.2">
      <c r="A188" s="3">
        <v>178</v>
      </c>
      <c r="B188" s="3">
        <f t="shared" si="53"/>
        <v>2190</v>
      </c>
      <c r="C188" s="149" t="str">
        <f>IN_DATA!P183</f>
        <v/>
      </c>
      <c r="D188" s="33" t="str">
        <f>IN_DATA!Q183</f>
        <v/>
      </c>
      <c r="F188" s="4">
        <f t="shared" si="54"/>
        <v>2190</v>
      </c>
      <c r="G188" s="24" t="str">
        <f>IF(C188="","",IN_DATA!C183*OCF*FPF)</f>
        <v/>
      </c>
      <c r="H188" s="24" t="str">
        <f>IF(C188="","",IN_DATA!D183*OCF*FPF)</f>
        <v/>
      </c>
      <c r="I188" s="24" t="str">
        <f>IF(C188="","",IN_DATA!E183)</f>
        <v/>
      </c>
      <c r="J188" s="24" t="str">
        <f>IF(C188="","",IN_DATA!F183)</f>
        <v/>
      </c>
      <c r="K188" s="24" t="str">
        <f>IF(C188="","",IN_DATA!H183)</f>
        <v/>
      </c>
      <c r="L188" s="155" t="str">
        <f>IF(C188="","",IN_DATA!G183)</f>
        <v/>
      </c>
      <c r="M188" s="154"/>
      <c r="N188" s="220" t="str">
        <f>IF(C188="","",IN_DATA!P183)</f>
        <v/>
      </c>
      <c r="O188" s="112" t="str">
        <f>IF(C188="","",IN_DATA!Q183)</f>
        <v/>
      </c>
      <c r="P188" s="25" t="str">
        <f t="shared" si="38"/>
        <v/>
      </c>
      <c r="Q188" s="25" t="str">
        <f t="shared" si="39"/>
        <v/>
      </c>
      <c r="R188" s="25" t="str">
        <f t="shared" si="40"/>
        <v/>
      </c>
      <c r="S188" s="25" t="str">
        <f t="shared" si="41"/>
        <v/>
      </c>
      <c r="T188" s="25" t="str">
        <f t="shared" si="42"/>
        <v/>
      </c>
      <c r="U188" s="72" t="str">
        <f t="shared" si="43"/>
        <v/>
      </c>
      <c r="V188" s="224" t="str">
        <f>IF(C188="","",IF(IN_DATA!R183=3, IF(IN_DATA!$L$4=5, 250, 375), 0))</f>
        <v/>
      </c>
      <c r="W188" s="97" t="str">
        <f t="shared" si="44"/>
        <v/>
      </c>
      <c r="X188" s="97" t="str">
        <f t="shared" si="45"/>
        <v/>
      </c>
      <c r="Y188" s="97" t="str">
        <f t="shared" si="46"/>
        <v/>
      </c>
      <c r="Z188" s="97" t="str">
        <f t="shared" si="47"/>
        <v/>
      </c>
      <c r="AA188" s="97" t="str">
        <f t="shared" si="48"/>
        <v/>
      </c>
      <c r="AB188" s="97" t="str">
        <f t="shared" si="49"/>
        <v/>
      </c>
      <c r="AC188" s="97" t="str">
        <f t="shared" si="50"/>
        <v/>
      </c>
      <c r="AD188" s="228" t="str">
        <f t="shared" si="51"/>
        <v/>
      </c>
      <c r="AE188" s="266" t="str">
        <f t="shared" si="52"/>
        <v/>
      </c>
    </row>
    <row r="189" spans="1:31" x14ac:dyDescent="0.2">
      <c r="A189" s="3">
        <v>179</v>
      </c>
      <c r="B189" s="3">
        <f t="shared" si="53"/>
        <v>2191</v>
      </c>
      <c r="C189" s="149" t="str">
        <f>IN_DATA!P184</f>
        <v/>
      </c>
      <c r="D189" s="33" t="str">
        <f>IN_DATA!Q184</f>
        <v/>
      </c>
      <c r="F189" s="4">
        <f t="shared" si="54"/>
        <v>2191</v>
      </c>
      <c r="G189" s="24" t="str">
        <f>IF(C189="","",IN_DATA!C184*OCF*FPF)</f>
        <v/>
      </c>
      <c r="H189" s="24" t="str">
        <f>IF(C189="","",IN_DATA!D184*OCF*FPF)</f>
        <v/>
      </c>
      <c r="I189" s="24" t="str">
        <f>IF(C189="","",IN_DATA!E184)</f>
        <v/>
      </c>
      <c r="J189" s="24" t="str">
        <f>IF(C189="","",IN_DATA!F184)</f>
        <v/>
      </c>
      <c r="K189" s="24" t="str">
        <f>IF(C189="","",IN_DATA!H184)</f>
        <v/>
      </c>
      <c r="L189" s="155" t="str">
        <f>IF(C189="","",IN_DATA!G184)</f>
        <v/>
      </c>
      <c r="M189" s="154"/>
      <c r="N189" s="220" t="str">
        <f>IF(C189="","",IN_DATA!P184)</f>
        <v/>
      </c>
      <c r="O189" s="112" t="str">
        <f>IF(C189="","",IN_DATA!Q184)</f>
        <v/>
      </c>
      <c r="P189" s="25" t="str">
        <f t="shared" si="38"/>
        <v/>
      </c>
      <c r="Q189" s="25" t="str">
        <f t="shared" si="39"/>
        <v/>
      </c>
      <c r="R189" s="25" t="str">
        <f t="shared" si="40"/>
        <v/>
      </c>
      <c r="S189" s="25" t="str">
        <f t="shared" si="41"/>
        <v/>
      </c>
      <c r="T189" s="25" t="str">
        <f t="shared" si="42"/>
        <v/>
      </c>
      <c r="U189" s="72" t="str">
        <f t="shared" si="43"/>
        <v/>
      </c>
      <c r="V189" s="224" t="str">
        <f>IF(C189="","",IF(IN_DATA!R184=3, IF(IN_DATA!$L$4=5, 250, 375), 0))</f>
        <v/>
      </c>
      <c r="W189" s="97" t="str">
        <f t="shared" si="44"/>
        <v/>
      </c>
      <c r="X189" s="97" t="str">
        <f t="shared" si="45"/>
        <v/>
      </c>
      <c r="Y189" s="97" t="str">
        <f t="shared" si="46"/>
        <v/>
      </c>
      <c r="Z189" s="97" t="str">
        <f t="shared" si="47"/>
        <v/>
      </c>
      <c r="AA189" s="97" t="str">
        <f t="shared" si="48"/>
        <v/>
      </c>
      <c r="AB189" s="97" t="str">
        <f t="shared" si="49"/>
        <v/>
      </c>
      <c r="AC189" s="97" t="str">
        <f t="shared" si="50"/>
        <v/>
      </c>
      <c r="AD189" s="228" t="str">
        <f t="shared" si="51"/>
        <v/>
      </c>
      <c r="AE189" s="266" t="str">
        <f t="shared" si="52"/>
        <v/>
      </c>
    </row>
    <row r="190" spans="1:31" x14ac:dyDescent="0.2">
      <c r="A190" s="3">
        <v>180</v>
      </c>
      <c r="B190" s="3">
        <f t="shared" si="53"/>
        <v>2192</v>
      </c>
      <c r="C190" s="149" t="str">
        <f>IN_DATA!P185</f>
        <v/>
      </c>
      <c r="D190" s="33" t="str">
        <f>IN_DATA!Q185</f>
        <v/>
      </c>
      <c r="F190" s="4">
        <f t="shared" si="54"/>
        <v>2192</v>
      </c>
      <c r="G190" s="24" t="str">
        <f>IF(C190="","",IN_DATA!C185*OCF*FPF)</f>
        <v/>
      </c>
      <c r="H190" s="24" t="str">
        <f>IF(C190="","",IN_DATA!D185*OCF*FPF)</f>
        <v/>
      </c>
      <c r="I190" s="24" t="str">
        <f>IF(C190="","",IN_DATA!E185)</f>
        <v/>
      </c>
      <c r="J190" s="24" t="str">
        <f>IF(C190="","",IN_DATA!F185)</f>
        <v/>
      </c>
      <c r="K190" s="24" t="str">
        <f>IF(C190="","",IN_DATA!H185)</f>
        <v/>
      </c>
      <c r="L190" s="155" t="str">
        <f>IF(C190="","",IN_DATA!G185)</f>
        <v/>
      </c>
      <c r="M190" s="154"/>
      <c r="N190" s="220" t="str">
        <f>IF(C190="","",IN_DATA!P185)</f>
        <v/>
      </c>
      <c r="O190" s="112" t="str">
        <f>IF(C190="","",IN_DATA!Q185)</f>
        <v/>
      </c>
      <c r="P190" s="25" t="str">
        <f t="shared" si="38"/>
        <v/>
      </c>
      <c r="Q190" s="25" t="str">
        <f t="shared" si="39"/>
        <v/>
      </c>
      <c r="R190" s="25" t="str">
        <f t="shared" si="40"/>
        <v/>
      </c>
      <c r="S190" s="25" t="str">
        <f t="shared" si="41"/>
        <v/>
      </c>
      <c r="T190" s="25" t="str">
        <f t="shared" si="42"/>
        <v/>
      </c>
      <c r="U190" s="72" t="str">
        <f t="shared" si="43"/>
        <v/>
      </c>
      <c r="V190" s="224" t="str">
        <f>IF(C190="","",IF(IN_DATA!R185=3, IF(IN_DATA!$L$4=5, 250, 375), 0))</f>
        <v/>
      </c>
      <c r="W190" s="97" t="str">
        <f t="shared" si="44"/>
        <v/>
      </c>
      <c r="X190" s="97" t="str">
        <f t="shared" si="45"/>
        <v/>
      </c>
      <c r="Y190" s="97" t="str">
        <f t="shared" si="46"/>
        <v/>
      </c>
      <c r="Z190" s="97" t="str">
        <f t="shared" si="47"/>
        <v/>
      </c>
      <c r="AA190" s="97" t="str">
        <f t="shared" si="48"/>
        <v/>
      </c>
      <c r="AB190" s="97" t="str">
        <f t="shared" si="49"/>
        <v/>
      </c>
      <c r="AC190" s="97" t="str">
        <f t="shared" si="50"/>
        <v/>
      </c>
      <c r="AD190" s="228" t="str">
        <f t="shared" si="51"/>
        <v/>
      </c>
      <c r="AE190" s="266" t="str">
        <f t="shared" si="52"/>
        <v/>
      </c>
    </row>
    <row r="191" spans="1:31" x14ac:dyDescent="0.2">
      <c r="A191" s="3">
        <v>181</v>
      </c>
      <c r="B191" s="3">
        <f t="shared" si="53"/>
        <v>2193</v>
      </c>
      <c r="C191" s="149" t="str">
        <f>IN_DATA!P186</f>
        <v/>
      </c>
      <c r="D191" s="33" t="str">
        <f>IN_DATA!Q186</f>
        <v/>
      </c>
      <c r="F191" s="4">
        <f t="shared" si="54"/>
        <v>2193</v>
      </c>
      <c r="G191" s="24" t="str">
        <f>IF(C191="","",IN_DATA!C186*OCF*FPF)</f>
        <v/>
      </c>
      <c r="H191" s="24" t="str">
        <f>IF(C191="","",IN_DATA!D186*OCF*FPF)</f>
        <v/>
      </c>
      <c r="I191" s="24" t="str">
        <f>IF(C191="","",IN_DATA!E186)</f>
        <v/>
      </c>
      <c r="J191" s="24" t="str">
        <f>IF(C191="","",IN_DATA!F186)</f>
        <v/>
      </c>
      <c r="K191" s="24" t="str">
        <f>IF(C191="","",IN_DATA!H186)</f>
        <v/>
      </c>
      <c r="L191" s="155" t="str">
        <f>IF(C191="","",IN_DATA!G186)</f>
        <v/>
      </c>
      <c r="M191" s="154"/>
      <c r="N191" s="220" t="str">
        <f>IF(C191="","",IN_DATA!P186)</f>
        <v/>
      </c>
      <c r="O191" s="112" t="str">
        <f>IF(C191="","",IN_DATA!Q186)</f>
        <v/>
      </c>
      <c r="P191" s="25" t="str">
        <f t="shared" si="38"/>
        <v/>
      </c>
      <c r="Q191" s="25" t="str">
        <f t="shared" si="39"/>
        <v/>
      </c>
      <c r="R191" s="25" t="str">
        <f t="shared" si="40"/>
        <v/>
      </c>
      <c r="S191" s="25" t="str">
        <f t="shared" si="41"/>
        <v/>
      </c>
      <c r="T191" s="25" t="str">
        <f t="shared" si="42"/>
        <v/>
      </c>
      <c r="U191" s="72" t="str">
        <f t="shared" si="43"/>
        <v/>
      </c>
      <c r="V191" s="224" t="str">
        <f>IF(C191="","",IF(IN_DATA!R186=3, IF(IN_DATA!$L$4=5, 250, 375), 0))</f>
        <v/>
      </c>
      <c r="W191" s="97" t="str">
        <f t="shared" si="44"/>
        <v/>
      </c>
      <c r="X191" s="97" t="str">
        <f t="shared" si="45"/>
        <v/>
      </c>
      <c r="Y191" s="97" t="str">
        <f t="shared" si="46"/>
        <v/>
      </c>
      <c r="Z191" s="97" t="str">
        <f t="shared" si="47"/>
        <v/>
      </c>
      <c r="AA191" s="97" t="str">
        <f t="shared" si="48"/>
        <v/>
      </c>
      <c r="AB191" s="97" t="str">
        <f t="shared" si="49"/>
        <v/>
      </c>
      <c r="AC191" s="97" t="str">
        <f t="shared" si="50"/>
        <v/>
      </c>
      <c r="AD191" s="228" t="str">
        <f t="shared" si="51"/>
        <v/>
      </c>
      <c r="AE191" s="266" t="str">
        <f t="shared" si="52"/>
        <v/>
      </c>
    </row>
    <row r="192" spans="1:31" x14ac:dyDescent="0.2">
      <c r="A192" s="3">
        <v>182</v>
      </c>
      <c r="B192" s="3">
        <f t="shared" si="53"/>
        <v>2194</v>
      </c>
      <c r="C192" s="149" t="str">
        <f>IN_DATA!P187</f>
        <v/>
      </c>
      <c r="D192" s="33" t="str">
        <f>IN_DATA!Q187</f>
        <v/>
      </c>
      <c r="F192" s="4">
        <f t="shared" si="54"/>
        <v>2194</v>
      </c>
      <c r="G192" s="24" t="str">
        <f>IF(C192="","",IN_DATA!C187*OCF*FPF)</f>
        <v/>
      </c>
      <c r="H192" s="24" t="str">
        <f>IF(C192="","",IN_DATA!D187*OCF*FPF)</f>
        <v/>
      </c>
      <c r="I192" s="24" t="str">
        <f>IF(C192="","",IN_DATA!E187)</f>
        <v/>
      </c>
      <c r="J192" s="24" t="str">
        <f>IF(C192="","",IN_DATA!F187)</f>
        <v/>
      </c>
      <c r="K192" s="24" t="str">
        <f>IF(C192="","",IN_DATA!H187)</f>
        <v/>
      </c>
      <c r="L192" s="155" t="str">
        <f>IF(C192="","",IN_DATA!G187)</f>
        <v/>
      </c>
      <c r="M192" s="154"/>
      <c r="N192" s="220" t="str">
        <f>IF(C192="","",IN_DATA!P187)</f>
        <v/>
      </c>
      <c r="O192" s="112" t="str">
        <f>IF(C192="","",IN_DATA!Q187)</f>
        <v/>
      </c>
      <c r="P192" s="25" t="str">
        <f t="shared" si="38"/>
        <v/>
      </c>
      <c r="Q192" s="25" t="str">
        <f t="shared" si="39"/>
        <v/>
      </c>
      <c r="R192" s="25" t="str">
        <f t="shared" si="40"/>
        <v/>
      </c>
      <c r="S192" s="25" t="str">
        <f t="shared" si="41"/>
        <v/>
      </c>
      <c r="T192" s="25" t="str">
        <f t="shared" si="42"/>
        <v/>
      </c>
      <c r="U192" s="72" t="str">
        <f t="shared" si="43"/>
        <v/>
      </c>
      <c r="V192" s="224" t="str">
        <f>IF(C192="","",IF(IN_DATA!R187=3, IF(IN_DATA!$L$4=5, 250, 375), 0))</f>
        <v/>
      </c>
      <c r="W192" s="97" t="str">
        <f t="shared" si="44"/>
        <v/>
      </c>
      <c r="X192" s="97" t="str">
        <f t="shared" si="45"/>
        <v/>
      </c>
      <c r="Y192" s="97" t="str">
        <f t="shared" si="46"/>
        <v/>
      </c>
      <c r="Z192" s="97" t="str">
        <f t="shared" si="47"/>
        <v/>
      </c>
      <c r="AA192" s="97" t="str">
        <f t="shared" si="48"/>
        <v/>
      </c>
      <c r="AB192" s="97" t="str">
        <f t="shared" si="49"/>
        <v/>
      </c>
      <c r="AC192" s="97" t="str">
        <f t="shared" si="50"/>
        <v/>
      </c>
      <c r="AD192" s="228" t="str">
        <f t="shared" si="51"/>
        <v/>
      </c>
      <c r="AE192" s="266" t="str">
        <f t="shared" si="52"/>
        <v/>
      </c>
    </row>
    <row r="193" spans="1:31" x14ac:dyDescent="0.2">
      <c r="A193" s="3">
        <v>183</v>
      </c>
      <c r="B193" s="3">
        <f t="shared" si="53"/>
        <v>2195</v>
      </c>
      <c r="C193" s="149" t="str">
        <f>IN_DATA!P188</f>
        <v/>
      </c>
      <c r="D193" s="33" t="str">
        <f>IN_DATA!Q188</f>
        <v/>
      </c>
      <c r="F193" s="4">
        <f t="shared" si="54"/>
        <v>2195</v>
      </c>
      <c r="G193" s="24" t="str">
        <f>IF(C193="","",IN_DATA!C188*OCF*FPF)</f>
        <v/>
      </c>
      <c r="H193" s="24" t="str">
        <f>IF(C193="","",IN_DATA!D188*OCF*FPF)</f>
        <v/>
      </c>
      <c r="I193" s="24" t="str">
        <f>IF(C193="","",IN_DATA!E188)</f>
        <v/>
      </c>
      <c r="J193" s="24" t="str">
        <f>IF(C193="","",IN_DATA!F188)</f>
        <v/>
      </c>
      <c r="K193" s="24" t="str">
        <f>IF(C193="","",IN_DATA!H188)</f>
        <v/>
      </c>
      <c r="L193" s="155" t="str">
        <f>IF(C193="","",IN_DATA!G188)</f>
        <v/>
      </c>
      <c r="M193" s="154"/>
      <c r="N193" s="220" t="str">
        <f>IF(C193="","",IN_DATA!P188)</f>
        <v/>
      </c>
      <c r="O193" s="112" t="str">
        <f>IF(C193="","",IN_DATA!Q188)</f>
        <v/>
      </c>
      <c r="P193" s="25" t="str">
        <f t="shared" si="38"/>
        <v/>
      </c>
      <c r="Q193" s="25" t="str">
        <f t="shared" si="39"/>
        <v/>
      </c>
      <c r="R193" s="25" t="str">
        <f t="shared" si="40"/>
        <v/>
      </c>
      <c r="S193" s="25" t="str">
        <f t="shared" si="41"/>
        <v/>
      </c>
      <c r="T193" s="25" t="str">
        <f t="shared" si="42"/>
        <v/>
      </c>
      <c r="U193" s="72" t="str">
        <f t="shared" si="43"/>
        <v/>
      </c>
      <c r="V193" s="224" t="str">
        <f>IF(C193="","",IF(IN_DATA!R188=3, IF(IN_DATA!$L$4=5, 250, 375), 0))</f>
        <v/>
      </c>
      <c r="W193" s="97" t="str">
        <f t="shared" si="44"/>
        <v/>
      </c>
      <c r="X193" s="97" t="str">
        <f t="shared" si="45"/>
        <v/>
      </c>
      <c r="Y193" s="97" t="str">
        <f t="shared" si="46"/>
        <v/>
      </c>
      <c r="Z193" s="97" t="str">
        <f t="shared" si="47"/>
        <v/>
      </c>
      <c r="AA193" s="97" t="str">
        <f t="shared" si="48"/>
        <v/>
      </c>
      <c r="AB193" s="97" t="str">
        <f t="shared" si="49"/>
        <v/>
      </c>
      <c r="AC193" s="97" t="str">
        <f t="shared" si="50"/>
        <v/>
      </c>
      <c r="AD193" s="228" t="str">
        <f t="shared" si="51"/>
        <v/>
      </c>
      <c r="AE193" s="266" t="str">
        <f t="shared" si="52"/>
        <v/>
      </c>
    </row>
    <row r="194" spans="1:31" x14ac:dyDescent="0.2">
      <c r="A194" s="3">
        <v>184</v>
      </c>
      <c r="B194" s="3">
        <f t="shared" si="53"/>
        <v>2196</v>
      </c>
      <c r="C194" s="149" t="str">
        <f>IN_DATA!P189</f>
        <v/>
      </c>
      <c r="D194" s="33" t="str">
        <f>IN_DATA!Q189</f>
        <v/>
      </c>
      <c r="F194" s="4">
        <f t="shared" si="54"/>
        <v>2196</v>
      </c>
      <c r="G194" s="24" t="str">
        <f>IF(C194="","",IN_DATA!C189*OCF*FPF)</f>
        <v/>
      </c>
      <c r="H194" s="24" t="str">
        <f>IF(C194="","",IN_DATA!D189*OCF*FPF)</f>
        <v/>
      </c>
      <c r="I194" s="24" t="str">
        <f>IF(C194="","",IN_DATA!E189)</f>
        <v/>
      </c>
      <c r="J194" s="24" t="str">
        <f>IF(C194="","",IN_DATA!F189)</f>
        <v/>
      </c>
      <c r="K194" s="24" t="str">
        <f>IF(C194="","",IN_DATA!H189)</f>
        <v/>
      </c>
      <c r="L194" s="155" t="str">
        <f>IF(C194="","",IN_DATA!G189)</f>
        <v/>
      </c>
      <c r="M194" s="154"/>
      <c r="N194" s="220" t="str">
        <f>IF(C194="","",IN_DATA!P189)</f>
        <v/>
      </c>
      <c r="O194" s="112" t="str">
        <f>IF(C194="","",IN_DATA!Q189)</f>
        <v/>
      </c>
      <c r="P194" s="25" t="str">
        <f t="shared" si="38"/>
        <v/>
      </c>
      <c r="Q194" s="25" t="str">
        <f t="shared" si="39"/>
        <v/>
      </c>
      <c r="R194" s="25" t="str">
        <f t="shared" si="40"/>
        <v/>
      </c>
      <c r="S194" s="25" t="str">
        <f t="shared" si="41"/>
        <v/>
      </c>
      <c r="T194" s="25" t="str">
        <f t="shared" si="42"/>
        <v/>
      </c>
      <c r="U194" s="72" t="str">
        <f t="shared" si="43"/>
        <v/>
      </c>
      <c r="V194" s="224" t="str">
        <f>IF(C194="","",IF(IN_DATA!R189=3, IF(IN_DATA!$L$4=5, 250, 375), 0))</f>
        <v/>
      </c>
      <c r="W194" s="97" t="str">
        <f t="shared" si="44"/>
        <v/>
      </c>
      <c r="X194" s="97" t="str">
        <f t="shared" si="45"/>
        <v/>
      </c>
      <c r="Y194" s="97" t="str">
        <f t="shared" si="46"/>
        <v/>
      </c>
      <c r="Z194" s="97" t="str">
        <f t="shared" si="47"/>
        <v/>
      </c>
      <c r="AA194" s="97" t="str">
        <f t="shared" si="48"/>
        <v/>
      </c>
      <c r="AB194" s="97" t="str">
        <f t="shared" si="49"/>
        <v/>
      </c>
      <c r="AC194" s="97" t="str">
        <f t="shared" si="50"/>
        <v/>
      </c>
      <c r="AD194" s="228" t="str">
        <f t="shared" si="51"/>
        <v/>
      </c>
      <c r="AE194" s="266" t="str">
        <f t="shared" si="52"/>
        <v/>
      </c>
    </row>
    <row r="195" spans="1:31" x14ac:dyDescent="0.2">
      <c r="A195" s="3">
        <v>185</v>
      </c>
      <c r="B195" s="3">
        <f t="shared" si="53"/>
        <v>2197</v>
      </c>
      <c r="C195" s="149" t="str">
        <f>IN_DATA!P190</f>
        <v/>
      </c>
      <c r="D195" s="33" t="str">
        <f>IN_DATA!Q190</f>
        <v/>
      </c>
      <c r="F195" s="4">
        <f t="shared" si="54"/>
        <v>2197</v>
      </c>
      <c r="G195" s="24" t="str">
        <f>IF(C195="","",IN_DATA!C190*OCF*FPF)</f>
        <v/>
      </c>
      <c r="H195" s="24" t="str">
        <f>IF(C195="","",IN_DATA!D190*OCF*FPF)</f>
        <v/>
      </c>
      <c r="I195" s="24" t="str">
        <f>IF(C195="","",IN_DATA!E190)</f>
        <v/>
      </c>
      <c r="J195" s="24" t="str">
        <f>IF(C195="","",IN_DATA!F190)</f>
        <v/>
      </c>
      <c r="K195" s="24" t="str">
        <f>IF(C195="","",IN_DATA!H190)</f>
        <v/>
      </c>
      <c r="L195" s="155" t="str">
        <f>IF(C195="","",IN_DATA!G190)</f>
        <v/>
      </c>
      <c r="M195" s="154"/>
      <c r="N195" s="220" t="str">
        <f>IF(C195="","",IN_DATA!P190)</f>
        <v/>
      </c>
      <c r="O195" s="112" t="str">
        <f>IF(C195="","",IN_DATA!Q190)</f>
        <v/>
      </c>
      <c r="P195" s="25" t="str">
        <f t="shared" si="38"/>
        <v/>
      </c>
      <c r="Q195" s="25" t="str">
        <f t="shared" si="39"/>
        <v/>
      </c>
      <c r="R195" s="25" t="str">
        <f t="shared" si="40"/>
        <v/>
      </c>
      <c r="S195" s="25" t="str">
        <f t="shared" si="41"/>
        <v/>
      </c>
      <c r="T195" s="25" t="str">
        <f t="shared" si="42"/>
        <v/>
      </c>
      <c r="U195" s="72" t="str">
        <f t="shared" si="43"/>
        <v/>
      </c>
      <c r="V195" s="224" t="str">
        <f>IF(C195="","",IF(IN_DATA!R190=3, IF(IN_DATA!$L$4=5, 250, 375), 0))</f>
        <v/>
      </c>
      <c r="W195" s="97" t="str">
        <f t="shared" si="44"/>
        <v/>
      </c>
      <c r="X195" s="97" t="str">
        <f t="shared" si="45"/>
        <v/>
      </c>
      <c r="Y195" s="97" t="str">
        <f t="shared" si="46"/>
        <v/>
      </c>
      <c r="Z195" s="97" t="str">
        <f t="shared" si="47"/>
        <v/>
      </c>
      <c r="AA195" s="97" t="str">
        <f t="shared" si="48"/>
        <v/>
      </c>
      <c r="AB195" s="97" t="str">
        <f t="shared" si="49"/>
        <v/>
      </c>
      <c r="AC195" s="97" t="str">
        <f t="shared" si="50"/>
        <v/>
      </c>
      <c r="AD195" s="228" t="str">
        <f t="shared" si="51"/>
        <v/>
      </c>
      <c r="AE195" s="266" t="str">
        <f t="shared" si="52"/>
        <v/>
      </c>
    </row>
    <row r="196" spans="1:31" x14ac:dyDescent="0.2">
      <c r="A196" s="3">
        <v>186</v>
      </c>
      <c r="B196" s="3">
        <f t="shared" si="53"/>
        <v>2198</v>
      </c>
      <c r="C196" s="149" t="str">
        <f>IN_DATA!P191</f>
        <v/>
      </c>
      <c r="D196" s="33" t="str">
        <f>IN_DATA!Q191</f>
        <v/>
      </c>
      <c r="F196" s="4">
        <f t="shared" si="54"/>
        <v>2198</v>
      </c>
      <c r="G196" s="24" t="str">
        <f>IF(C196="","",IN_DATA!C191*OCF*FPF)</f>
        <v/>
      </c>
      <c r="H196" s="24" t="str">
        <f>IF(C196="","",IN_DATA!D191*OCF*FPF)</f>
        <v/>
      </c>
      <c r="I196" s="24" t="str">
        <f>IF(C196="","",IN_DATA!E191)</f>
        <v/>
      </c>
      <c r="J196" s="24" t="str">
        <f>IF(C196="","",IN_DATA!F191)</f>
        <v/>
      </c>
      <c r="K196" s="24" t="str">
        <f>IF(C196="","",IN_DATA!H191)</f>
        <v/>
      </c>
      <c r="L196" s="155" t="str">
        <f>IF(C196="","",IN_DATA!G191)</f>
        <v/>
      </c>
      <c r="M196" s="154"/>
      <c r="N196" s="220" t="str">
        <f>IF(C196="","",IN_DATA!P191)</f>
        <v/>
      </c>
      <c r="O196" s="112" t="str">
        <f>IF(C196="","",IN_DATA!Q191)</f>
        <v/>
      </c>
      <c r="P196" s="25" t="str">
        <f t="shared" si="38"/>
        <v/>
      </c>
      <c r="Q196" s="25" t="str">
        <f t="shared" si="39"/>
        <v/>
      </c>
      <c r="R196" s="25" t="str">
        <f t="shared" si="40"/>
        <v/>
      </c>
      <c r="S196" s="25" t="str">
        <f t="shared" si="41"/>
        <v/>
      </c>
      <c r="T196" s="25" t="str">
        <f t="shared" si="42"/>
        <v/>
      </c>
      <c r="U196" s="72" t="str">
        <f t="shared" si="43"/>
        <v/>
      </c>
      <c r="V196" s="224" t="str">
        <f>IF(C196="","",IF(IN_DATA!R191=3, IF(IN_DATA!$L$4=5, 250, 375), 0))</f>
        <v/>
      </c>
      <c r="W196" s="97" t="str">
        <f t="shared" si="44"/>
        <v/>
      </c>
      <c r="X196" s="97" t="str">
        <f t="shared" si="45"/>
        <v/>
      </c>
      <c r="Y196" s="97" t="str">
        <f t="shared" si="46"/>
        <v/>
      </c>
      <c r="Z196" s="97" t="str">
        <f t="shared" si="47"/>
        <v/>
      </c>
      <c r="AA196" s="97" t="str">
        <f t="shared" si="48"/>
        <v/>
      </c>
      <c r="AB196" s="97" t="str">
        <f t="shared" si="49"/>
        <v/>
      </c>
      <c r="AC196" s="97" t="str">
        <f t="shared" si="50"/>
        <v/>
      </c>
      <c r="AD196" s="228" t="str">
        <f t="shared" si="51"/>
        <v/>
      </c>
      <c r="AE196" s="266" t="str">
        <f t="shared" si="52"/>
        <v/>
      </c>
    </row>
    <row r="197" spans="1:31" x14ac:dyDescent="0.2">
      <c r="A197" s="3">
        <v>187</v>
      </c>
      <c r="B197" s="3">
        <f t="shared" si="53"/>
        <v>2199</v>
      </c>
      <c r="C197" s="149" t="str">
        <f>IN_DATA!P192</f>
        <v/>
      </c>
      <c r="D197" s="33" t="str">
        <f>IN_DATA!Q192</f>
        <v/>
      </c>
      <c r="F197" s="4">
        <f t="shared" si="54"/>
        <v>2199</v>
      </c>
      <c r="G197" s="24" t="str">
        <f>IF(C197="","",IN_DATA!C192*OCF*FPF)</f>
        <v/>
      </c>
      <c r="H197" s="24" t="str">
        <f>IF(C197="","",IN_DATA!D192*OCF*FPF)</f>
        <v/>
      </c>
      <c r="I197" s="24" t="str">
        <f>IF(C197="","",IN_DATA!E192)</f>
        <v/>
      </c>
      <c r="J197" s="24" t="str">
        <f>IF(C197="","",IN_DATA!F192)</f>
        <v/>
      </c>
      <c r="K197" s="24" t="str">
        <f>IF(C197="","",IN_DATA!H192)</f>
        <v/>
      </c>
      <c r="L197" s="155" t="str">
        <f>IF(C197="","",IN_DATA!G192)</f>
        <v/>
      </c>
      <c r="M197" s="154"/>
      <c r="N197" s="220" t="str">
        <f>IF(C197="","",IN_DATA!P192)</f>
        <v/>
      </c>
      <c r="O197" s="112" t="str">
        <f>IF(C197="","",IN_DATA!Q192)</f>
        <v/>
      </c>
      <c r="P197" s="25" t="str">
        <f t="shared" si="38"/>
        <v/>
      </c>
      <c r="Q197" s="25" t="str">
        <f t="shared" si="39"/>
        <v/>
      </c>
      <c r="R197" s="25" t="str">
        <f t="shared" si="40"/>
        <v/>
      </c>
      <c r="S197" s="25" t="str">
        <f t="shared" si="41"/>
        <v/>
      </c>
      <c r="T197" s="25" t="str">
        <f t="shared" si="42"/>
        <v/>
      </c>
      <c r="U197" s="72" t="str">
        <f t="shared" si="43"/>
        <v/>
      </c>
      <c r="V197" s="224" t="str">
        <f>IF(C197="","",IF(IN_DATA!R192=3, IF(IN_DATA!$L$4=5, 250, 375), 0))</f>
        <v/>
      </c>
      <c r="W197" s="97" t="str">
        <f t="shared" si="44"/>
        <v/>
      </c>
      <c r="X197" s="97" t="str">
        <f t="shared" si="45"/>
        <v/>
      </c>
      <c r="Y197" s="97" t="str">
        <f t="shared" si="46"/>
        <v/>
      </c>
      <c r="Z197" s="97" t="str">
        <f t="shared" si="47"/>
        <v/>
      </c>
      <c r="AA197" s="97" t="str">
        <f t="shared" si="48"/>
        <v/>
      </c>
      <c r="AB197" s="97" t="str">
        <f t="shared" si="49"/>
        <v/>
      </c>
      <c r="AC197" s="97" t="str">
        <f t="shared" si="50"/>
        <v/>
      </c>
      <c r="AD197" s="228" t="str">
        <f t="shared" si="51"/>
        <v/>
      </c>
      <c r="AE197" s="266" t="str">
        <f t="shared" si="52"/>
        <v/>
      </c>
    </row>
    <row r="198" spans="1:31" x14ac:dyDescent="0.2">
      <c r="A198" s="3">
        <v>188</v>
      </c>
      <c r="B198" s="3">
        <f t="shared" si="53"/>
        <v>2200</v>
      </c>
      <c r="C198" s="149" t="str">
        <f>IN_DATA!P193</f>
        <v/>
      </c>
      <c r="D198" s="33" t="str">
        <f>IN_DATA!Q193</f>
        <v/>
      </c>
      <c r="F198" s="4">
        <f t="shared" si="54"/>
        <v>2200</v>
      </c>
      <c r="G198" s="24" t="str">
        <f>IF(C198="","",IN_DATA!C193*OCF*FPF)</f>
        <v/>
      </c>
      <c r="H198" s="24" t="str">
        <f>IF(C198="","",IN_DATA!D193*OCF*FPF)</f>
        <v/>
      </c>
      <c r="I198" s="24" t="str">
        <f>IF(C198="","",IN_DATA!E193)</f>
        <v/>
      </c>
      <c r="J198" s="24" t="str">
        <f>IF(C198="","",IN_DATA!F193)</f>
        <v/>
      </c>
      <c r="K198" s="24" t="str">
        <f>IF(C198="","",IN_DATA!H193)</f>
        <v/>
      </c>
      <c r="L198" s="155" t="str">
        <f>IF(C198="","",IN_DATA!G193)</f>
        <v/>
      </c>
      <c r="M198" s="154"/>
      <c r="N198" s="220" t="str">
        <f>IF(C198="","",IN_DATA!P193)</f>
        <v/>
      </c>
      <c r="O198" s="112" t="str">
        <f>IF(C198="","",IN_DATA!Q193)</f>
        <v/>
      </c>
      <c r="P198" s="25" t="str">
        <f t="shared" si="38"/>
        <v/>
      </c>
      <c r="Q198" s="25" t="str">
        <f t="shared" si="39"/>
        <v/>
      </c>
      <c r="R198" s="25" t="str">
        <f t="shared" si="40"/>
        <v/>
      </c>
      <c r="S198" s="25" t="str">
        <f t="shared" si="41"/>
        <v/>
      </c>
      <c r="T198" s="25" t="str">
        <f t="shared" si="42"/>
        <v/>
      </c>
      <c r="U198" s="72" t="str">
        <f t="shared" si="43"/>
        <v/>
      </c>
      <c r="V198" s="224" t="str">
        <f>IF(C198="","",IF(IN_DATA!R193=3, IF(IN_DATA!$L$4=5, 250, 375), 0))</f>
        <v/>
      </c>
      <c r="W198" s="97" t="str">
        <f t="shared" si="44"/>
        <v/>
      </c>
      <c r="X198" s="97" t="str">
        <f t="shared" si="45"/>
        <v/>
      </c>
      <c r="Y198" s="97" t="str">
        <f t="shared" si="46"/>
        <v/>
      </c>
      <c r="Z198" s="97" t="str">
        <f t="shared" si="47"/>
        <v/>
      </c>
      <c r="AA198" s="97" t="str">
        <f t="shared" si="48"/>
        <v/>
      </c>
      <c r="AB198" s="97" t="str">
        <f t="shared" si="49"/>
        <v/>
      </c>
      <c r="AC198" s="97" t="str">
        <f t="shared" si="50"/>
        <v/>
      </c>
      <c r="AD198" s="228" t="str">
        <f t="shared" si="51"/>
        <v/>
      </c>
      <c r="AE198" s="266" t="str">
        <f t="shared" si="52"/>
        <v/>
      </c>
    </row>
    <row r="199" spans="1:31" x14ac:dyDescent="0.2">
      <c r="A199" s="3">
        <v>189</v>
      </c>
      <c r="B199" s="3">
        <f t="shared" si="53"/>
        <v>2201</v>
      </c>
      <c r="C199" s="149" t="str">
        <f>IN_DATA!P194</f>
        <v/>
      </c>
      <c r="D199" s="33" t="str">
        <f>IN_DATA!Q194</f>
        <v/>
      </c>
      <c r="F199" s="4">
        <f t="shared" si="54"/>
        <v>2201</v>
      </c>
      <c r="G199" s="24" t="str">
        <f>IF(C199="","",IN_DATA!C194*OCF*FPF)</f>
        <v/>
      </c>
      <c r="H199" s="24" t="str">
        <f>IF(C199="","",IN_DATA!D194*OCF*FPF)</f>
        <v/>
      </c>
      <c r="I199" s="24" t="str">
        <f>IF(C199="","",IN_DATA!E194)</f>
        <v/>
      </c>
      <c r="J199" s="24" t="str">
        <f>IF(C199="","",IN_DATA!F194)</f>
        <v/>
      </c>
      <c r="K199" s="24" t="str">
        <f>IF(C199="","",IN_DATA!H194)</f>
        <v/>
      </c>
      <c r="L199" s="155" t="str">
        <f>IF(C199="","",IN_DATA!G194)</f>
        <v/>
      </c>
      <c r="M199" s="154"/>
      <c r="N199" s="220" t="str">
        <f>IF(C199="","",IN_DATA!P194)</f>
        <v/>
      </c>
      <c r="O199" s="112" t="str">
        <f>IF(C199="","",IN_DATA!Q194)</f>
        <v/>
      </c>
      <c r="P199" s="25" t="str">
        <f t="shared" si="38"/>
        <v/>
      </c>
      <c r="Q199" s="25" t="str">
        <f t="shared" si="39"/>
        <v/>
      </c>
      <c r="R199" s="25" t="str">
        <f t="shared" si="40"/>
        <v/>
      </c>
      <c r="S199" s="25" t="str">
        <f t="shared" si="41"/>
        <v/>
      </c>
      <c r="T199" s="25" t="str">
        <f t="shared" si="42"/>
        <v/>
      </c>
      <c r="U199" s="72" t="str">
        <f t="shared" si="43"/>
        <v/>
      </c>
      <c r="V199" s="224" t="str">
        <f>IF(C199="","",IF(IN_DATA!R194=3, IF(IN_DATA!$L$4=5, 250, 375), 0))</f>
        <v/>
      </c>
      <c r="W199" s="97" t="str">
        <f t="shared" si="44"/>
        <v/>
      </c>
      <c r="X199" s="97" t="str">
        <f t="shared" si="45"/>
        <v/>
      </c>
      <c r="Y199" s="97" t="str">
        <f t="shared" si="46"/>
        <v/>
      </c>
      <c r="Z199" s="97" t="str">
        <f t="shared" si="47"/>
        <v/>
      </c>
      <c r="AA199" s="97" t="str">
        <f t="shared" si="48"/>
        <v/>
      </c>
      <c r="AB199" s="97" t="str">
        <f t="shared" si="49"/>
        <v/>
      </c>
      <c r="AC199" s="97" t="str">
        <f t="shared" si="50"/>
        <v/>
      </c>
      <c r="AD199" s="228" t="str">
        <f t="shared" si="51"/>
        <v/>
      </c>
      <c r="AE199" s="266" t="str">
        <f t="shared" si="52"/>
        <v/>
      </c>
    </row>
    <row r="200" spans="1:31" x14ac:dyDescent="0.2">
      <c r="A200" s="3">
        <v>190</v>
      </c>
      <c r="B200" s="3">
        <f t="shared" si="53"/>
        <v>2202</v>
      </c>
      <c r="C200" s="149" t="str">
        <f>IN_DATA!P195</f>
        <v/>
      </c>
      <c r="D200" s="33" t="str">
        <f>IN_DATA!Q195</f>
        <v/>
      </c>
      <c r="F200" s="4">
        <f t="shared" si="54"/>
        <v>2202</v>
      </c>
      <c r="G200" s="24" t="str">
        <f>IF(C200="","",IN_DATA!C195*OCF*FPF)</f>
        <v/>
      </c>
      <c r="H200" s="24" t="str">
        <f>IF(C200="","",IN_DATA!D195*OCF*FPF)</f>
        <v/>
      </c>
      <c r="I200" s="24" t="str">
        <f>IF(C200="","",IN_DATA!E195)</f>
        <v/>
      </c>
      <c r="J200" s="24" t="str">
        <f>IF(C200="","",IN_DATA!F195)</f>
        <v/>
      </c>
      <c r="K200" s="24" t="str">
        <f>IF(C200="","",IN_DATA!H195)</f>
        <v/>
      </c>
      <c r="L200" s="155" t="str">
        <f>IF(C200="","",IN_DATA!G195)</f>
        <v/>
      </c>
      <c r="M200" s="154"/>
      <c r="N200" s="220" t="str">
        <f>IF(C200="","",IN_DATA!P195)</f>
        <v/>
      </c>
      <c r="O200" s="112" t="str">
        <f>IF(C200="","",IN_DATA!Q195)</f>
        <v/>
      </c>
      <c r="P200" s="25" t="str">
        <f t="shared" si="38"/>
        <v/>
      </c>
      <c r="Q200" s="25" t="str">
        <f t="shared" si="39"/>
        <v/>
      </c>
      <c r="R200" s="25" t="str">
        <f t="shared" si="40"/>
        <v/>
      </c>
      <c r="S200" s="25" t="str">
        <f t="shared" si="41"/>
        <v/>
      </c>
      <c r="T200" s="25" t="str">
        <f t="shared" si="42"/>
        <v/>
      </c>
      <c r="U200" s="72" t="str">
        <f t="shared" si="43"/>
        <v/>
      </c>
      <c r="V200" s="224" t="str">
        <f>IF(C200="","",IF(IN_DATA!R195=3, IF(IN_DATA!$L$4=5, 250, 375), 0))</f>
        <v/>
      </c>
      <c r="W200" s="97" t="str">
        <f t="shared" si="44"/>
        <v/>
      </c>
      <c r="X200" s="97" t="str">
        <f t="shared" si="45"/>
        <v/>
      </c>
      <c r="Y200" s="97" t="str">
        <f t="shared" si="46"/>
        <v/>
      </c>
      <c r="Z200" s="97" t="str">
        <f t="shared" si="47"/>
        <v/>
      </c>
      <c r="AA200" s="97" t="str">
        <f t="shared" si="48"/>
        <v/>
      </c>
      <c r="AB200" s="97" t="str">
        <f t="shared" si="49"/>
        <v/>
      </c>
      <c r="AC200" s="97" t="str">
        <f t="shared" si="50"/>
        <v/>
      </c>
      <c r="AD200" s="228" t="str">
        <f t="shared" si="51"/>
        <v/>
      </c>
      <c r="AE200" s="266" t="str">
        <f t="shared" si="52"/>
        <v/>
      </c>
    </row>
    <row r="201" spans="1:31" x14ac:dyDescent="0.2">
      <c r="A201" s="3">
        <v>191</v>
      </c>
      <c r="B201" s="3">
        <f t="shared" si="53"/>
        <v>2203</v>
      </c>
      <c r="C201" s="149" t="str">
        <f>IN_DATA!P196</f>
        <v/>
      </c>
      <c r="D201" s="33" t="str">
        <f>IN_DATA!Q196</f>
        <v/>
      </c>
      <c r="F201" s="4">
        <f t="shared" si="54"/>
        <v>2203</v>
      </c>
      <c r="G201" s="24" t="str">
        <f>IF(C201="","",IN_DATA!C196*OCF*FPF)</f>
        <v/>
      </c>
      <c r="H201" s="24" t="str">
        <f>IF(C201="","",IN_DATA!D196*OCF*FPF)</f>
        <v/>
      </c>
      <c r="I201" s="24" t="str">
        <f>IF(C201="","",IN_DATA!E196)</f>
        <v/>
      </c>
      <c r="J201" s="24" t="str">
        <f>IF(C201="","",IN_DATA!F196)</f>
        <v/>
      </c>
      <c r="K201" s="24" t="str">
        <f>IF(C201="","",IN_DATA!H196)</f>
        <v/>
      </c>
      <c r="L201" s="155" t="str">
        <f>IF(C201="","",IN_DATA!G196)</f>
        <v/>
      </c>
      <c r="M201" s="154"/>
      <c r="N201" s="220" t="str">
        <f>IF(C201="","",IN_DATA!P196)</f>
        <v/>
      </c>
      <c r="O201" s="112" t="str">
        <f>IF(C201="","",IN_DATA!Q196)</f>
        <v/>
      </c>
      <c r="P201" s="25" t="str">
        <f t="shared" si="38"/>
        <v/>
      </c>
      <c r="Q201" s="25" t="str">
        <f t="shared" si="39"/>
        <v/>
      </c>
      <c r="R201" s="25" t="str">
        <f t="shared" si="40"/>
        <v/>
      </c>
      <c r="S201" s="25" t="str">
        <f t="shared" si="41"/>
        <v/>
      </c>
      <c r="T201" s="25" t="str">
        <f t="shared" si="42"/>
        <v/>
      </c>
      <c r="U201" s="72" t="str">
        <f t="shared" si="43"/>
        <v/>
      </c>
      <c r="V201" s="224" t="str">
        <f>IF(C201="","",IF(IN_DATA!R196=3, IF(IN_DATA!$L$4=5, 250, 375), 0))</f>
        <v/>
      </c>
      <c r="W201" s="97" t="str">
        <f t="shared" si="44"/>
        <v/>
      </c>
      <c r="X201" s="97" t="str">
        <f t="shared" si="45"/>
        <v/>
      </c>
      <c r="Y201" s="97" t="str">
        <f t="shared" si="46"/>
        <v/>
      </c>
      <c r="Z201" s="97" t="str">
        <f t="shared" si="47"/>
        <v/>
      </c>
      <c r="AA201" s="97" t="str">
        <f t="shared" si="48"/>
        <v/>
      </c>
      <c r="AB201" s="97" t="str">
        <f t="shared" si="49"/>
        <v/>
      </c>
      <c r="AC201" s="97" t="str">
        <f t="shared" si="50"/>
        <v/>
      </c>
      <c r="AD201" s="228" t="str">
        <f t="shared" si="51"/>
        <v/>
      </c>
      <c r="AE201" s="266" t="str">
        <f t="shared" si="52"/>
        <v/>
      </c>
    </row>
    <row r="202" spans="1:31" x14ac:dyDescent="0.2">
      <c r="A202" s="3">
        <v>192</v>
      </c>
      <c r="B202" s="3">
        <f t="shared" si="53"/>
        <v>2204</v>
      </c>
      <c r="C202" s="149" t="str">
        <f>IN_DATA!P197</f>
        <v/>
      </c>
      <c r="D202" s="33" t="str">
        <f>IN_DATA!Q197</f>
        <v/>
      </c>
      <c r="F202" s="4">
        <f t="shared" si="54"/>
        <v>2204</v>
      </c>
      <c r="G202" s="24" t="str">
        <f>IF(C202="","",IN_DATA!C197*OCF*FPF)</f>
        <v/>
      </c>
      <c r="H202" s="24" t="str">
        <f>IF(C202="","",IN_DATA!D197*OCF*FPF)</f>
        <v/>
      </c>
      <c r="I202" s="24" t="str">
        <f>IF(C202="","",IN_DATA!E197)</f>
        <v/>
      </c>
      <c r="J202" s="24" t="str">
        <f>IF(C202="","",IN_DATA!F197)</f>
        <v/>
      </c>
      <c r="K202" s="24" t="str">
        <f>IF(C202="","",IN_DATA!H197)</f>
        <v/>
      </c>
      <c r="L202" s="155" t="str">
        <f>IF(C202="","",IN_DATA!G197)</f>
        <v/>
      </c>
      <c r="M202" s="154"/>
      <c r="N202" s="220" t="str">
        <f>IF(C202="","",IN_DATA!P197)</f>
        <v/>
      </c>
      <c r="O202" s="112" t="str">
        <f>IF(C202="","",IN_DATA!Q197)</f>
        <v/>
      </c>
      <c r="P202" s="25" t="str">
        <f t="shared" si="38"/>
        <v/>
      </c>
      <c r="Q202" s="25" t="str">
        <f t="shared" si="39"/>
        <v/>
      </c>
      <c r="R202" s="25" t="str">
        <f t="shared" si="40"/>
        <v/>
      </c>
      <c r="S202" s="25" t="str">
        <f t="shared" si="41"/>
        <v/>
      </c>
      <c r="T202" s="25" t="str">
        <f t="shared" si="42"/>
        <v/>
      </c>
      <c r="U202" s="72" t="str">
        <f t="shared" si="43"/>
        <v/>
      </c>
      <c r="V202" s="224" t="str">
        <f>IF(C202="","",IF(IN_DATA!R197=3, IF(IN_DATA!$L$4=5, 250, 375), 0))</f>
        <v/>
      </c>
      <c r="W202" s="97" t="str">
        <f t="shared" si="44"/>
        <v/>
      </c>
      <c r="X202" s="97" t="str">
        <f t="shared" si="45"/>
        <v/>
      </c>
      <c r="Y202" s="97" t="str">
        <f t="shared" si="46"/>
        <v/>
      </c>
      <c r="Z202" s="97" t="str">
        <f t="shared" si="47"/>
        <v/>
      </c>
      <c r="AA202" s="97" t="str">
        <f t="shared" si="48"/>
        <v/>
      </c>
      <c r="AB202" s="97" t="str">
        <f t="shared" si="49"/>
        <v/>
      </c>
      <c r="AC202" s="97" t="str">
        <f t="shared" si="50"/>
        <v/>
      </c>
      <c r="AD202" s="228" t="str">
        <f t="shared" si="51"/>
        <v/>
      </c>
      <c r="AE202" s="266" t="str">
        <f t="shared" si="52"/>
        <v/>
      </c>
    </row>
    <row r="203" spans="1:31" x14ac:dyDescent="0.2">
      <c r="A203" s="3">
        <v>193</v>
      </c>
      <c r="B203" s="3">
        <f t="shared" si="53"/>
        <v>2205</v>
      </c>
      <c r="C203" s="149" t="str">
        <f>IN_DATA!P198</f>
        <v/>
      </c>
      <c r="D203" s="33" t="str">
        <f>IN_DATA!Q198</f>
        <v/>
      </c>
      <c r="F203" s="4">
        <f t="shared" si="54"/>
        <v>2205</v>
      </c>
      <c r="G203" s="24" t="str">
        <f>IF(C203="","",IN_DATA!C198*OCF*FPF)</f>
        <v/>
      </c>
      <c r="H203" s="24" t="str">
        <f>IF(C203="","",IN_DATA!D198*OCF*FPF)</f>
        <v/>
      </c>
      <c r="I203" s="24" t="str">
        <f>IF(C203="","",IN_DATA!E198)</f>
        <v/>
      </c>
      <c r="J203" s="24" t="str">
        <f>IF(C203="","",IN_DATA!F198)</f>
        <v/>
      </c>
      <c r="K203" s="24" t="str">
        <f>IF(C203="","",IN_DATA!H198)</f>
        <v/>
      </c>
      <c r="L203" s="155" t="str">
        <f>IF(C203="","",IN_DATA!G198)</f>
        <v/>
      </c>
      <c r="M203" s="154"/>
      <c r="N203" s="220" t="str">
        <f>IF(C203="","",IN_DATA!P198)</f>
        <v/>
      </c>
      <c r="O203" s="112" t="str">
        <f>IF(C203="","",IN_DATA!Q198)</f>
        <v/>
      </c>
      <c r="P203" s="25" t="str">
        <f t="shared" ref="P203:P209" si="55">IF(C203="","",365*G203/1000)</f>
        <v/>
      </c>
      <c r="Q203" s="25" t="str">
        <f t="shared" ref="Q203:Q209" si="56">IF(C203="","",365*H203/1000)</f>
        <v/>
      </c>
      <c r="R203" s="25" t="str">
        <f t="shared" ref="R203:R209" si="57">IF(C203="","",365*I203/1000)</f>
        <v/>
      </c>
      <c r="S203" s="25" t="str">
        <f t="shared" ref="S203:S209" si="58">IF(C203="","",365*J203/1000)</f>
        <v/>
      </c>
      <c r="T203" s="25" t="str">
        <f t="shared" ref="T203:T209" si="59">IF(C203="","",365*K203/1000)</f>
        <v/>
      </c>
      <c r="U203" s="72" t="str">
        <f t="shared" ref="U203:U209" si="60">IF(C203="","",365*L203/1000)</f>
        <v/>
      </c>
      <c r="V203" s="224" t="str">
        <f>IF(C203="","",IF(IN_DATA!R198=3, IF(IN_DATA!$L$4=5, 250, 375), 0))</f>
        <v/>
      </c>
      <c r="W203" s="97" t="str">
        <f t="shared" ref="W203:W209" si="61">IF(C203="","",(G$5*N203+H$5*O203))</f>
        <v/>
      </c>
      <c r="X203" s="97" t="str">
        <f t="shared" ref="X203:X209" si="62">IF(C203="","",I$5*P203)</f>
        <v/>
      </c>
      <c r="Y203" s="97" t="str">
        <f t="shared" ref="Y203:Y209" si="63">IF(C203="","",J$5*Q203)</f>
        <v/>
      </c>
      <c r="Z203" s="97" t="str">
        <f t="shared" ref="Z203:Z209" si="64">IF(C203="","",K$5*R203)</f>
        <v/>
      </c>
      <c r="AA203" s="97" t="str">
        <f t="shared" ref="AA203:AA209" si="65">IF(C203="","",L$5*S203)</f>
        <v/>
      </c>
      <c r="AB203" s="97" t="str">
        <f t="shared" ref="AB203:AB209" si="66">IF(C203="","",M$5*T203)</f>
        <v/>
      </c>
      <c r="AC203" s="97" t="str">
        <f t="shared" ref="AC203:AC209" si="67">IF(C203="","",N$5*U203)</f>
        <v/>
      </c>
      <c r="AD203" s="228" t="str">
        <f t="shared" ref="AD203:AD209" si="68">IF(C203="","", SUM(V203:AC203))</f>
        <v/>
      </c>
      <c r="AE203" s="266" t="str">
        <f t="shared" ref="AE203:AE209" si="69">IF(C203="","",IF(AD203/(P203+Q203/10)&gt;$O$5,"",AD203/(P203+Q203/10)))</f>
        <v/>
      </c>
    </row>
    <row r="204" spans="1:31" x14ac:dyDescent="0.2">
      <c r="A204" s="3">
        <v>194</v>
      </c>
      <c r="B204" s="3">
        <f t="shared" si="53"/>
        <v>2206</v>
      </c>
      <c r="C204" s="149" t="str">
        <f>IN_DATA!P199</f>
        <v/>
      </c>
      <c r="D204" s="33" t="str">
        <f>IN_DATA!Q199</f>
        <v/>
      </c>
      <c r="F204" s="4">
        <f t="shared" si="54"/>
        <v>2206</v>
      </c>
      <c r="G204" s="24" t="str">
        <f>IF(C204="","",IN_DATA!C199*OCF*FPF)</f>
        <v/>
      </c>
      <c r="H204" s="24" t="str">
        <f>IF(C204="","",IN_DATA!D199*OCF*FPF)</f>
        <v/>
      </c>
      <c r="I204" s="24" t="str">
        <f>IF(C204="","",IN_DATA!E199)</f>
        <v/>
      </c>
      <c r="J204" s="24" t="str">
        <f>IF(C204="","",IN_DATA!F199)</f>
        <v/>
      </c>
      <c r="K204" s="24" t="str">
        <f>IF(C204="","",IN_DATA!H199)</f>
        <v/>
      </c>
      <c r="L204" s="155" t="str">
        <f>IF(C204="","",IN_DATA!G199)</f>
        <v/>
      </c>
      <c r="M204" s="154"/>
      <c r="N204" s="220" t="str">
        <f>IF(C204="","",IN_DATA!P199)</f>
        <v/>
      </c>
      <c r="O204" s="112" t="str">
        <f>IF(C204="","",IN_DATA!Q199)</f>
        <v/>
      </c>
      <c r="P204" s="25" t="str">
        <f t="shared" si="55"/>
        <v/>
      </c>
      <c r="Q204" s="25" t="str">
        <f t="shared" si="56"/>
        <v/>
      </c>
      <c r="R204" s="25" t="str">
        <f t="shared" si="57"/>
        <v/>
      </c>
      <c r="S204" s="25" t="str">
        <f t="shared" si="58"/>
        <v/>
      </c>
      <c r="T204" s="25" t="str">
        <f t="shared" si="59"/>
        <v/>
      </c>
      <c r="U204" s="72" t="str">
        <f t="shared" si="60"/>
        <v/>
      </c>
      <c r="V204" s="224" t="str">
        <f>IF(C204="","",IF(IN_DATA!R199=3, IF(IN_DATA!$L$4=5, 250, 375), 0))</f>
        <v/>
      </c>
      <c r="W204" s="97" t="str">
        <f t="shared" si="61"/>
        <v/>
      </c>
      <c r="X204" s="97" t="str">
        <f t="shared" si="62"/>
        <v/>
      </c>
      <c r="Y204" s="97" t="str">
        <f t="shared" si="63"/>
        <v/>
      </c>
      <c r="Z204" s="97" t="str">
        <f t="shared" si="64"/>
        <v/>
      </c>
      <c r="AA204" s="97" t="str">
        <f t="shared" si="65"/>
        <v/>
      </c>
      <c r="AB204" s="97" t="str">
        <f t="shared" si="66"/>
        <v/>
      </c>
      <c r="AC204" s="97" t="str">
        <f t="shared" si="67"/>
        <v/>
      </c>
      <c r="AD204" s="228" t="str">
        <f t="shared" si="68"/>
        <v/>
      </c>
      <c r="AE204" s="266" t="str">
        <f t="shared" si="69"/>
        <v/>
      </c>
    </row>
    <row r="205" spans="1:31" x14ac:dyDescent="0.2">
      <c r="A205" s="3">
        <v>195</v>
      </c>
      <c r="B205" s="3">
        <f t="shared" si="53"/>
        <v>2207</v>
      </c>
      <c r="C205" s="149" t="str">
        <f>IN_DATA!P200</f>
        <v/>
      </c>
      <c r="D205" s="33" t="str">
        <f>IN_DATA!Q200</f>
        <v/>
      </c>
      <c r="F205" s="4">
        <f t="shared" si="54"/>
        <v>2207</v>
      </c>
      <c r="G205" s="24" t="str">
        <f>IF(C205="","",IN_DATA!C200*OCF*FPF)</f>
        <v/>
      </c>
      <c r="H205" s="24" t="str">
        <f>IF(C205="","",IN_DATA!D200*OCF*FPF)</f>
        <v/>
      </c>
      <c r="I205" s="24" t="str">
        <f>IF(C205="","",IN_DATA!E200)</f>
        <v/>
      </c>
      <c r="J205" s="24" t="str">
        <f>IF(C205="","",IN_DATA!F200)</f>
        <v/>
      </c>
      <c r="K205" s="24" t="str">
        <f>IF(C205="","",IN_DATA!H200)</f>
        <v/>
      </c>
      <c r="L205" s="155" t="str">
        <f>IF(C205="","",IN_DATA!G200)</f>
        <v/>
      </c>
      <c r="M205" s="154"/>
      <c r="N205" s="220" t="str">
        <f>IF(C205="","",IN_DATA!P200)</f>
        <v/>
      </c>
      <c r="O205" s="112" t="str">
        <f>IF(C205="","",IN_DATA!Q200)</f>
        <v/>
      </c>
      <c r="P205" s="25" t="str">
        <f t="shared" si="55"/>
        <v/>
      </c>
      <c r="Q205" s="25" t="str">
        <f t="shared" si="56"/>
        <v/>
      </c>
      <c r="R205" s="25" t="str">
        <f t="shared" si="57"/>
        <v/>
      </c>
      <c r="S205" s="25" t="str">
        <f t="shared" si="58"/>
        <v/>
      </c>
      <c r="T205" s="25" t="str">
        <f t="shared" si="59"/>
        <v/>
      </c>
      <c r="U205" s="72" t="str">
        <f t="shared" si="60"/>
        <v/>
      </c>
      <c r="V205" s="224" t="str">
        <f>IF(C205="","",IF(IN_DATA!R200=3, IF(IN_DATA!$L$4=5, 250, 375), 0))</f>
        <v/>
      </c>
      <c r="W205" s="97" t="str">
        <f t="shared" si="61"/>
        <v/>
      </c>
      <c r="X205" s="97" t="str">
        <f t="shared" si="62"/>
        <v/>
      </c>
      <c r="Y205" s="97" t="str">
        <f t="shared" si="63"/>
        <v/>
      </c>
      <c r="Z205" s="97" t="str">
        <f t="shared" si="64"/>
        <v/>
      </c>
      <c r="AA205" s="97" t="str">
        <f t="shared" si="65"/>
        <v/>
      </c>
      <c r="AB205" s="97" t="str">
        <f t="shared" si="66"/>
        <v/>
      </c>
      <c r="AC205" s="97" t="str">
        <f t="shared" si="67"/>
        <v/>
      </c>
      <c r="AD205" s="228" t="str">
        <f t="shared" si="68"/>
        <v/>
      </c>
      <c r="AE205" s="266" t="str">
        <f t="shared" si="69"/>
        <v/>
      </c>
    </row>
    <row r="206" spans="1:31" x14ac:dyDescent="0.2">
      <c r="A206" s="3">
        <v>196</v>
      </c>
      <c r="B206" s="3">
        <f t="shared" si="53"/>
        <v>2208</v>
      </c>
      <c r="C206" s="149" t="str">
        <f>IN_DATA!P201</f>
        <v/>
      </c>
      <c r="D206" s="33" t="str">
        <f>IN_DATA!Q201</f>
        <v/>
      </c>
      <c r="F206" s="4">
        <f t="shared" si="54"/>
        <v>2208</v>
      </c>
      <c r="G206" s="24" t="str">
        <f>IF(C206="","",IN_DATA!C201*OCF*FPF)</f>
        <v/>
      </c>
      <c r="H206" s="24" t="str">
        <f>IF(C206="","",IN_DATA!D201*OCF*FPF)</f>
        <v/>
      </c>
      <c r="I206" s="24" t="str">
        <f>IF(C206="","",IN_DATA!E201)</f>
        <v/>
      </c>
      <c r="J206" s="24" t="str">
        <f>IF(C206="","",IN_DATA!F201)</f>
        <v/>
      </c>
      <c r="K206" s="24" t="str">
        <f>IF(C206="","",IN_DATA!H201)</f>
        <v/>
      </c>
      <c r="L206" s="155" t="str">
        <f>IF(C206="","",IN_DATA!G201)</f>
        <v/>
      </c>
      <c r="M206" s="154"/>
      <c r="N206" s="220" t="str">
        <f>IF(C206="","",IN_DATA!P201)</f>
        <v/>
      </c>
      <c r="O206" s="112" t="str">
        <f>IF(C206="","",IN_DATA!Q201)</f>
        <v/>
      </c>
      <c r="P206" s="25" t="str">
        <f t="shared" si="55"/>
        <v/>
      </c>
      <c r="Q206" s="25" t="str">
        <f t="shared" si="56"/>
        <v/>
      </c>
      <c r="R206" s="25" t="str">
        <f t="shared" si="57"/>
        <v/>
      </c>
      <c r="S206" s="25" t="str">
        <f t="shared" si="58"/>
        <v/>
      </c>
      <c r="T206" s="25" t="str">
        <f t="shared" si="59"/>
        <v/>
      </c>
      <c r="U206" s="72" t="str">
        <f t="shared" si="60"/>
        <v/>
      </c>
      <c r="V206" s="224" t="str">
        <f>IF(C206="","",IF(IN_DATA!R201=3, IF(IN_DATA!$L$4=5, 250, 375), 0))</f>
        <v/>
      </c>
      <c r="W206" s="97" t="str">
        <f t="shared" si="61"/>
        <v/>
      </c>
      <c r="X206" s="97" t="str">
        <f t="shared" si="62"/>
        <v/>
      </c>
      <c r="Y206" s="97" t="str">
        <f t="shared" si="63"/>
        <v/>
      </c>
      <c r="Z206" s="97" t="str">
        <f t="shared" si="64"/>
        <v/>
      </c>
      <c r="AA206" s="97" t="str">
        <f t="shared" si="65"/>
        <v/>
      </c>
      <c r="AB206" s="97" t="str">
        <f t="shared" si="66"/>
        <v/>
      </c>
      <c r="AC206" s="97" t="str">
        <f t="shared" si="67"/>
        <v/>
      </c>
      <c r="AD206" s="228" t="str">
        <f t="shared" si="68"/>
        <v/>
      </c>
      <c r="AE206" s="266" t="str">
        <f t="shared" si="69"/>
        <v/>
      </c>
    </row>
    <row r="207" spans="1:31" x14ac:dyDescent="0.2">
      <c r="A207" s="3">
        <v>197</v>
      </c>
      <c r="B207" s="3">
        <f t="shared" si="53"/>
        <v>2209</v>
      </c>
      <c r="C207" s="149" t="str">
        <f>IN_DATA!P202</f>
        <v/>
      </c>
      <c r="D207" s="33" t="str">
        <f>IN_DATA!Q202</f>
        <v/>
      </c>
      <c r="F207" s="4">
        <f t="shared" si="54"/>
        <v>2209</v>
      </c>
      <c r="G207" s="24" t="str">
        <f>IF(C207="","",IN_DATA!C202*OCF*FPF)</f>
        <v/>
      </c>
      <c r="H207" s="24" t="str">
        <f>IF(C207="","",IN_DATA!D202*OCF*FPF)</f>
        <v/>
      </c>
      <c r="I207" s="24" t="str">
        <f>IF(C207="","",IN_DATA!E202)</f>
        <v/>
      </c>
      <c r="J207" s="24" t="str">
        <f>IF(C207="","",IN_DATA!F202)</f>
        <v/>
      </c>
      <c r="K207" s="24" t="str">
        <f>IF(C207="","",IN_DATA!H202)</f>
        <v/>
      </c>
      <c r="L207" s="155" t="str">
        <f>IF(C207="","",IN_DATA!G202)</f>
        <v/>
      </c>
      <c r="M207" s="154"/>
      <c r="N207" s="220" t="str">
        <f>IF(C207="","",IN_DATA!P202)</f>
        <v/>
      </c>
      <c r="O207" s="112" t="str">
        <f>IF(C207="","",IN_DATA!Q202)</f>
        <v/>
      </c>
      <c r="P207" s="25" t="str">
        <f t="shared" si="55"/>
        <v/>
      </c>
      <c r="Q207" s="25" t="str">
        <f t="shared" si="56"/>
        <v/>
      </c>
      <c r="R207" s="25" t="str">
        <f t="shared" si="57"/>
        <v/>
      </c>
      <c r="S207" s="25" t="str">
        <f t="shared" si="58"/>
        <v/>
      </c>
      <c r="T207" s="25" t="str">
        <f t="shared" si="59"/>
        <v/>
      </c>
      <c r="U207" s="72" t="str">
        <f t="shared" si="60"/>
        <v/>
      </c>
      <c r="V207" s="224" t="str">
        <f>IF(C207="","",IF(IN_DATA!R202=3, IF(IN_DATA!$L$4=5, 250, 375), 0))</f>
        <v/>
      </c>
      <c r="W207" s="97" t="str">
        <f t="shared" si="61"/>
        <v/>
      </c>
      <c r="X207" s="97" t="str">
        <f t="shared" si="62"/>
        <v/>
      </c>
      <c r="Y207" s="97" t="str">
        <f t="shared" si="63"/>
        <v/>
      </c>
      <c r="Z207" s="97" t="str">
        <f t="shared" si="64"/>
        <v/>
      </c>
      <c r="AA207" s="97" t="str">
        <f t="shared" si="65"/>
        <v/>
      </c>
      <c r="AB207" s="97" t="str">
        <f t="shared" si="66"/>
        <v/>
      </c>
      <c r="AC207" s="97" t="str">
        <f t="shared" si="67"/>
        <v/>
      </c>
      <c r="AD207" s="228" t="str">
        <f t="shared" si="68"/>
        <v/>
      </c>
      <c r="AE207" s="266" t="str">
        <f t="shared" si="69"/>
        <v/>
      </c>
    </row>
    <row r="208" spans="1:31" x14ac:dyDescent="0.2">
      <c r="A208" s="3">
        <v>198</v>
      </c>
      <c r="B208" s="3">
        <f t="shared" si="53"/>
        <v>2210</v>
      </c>
      <c r="C208" s="149" t="str">
        <f>IN_DATA!P203</f>
        <v/>
      </c>
      <c r="D208" s="33" t="str">
        <f>IN_DATA!Q203</f>
        <v/>
      </c>
      <c r="F208" s="4">
        <f t="shared" si="54"/>
        <v>2210</v>
      </c>
      <c r="G208" s="268" t="str">
        <f>IF(C208="","",IN_DATA!C203*OCF*FPF)</f>
        <v/>
      </c>
      <c r="H208" s="268" t="str">
        <f>IF(C208="","",IN_DATA!D203*OCF*FPF)</f>
        <v/>
      </c>
      <c r="I208" s="268" t="str">
        <f>IF(C208="","",IN_DATA!E203)</f>
        <v/>
      </c>
      <c r="J208" s="268" t="str">
        <f>IF(C208="","",IN_DATA!F203)</f>
        <v/>
      </c>
      <c r="K208" s="268" t="str">
        <f>IF(C208="","",IN_DATA!H203)</f>
        <v/>
      </c>
      <c r="L208" s="269" t="str">
        <f>IF(C208="","",IN_DATA!G203)</f>
        <v/>
      </c>
      <c r="M208" s="154"/>
      <c r="N208" s="220" t="str">
        <f>IF(C208="","",IN_DATA!P203)</f>
        <v/>
      </c>
      <c r="O208" s="112" t="str">
        <f>IF(C208="","",IN_DATA!Q203)</f>
        <v/>
      </c>
      <c r="P208" s="25" t="str">
        <f t="shared" si="55"/>
        <v/>
      </c>
      <c r="Q208" s="25" t="str">
        <f t="shared" si="56"/>
        <v/>
      </c>
      <c r="R208" s="25" t="str">
        <f t="shared" si="57"/>
        <v/>
      </c>
      <c r="S208" s="25" t="str">
        <f t="shared" si="58"/>
        <v/>
      </c>
      <c r="T208" s="25" t="str">
        <f t="shared" si="59"/>
        <v/>
      </c>
      <c r="U208" s="72" t="str">
        <f t="shared" si="60"/>
        <v/>
      </c>
      <c r="V208" s="224" t="str">
        <f>IF(C208="","",IF(IN_DATA!R203=3, IF(IN_DATA!$L$4=5, 250, 375), 0))</f>
        <v/>
      </c>
      <c r="W208" s="97" t="str">
        <f t="shared" si="61"/>
        <v/>
      </c>
      <c r="X208" s="97" t="str">
        <f t="shared" si="62"/>
        <v/>
      </c>
      <c r="Y208" s="97" t="str">
        <f t="shared" si="63"/>
        <v/>
      </c>
      <c r="Z208" s="97" t="str">
        <f t="shared" si="64"/>
        <v/>
      </c>
      <c r="AA208" s="97" t="str">
        <f t="shared" si="65"/>
        <v/>
      </c>
      <c r="AB208" s="97" t="str">
        <f t="shared" si="66"/>
        <v/>
      </c>
      <c r="AC208" s="97" t="str">
        <f t="shared" si="67"/>
        <v/>
      </c>
      <c r="AD208" s="228" t="str">
        <f t="shared" si="68"/>
        <v/>
      </c>
      <c r="AE208" s="266" t="str">
        <f t="shared" si="69"/>
        <v/>
      </c>
    </row>
    <row r="209" spans="1:31" ht="13.5" thickBot="1" x14ac:dyDescent="0.25">
      <c r="A209" s="167">
        <v>199</v>
      </c>
      <c r="B209" s="167">
        <f t="shared" si="53"/>
        <v>2211</v>
      </c>
      <c r="C209" s="168" t="str">
        <f>IN_DATA!P204</f>
        <v/>
      </c>
      <c r="D209" s="34" t="str">
        <f>IN_DATA!Q204</f>
        <v/>
      </c>
      <c r="F209" s="5">
        <f t="shared" si="54"/>
        <v>2211</v>
      </c>
      <c r="G209" s="270" t="str">
        <f>IF(C209="","",IN_DATA!C204*OCF*FPF)</f>
        <v/>
      </c>
      <c r="H209" s="270" t="str">
        <f>IF(C209="","",IN_DATA!D204*OCF*FPF)</f>
        <v/>
      </c>
      <c r="I209" s="270" t="str">
        <f>IF(C209="","",IN_DATA!E204)</f>
        <v/>
      </c>
      <c r="J209" s="270" t="str">
        <f>IF(C209="","",IN_DATA!F204)</f>
        <v/>
      </c>
      <c r="K209" s="270" t="str">
        <f>IF(C209="","",IN_DATA!H204)</f>
        <v/>
      </c>
      <c r="L209" s="271" t="str">
        <f>IF(C209="","",IN_DATA!G204)</f>
        <v/>
      </c>
      <c r="M209" s="154"/>
      <c r="N209" s="35" t="str">
        <f>IF(C209="","",IN_DATA!P204)</f>
        <v/>
      </c>
      <c r="O209" s="37" t="str">
        <f>IF(C209="","",IN_DATA!Q204)</f>
        <v/>
      </c>
      <c r="P209" s="272" t="str">
        <f t="shared" si="55"/>
        <v/>
      </c>
      <c r="Q209" s="272" t="str">
        <f t="shared" si="56"/>
        <v/>
      </c>
      <c r="R209" s="272" t="str">
        <f t="shared" si="57"/>
        <v/>
      </c>
      <c r="S209" s="272" t="str">
        <f t="shared" si="58"/>
        <v/>
      </c>
      <c r="T209" s="272" t="str">
        <f t="shared" si="59"/>
        <v/>
      </c>
      <c r="U209" s="70" t="str">
        <f t="shared" si="60"/>
        <v/>
      </c>
      <c r="V209" s="273" t="str">
        <f>IF(C209="","",IF(IN_DATA!R204=3, IF(IN_DATA!$L$4=5, 250, 375), 0))</f>
        <v/>
      </c>
      <c r="W209" s="274" t="str">
        <f t="shared" si="61"/>
        <v/>
      </c>
      <c r="X209" s="274" t="str">
        <f t="shared" si="62"/>
        <v/>
      </c>
      <c r="Y209" s="274" t="str">
        <f t="shared" si="63"/>
        <v/>
      </c>
      <c r="Z209" s="274" t="str">
        <f t="shared" si="64"/>
        <v/>
      </c>
      <c r="AA209" s="274" t="str">
        <f t="shared" si="65"/>
        <v/>
      </c>
      <c r="AB209" s="274" t="str">
        <f t="shared" si="66"/>
        <v/>
      </c>
      <c r="AC209" s="274" t="str">
        <f t="shared" si="67"/>
        <v/>
      </c>
      <c r="AD209" s="275" t="str">
        <f t="shared" si="68"/>
        <v/>
      </c>
      <c r="AE209" s="267" t="str">
        <f t="shared" si="69"/>
        <v/>
      </c>
    </row>
  </sheetData>
  <mergeCells count="18">
    <mergeCell ref="V7:AE7"/>
    <mergeCell ref="M3:N3"/>
    <mergeCell ref="J8:J9"/>
    <mergeCell ref="I3:L3"/>
    <mergeCell ref="N8:N9"/>
    <mergeCell ref="O8:O9"/>
    <mergeCell ref="I8:I9"/>
    <mergeCell ref="N7:U7"/>
    <mergeCell ref="G2:H2"/>
    <mergeCell ref="G3:H3"/>
    <mergeCell ref="G8:G9"/>
    <mergeCell ref="H8:H9"/>
    <mergeCell ref="B8:B9"/>
    <mergeCell ref="C8:D9"/>
    <mergeCell ref="C6:D6"/>
    <mergeCell ref="G7:L7"/>
    <mergeCell ref="K8:K9"/>
    <mergeCell ref="L8:L9"/>
  </mergeCells>
  <phoneticPr fontId="27" type="noConversion"/>
  <conditionalFormatting sqref="AE10:AE209">
    <cfRule type="expression" dxfId="0" priority="1">
      <formula>$T$10:$T$209&gt;0</formula>
    </cfRule>
  </conditionalFormatting>
  <pageMargins left="0.75" right="0.75" top="1" bottom="1" header="0.5" footer="0.5"/>
  <pageSetup orientation="portrait" horizontalDpi="4294967292" vertic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66"/>
  </sheetPr>
  <dimension ref="A1:AB73"/>
  <sheetViews>
    <sheetView zoomScale="80" zoomScaleNormal="80" workbookViewId="0">
      <selection activeCell="N65" sqref="N65"/>
    </sheetView>
  </sheetViews>
  <sheetFormatPr defaultColWidth="8.85546875" defaultRowHeight="12.75" x14ac:dyDescent="0.2"/>
  <cols>
    <col min="1" max="1" width="14.5703125" customWidth="1"/>
    <col min="2" max="2" width="16.140625" style="44" customWidth="1"/>
    <col min="3" max="3" width="16.5703125" customWidth="1"/>
    <col min="4" max="4" width="12" customWidth="1"/>
    <col min="5" max="5" width="12.28515625" customWidth="1"/>
    <col min="6" max="6" width="14" customWidth="1"/>
    <col min="7" max="7" width="15" customWidth="1"/>
    <col min="8" max="28" width="12.28515625" customWidth="1"/>
    <col min="29" max="29" width="12.5703125" customWidth="1"/>
    <col min="30" max="30" width="14.42578125" customWidth="1"/>
    <col min="31" max="31" width="10.7109375" bestFit="1" customWidth="1"/>
    <col min="32" max="32" width="17.5703125" customWidth="1"/>
    <col min="33" max="33" width="8.28515625" customWidth="1"/>
    <col min="34" max="34" width="10.5703125" customWidth="1"/>
    <col min="35" max="35" width="9.42578125" customWidth="1"/>
    <col min="36" max="36" width="12" customWidth="1"/>
    <col min="37" max="37" width="13.7109375" customWidth="1"/>
    <col min="38" max="38" width="10" bestFit="1" customWidth="1"/>
    <col min="39" max="39" width="12.7109375" customWidth="1"/>
    <col min="40" max="40" width="12" customWidth="1"/>
    <col min="41" max="41" width="10.7109375" bestFit="1" customWidth="1"/>
    <col min="42" max="42" width="10.7109375" customWidth="1"/>
    <col min="43" max="43" width="10.28515625" customWidth="1"/>
    <col min="44" max="44" width="7.85546875" bestFit="1" customWidth="1"/>
    <col min="45" max="45" width="8.85546875" bestFit="1" customWidth="1"/>
    <col min="46" max="46" width="10.140625" bestFit="1" customWidth="1"/>
    <col min="47" max="47" width="11.7109375" bestFit="1" customWidth="1"/>
    <col min="48" max="48" width="13.140625" bestFit="1" customWidth="1"/>
    <col min="49" max="49" width="10.7109375" bestFit="1" customWidth="1"/>
    <col min="50" max="50" width="15.42578125" bestFit="1" customWidth="1"/>
    <col min="51" max="51" width="7" bestFit="1" customWidth="1"/>
    <col min="52" max="52" width="7.85546875" bestFit="1" customWidth="1"/>
    <col min="53" max="53" width="9.28515625" bestFit="1" customWidth="1"/>
    <col min="54" max="54" width="10.85546875" bestFit="1" customWidth="1"/>
    <col min="55" max="55" width="12.140625" bestFit="1" customWidth="1"/>
    <col min="56" max="56" width="10" bestFit="1" customWidth="1"/>
    <col min="57" max="57" width="11" bestFit="1" customWidth="1"/>
  </cols>
  <sheetData>
    <row r="1" spans="1:28" ht="19.5" thickBot="1" x14ac:dyDescent="0.35">
      <c r="A1" s="45" t="s">
        <v>103</v>
      </c>
    </row>
    <row r="2" spans="1:28" s="43" customFormat="1" ht="27" customHeight="1" x14ac:dyDescent="0.2">
      <c r="A2" s="484"/>
      <c r="B2" s="485"/>
      <c r="C2" s="49" t="s">
        <v>33</v>
      </c>
      <c r="D2" s="28">
        <v>20</v>
      </c>
      <c r="E2" s="28">
        <v>25</v>
      </c>
      <c r="F2" s="28">
        <v>30</v>
      </c>
      <c r="G2" s="28">
        <v>35</v>
      </c>
      <c r="H2" s="28">
        <v>40</v>
      </c>
      <c r="I2" s="28">
        <v>45</v>
      </c>
      <c r="J2" s="28">
        <v>50</v>
      </c>
      <c r="K2" s="28">
        <v>55</v>
      </c>
      <c r="L2" s="28">
        <v>60</v>
      </c>
      <c r="M2" s="28">
        <v>65</v>
      </c>
      <c r="N2" s="28">
        <v>70</v>
      </c>
      <c r="O2" s="28">
        <v>75</v>
      </c>
      <c r="P2" s="28">
        <v>80</v>
      </c>
      <c r="Q2" s="28">
        <v>85</v>
      </c>
      <c r="R2" s="28">
        <v>90</v>
      </c>
      <c r="S2" s="28">
        <v>95</v>
      </c>
      <c r="T2" s="28">
        <v>100</v>
      </c>
      <c r="U2" s="28">
        <v>105</v>
      </c>
      <c r="V2" s="28">
        <v>110</v>
      </c>
      <c r="W2" s="28">
        <v>115</v>
      </c>
      <c r="X2" s="87">
        <v>120</v>
      </c>
      <c r="Y2" s="87">
        <v>125</v>
      </c>
      <c r="Z2" s="87">
        <v>130</v>
      </c>
      <c r="AA2" s="87">
        <v>135</v>
      </c>
      <c r="AB2" s="46">
        <v>140</v>
      </c>
    </row>
    <row r="3" spans="1:28" s="41" customFormat="1" ht="26.25" thickBot="1" x14ac:dyDescent="0.25">
      <c r="A3" s="486"/>
      <c r="B3" s="487"/>
      <c r="C3" s="56" t="s">
        <v>34</v>
      </c>
      <c r="D3" s="54">
        <v>-0.04</v>
      </c>
      <c r="E3" s="54">
        <v>-0.02</v>
      </c>
      <c r="F3" s="54">
        <v>0</v>
      </c>
      <c r="G3" s="54">
        <v>0.02</v>
      </c>
      <c r="H3" s="54">
        <v>0.04</v>
      </c>
      <c r="I3" s="54">
        <v>7.0000000000000007E-2</v>
      </c>
      <c r="J3" s="54">
        <v>0.1</v>
      </c>
      <c r="K3" s="54">
        <v>0.13</v>
      </c>
      <c r="L3" s="54">
        <v>0.16</v>
      </c>
      <c r="M3" s="54">
        <v>0.19</v>
      </c>
      <c r="N3" s="54">
        <v>0.21</v>
      </c>
      <c r="O3" s="54">
        <v>0.22</v>
      </c>
      <c r="P3" s="54">
        <v>0.24</v>
      </c>
      <c r="Q3" s="54">
        <v>0.25</v>
      </c>
      <c r="R3" s="54">
        <v>0.26</v>
      </c>
      <c r="S3" s="54">
        <v>0.27</v>
      </c>
      <c r="T3" s="54">
        <v>0.28000000000000003</v>
      </c>
      <c r="U3" s="54">
        <v>0.28999999999999998</v>
      </c>
      <c r="V3" s="54">
        <v>0.3</v>
      </c>
      <c r="W3" s="54">
        <v>0.31</v>
      </c>
      <c r="X3" s="89">
        <v>0.32</v>
      </c>
      <c r="Y3" s="89">
        <v>0.33</v>
      </c>
      <c r="Z3" s="89">
        <v>0.34</v>
      </c>
      <c r="AA3" s="89">
        <v>0.35</v>
      </c>
      <c r="AB3" s="55">
        <v>0.35</v>
      </c>
    </row>
    <row r="4" spans="1:28" ht="26.25" thickBot="1" x14ac:dyDescent="0.25">
      <c r="A4" s="52" t="s">
        <v>31</v>
      </c>
      <c r="B4" s="53" t="s">
        <v>32</v>
      </c>
      <c r="C4" s="488" t="s">
        <v>35</v>
      </c>
      <c r="D4" s="491" t="s">
        <v>35</v>
      </c>
      <c r="E4" s="492"/>
      <c r="F4" s="492"/>
      <c r="G4" s="492"/>
      <c r="H4" s="492"/>
      <c r="I4" s="492"/>
      <c r="J4" s="492"/>
      <c r="K4" s="492"/>
      <c r="L4" s="492"/>
      <c r="M4" s="492"/>
      <c r="N4" s="492"/>
      <c r="O4" s="492"/>
      <c r="P4" s="492"/>
      <c r="Q4" s="492"/>
      <c r="R4" s="492"/>
      <c r="S4" s="492"/>
      <c r="T4" s="492"/>
      <c r="U4" s="492"/>
      <c r="V4" s="492"/>
      <c r="W4" s="492"/>
      <c r="X4" s="492"/>
      <c r="Y4" s="492"/>
      <c r="Z4" s="492"/>
      <c r="AA4" s="492"/>
      <c r="AB4" s="493"/>
    </row>
    <row r="5" spans="1:28" x14ac:dyDescent="0.2">
      <c r="A5" s="47">
        <v>0</v>
      </c>
      <c r="B5" s="50">
        <v>-0.28000000000000003</v>
      </c>
      <c r="C5" s="489"/>
      <c r="D5" s="58">
        <v>0</v>
      </c>
      <c r="E5" s="62">
        <v>0</v>
      </c>
      <c r="F5" s="62">
        <v>0</v>
      </c>
      <c r="G5" s="62">
        <v>0</v>
      </c>
      <c r="H5" s="62">
        <v>0</v>
      </c>
      <c r="I5" s="62">
        <v>0</v>
      </c>
      <c r="J5" s="62">
        <v>0</v>
      </c>
      <c r="K5" s="62">
        <v>0</v>
      </c>
      <c r="L5" s="62">
        <v>0</v>
      </c>
      <c r="M5" s="62">
        <v>0</v>
      </c>
      <c r="N5" s="62">
        <v>0</v>
      </c>
      <c r="O5" s="62">
        <v>0</v>
      </c>
      <c r="P5" s="62">
        <v>0</v>
      </c>
      <c r="Q5" s="62">
        <v>0</v>
      </c>
      <c r="R5" s="62">
        <v>0</v>
      </c>
      <c r="S5" s="62">
        <v>0</v>
      </c>
      <c r="T5" s="62">
        <v>0.01</v>
      </c>
      <c r="U5" s="62">
        <v>9.9999999999999534E-3</v>
      </c>
      <c r="V5" s="62">
        <v>1.9999999999999962E-2</v>
      </c>
      <c r="W5" s="62">
        <v>2.9999999999999971E-2</v>
      </c>
      <c r="X5" s="62">
        <v>3.999999999999998E-2</v>
      </c>
      <c r="Y5" s="62">
        <v>4.9999999999999989E-2</v>
      </c>
      <c r="Z5" s="62">
        <v>0.06</v>
      </c>
      <c r="AA5" s="62">
        <v>6.9999999999999951E-2</v>
      </c>
      <c r="AB5" s="63">
        <v>6.9999999999999951E-2</v>
      </c>
    </row>
    <row r="6" spans="1:28" x14ac:dyDescent="0.2">
      <c r="A6" s="47">
        <v>1</v>
      </c>
      <c r="B6" s="50">
        <v>-0.26</v>
      </c>
      <c r="C6" s="489"/>
      <c r="D6" s="59">
        <v>0</v>
      </c>
      <c r="E6" s="61">
        <v>0</v>
      </c>
      <c r="F6" s="61">
        <v>0</v>
      </c>
      <c r="G6" s="61">
        <v>0</v>
      </c>
      <c r="H6" s="61">
        <v>0</v>
      </c>
      <c r="I6" s="61">
        <v>0</v>
      </c>
      <c r="J6" s="61">
        <v>0</v>
      </c>
      <c r="K6" s="61">
        <v>0</v>
      </c>
      <c r="L6" s="61">
        <v>0</v>
      </c>
      <c r="M6" s="61">
        <v>0</v>
      </c>
      <c r="N6" s="61">
        <v>0</v>
      </c>
      <c r="O6" s="61">
        <v>0</v>
      </c>
      <c r="P6" s="61">
        <v>0</v>
      </c>
      <c r="Q6" s="61">
        <v>0</v>
      </c>
      <c r="R6" s="61">
        <v>0</v>
      </c>
      <c r="S6" s="61">
        <v>1.0000000000000009E-2</v>
      </c>
      <c r="T6" s="61">
        <v>2.0000000000000018E-2</v>
      </c>
      <c r="U6" s="61">
        <v>2.9999999999999971E-2</v>
      </c>
      <c r="V6" s="61">
        <v>3.999999999999998E-2</v>
      </c>
      <c r="W6" s="61">
        <v>4.9999999999999989E-2</v>
      </c>
      <c r="X6" s="61">
        <v>0.06</v>
      </c>
      <c r="Y6" s="61">
        <v>0.06</v>
      </c>
      <c r="Z6" s="61">
        <v>7.0000000000000007E-2</v>
      </c>
      <c r="AA6" s="61">
        <v>0.08</v>
      </c>
      <c r="AB6" s="64">
        <v>8.9999999999999969E-2</v>
      </c>
    </row>
    <row r="7" spans="1:28" x14ac:dyDescent="0.2">
      <c r="A7" s="47">
        <v>2</v>
      </c>
      <c r="B7" s="50">
        <v>-0.25</v>
      </c>
      <c r="C7" s="489"/>
      <c r="D7" s="59">
        <v>0</v>
      </c>
      <c r="E7" s="61">
        <v>0</v>
      </c>
      <c r="F7" s="61">
        <v>0</v>
      </c>
      <c r="G7" s="61">
        <v>0</v>
      </c>
      <c r="H7" s="61">
        <v>0</v>
      </c>
      <c r="I7" s="61">
        <v>0</v>
      </c>
      <c r="J7" s="61">
        <v>0</v>
      </c>
      <c r="K7" s="61">
        <v>0</v>
      </c>
      <c r="L7" s="61">
        <v>0</v>
      </c>
      <c r="M7" s="61">
        <v>0</v>
      </c>
      <c r="N7" s="61">
        <v>0</v>
      </c>
      <c r="O7" s="61">
        <v>0</v>
      </c>
      <c r="P7" s="61">
        <v>0</v>
      </c>
      <c r="Q7" s="61">
        <v>0</v>
      </c>
      <c r="R7" s="61">
        <v>1.0000000000000009E-2</v>
      </c>
      <c r="S7" s="61">
        <v>2.0000000000000018E-2</v>
      </c>
      <c r="T7" s="61">
        <v>3.0000000000000027E-2</v>
      </c>
      <c r="U7" s="61">
        <v>3.999999999999998E-2</v>
      </c>
      <c r="V7" s="61">
        <v>4.9999999999999989E-2</v>
      </c>
      <c r="W7" s="61">
        <v>0.06</v>
      </c>
      <c r="X7" s="61">
        <v>7.0000000000000007E-2</v>
      </c>
      <c r="Y7" s="61">
        <v>8.0000000000000016E-2</v>
      </c>
      <c r="Z7" s="61">
        <v>9.0000000000000024E-2</v>
      </c>
      <c r="AA7" s="61">
        <v>9.9999999999999978E-2</v>
      </c>
      <c r="AB7" s="64">
        <v>9.9999999999999978E-2</v>
      </c>
    </row>
    <row r="8" spans="1:28" x14ac:dyDescent="0.2">
      <c r="A8" s="47">
        <v>3</v>
      </c>
      <c r="B8" s="50">
        <v>-0.24</v>
      </c>
      <c r="C8" s="489"/>
      <c r="D8" s="59">
        <v>0</v>
      </c>
      <c r="E8" s="61">
        <v>0</v>
      </c>
      <c r="F8" s="61">
        <v>0</v>
      </c>
      <c r="G8" s="61">
        <v>0</v>
      </c>
      <c r="H8" s="61">
        <v>0</v>
      </c>
      <c r="I8" s="61">
        <v>0</v>
      </c>
      <c r="J8" s="61">
        <v>0</v>
      </c>
      <c r="K8" s="61">
        <v>0</v>
      </c>
      <c r="L8" s="61">
        <v>0</v>
      </c>
      <c r="M8" s="61">
        <v>0</v>
      </c>
      <c r="N8" s="61">
        <v>0</v>
      </c>
      <c r="O8" s="61">
        <v>0</v>
      </c>
      <c r="P8" s="61">
        <v>0</v>
      </c>
      <c r="Q8" s="61">
        <v>1.0000000000000009E-2</v>
      </c>
      <c r="R8" s="61">
        <v>2.0000000000000018E-2</v>
      </c>
      <c r="S8" s="61">
        <v>3.0000000000000027E-2</v>
      </c>
      <c r="T8" s="61">
        <v>4.0000000000000036E-2</v>
      </c>
      <c r="U8" s="61">
        <v>4.9999999999999989E-2</v>
      </c>
      <c r="V8" s="61">
        <v>0.06</v>
      </c>
      <c r="W8" s="61">
        <v>7.0000000000000007E-2</v>
      </c>
      <c r="X8" s="90">
        <v>8.0000000000000016E-2</v>
      </c>
      <c r="Y8" s="90">
        <v>9.0000000000000024E-2</v>
      </c>
      <c r="Z8" s="90">
        <v>0.10000000000000003</v>
      </c>
      <c r="AA8" s="90">
        <v>0.10999999999999999</v>
      </c>
      <c r="AB8" s="64">
        <v>0.10999999999999999</v>
      </c>
    </row>
    <row r="9" spans="1:28" x14ac:dyDescent="0.2">
      <c r="A9" s="47">
        <v>4</v>
      </c>
      <c r="B9" s="50">
        <v>-0.23</v>
      </c>
      <c r="C9" s="489"/>
      <c r="D9" s="59">
        <v>0</v>
      </c>
      <c r="E9" s="61">
        <v>0</v>
      </c>
      <c r="F9" s="61">
        <v>0</v>
      </c>
      <c r="G9" s="61">
        <v>0</v>
      </c>
      <c r="H9" s="61">
        <v>0</v>
      </c>
      <c r="I9" s="61">
        <v>0</v>
      </c>
      <c r="J9" s="61">
        <v>0</v>
      </c>
      <c r="K9" s="61">
        <v>0</v>
      </c>
      <c r="L9" s="61">
        <v>0</v>
      </c>
      <c r="M9" s="61">
        <v>0</v>
      </c>
      <c r="N9" s="61">
        <v>0</v>
      </c>
      <c r="O9" s="61">
        <v>0</v>
      </c>
      <c r="P9" s="61">
        <v>9.9999999999999811E-3</v>
      </c>
      <c r="Q9" s="61">
        <v>0.03</v>
      </c>
      <c r="R9" s="61">
        <v>0.04</v>
      </c>
      <c r="S9" s="61">
        <v>0.05</v>
      </c>
      <c r="T9" s="61">
        <v>0.06</v>
      </c>
      <c r="U9" s="61">
        <v>5.999999999999997E-2</v>
      </c>
      <c r="V9" s="61">
        <v>6.9999999999999979E-2</v>
      </c>
      <c r="W9" s="61">
        <v>7.9999999999999988E-2</v>
      </c>
      <c r="X9" s="90">
        <v>0.09</v>
      </c>
      <c r="Y9" s="90">
        <v>0.1</v>
      </c>
      <c r="Z9" s="90">
        <v>0.11000000000000001</v>
      </c>
      <c r="AA9" s="90">
        <v>0.11999999999999997</v>
      </c>
      <c r="AB9" s="64">
        <v>0.11999999999999997</v>
      </c>
    </row>
    <row r="10" spans="1:28" x14ac:dyDescent="0.2">
      <c r="A10" s="47">
        <v>5</v>
      </c>
      <c r="B10" s="50">
        <v>-0.21</v>
      </c>
      <c r="C10" s="489"/>
      <c r="D10" s="59">
        <v>0</v>
      </c>
      <c r="E10" s="61">
        <v>0</v>
      </c>
      <c r="F10" s="61">
        <v>0</v>
      </c>
      <c r="G10" s="61">
        <v>0</v>
      </c>
      <c r="H10" s="61">
        <v>0</v>
      </c>
      <c r="I10" s="61">
        <v>0</v>
      </c>
      <c r="J10" s="61">
        <v>0</v>
      </c>
      <c r="K10" s="61">
        <v>0</v>
      </c>
      <c r="L10" s="61">
        <v>0</v>
      </c>
      <c r="M10" s="61">
        <v>0</v>
      </c>
      <c r="N10" s="61">
        <v>0</v>
      </c>
      <c r="O10" s="61">
        <v>1.0000000000000009E-2</v>
      </c>
      <c r="P10" s="61">
        <v>0.02</v>
      </c>
      <c r="Q10" s="61">
        <v>4.0000000000000008E-2</v>
      </c>
      <c r="R10" s="61">
        <v>5.0000000000000017E-2</v>
      </c>
      <c r="S10" s="61">
        <v>6.0000000000000026E-2</v>
      </c>
      <c r="T10" s="61">
        <v>7.0000000000000034E-2</v>
      </c>
      <c r="U10" s="61">
        <v>7.9999999999999988E-2</v>
      </c>
      <c r="V10" s="61">
        <v>0.09</v>
      </c>
      <c r="W10" s="61">
        <v>0.1</v>
      </c>
      <c r="X10" s="90">
        <v>0.11000000000000001</v>
      </c>
      <c r="Y10" s="90">
        <v>0.12000000000000002</v>
      </c>
      <c r="Z10" s="90">
        <v>0.12</v>
      </c>
      <c r="AA10" s="90">
        <v>0.13</v>
      </c>
      <c r="AB10" s="64">
        <v>0.13999999999999999</v>
      </c>
    </row>
    <row r="11" spans="1:28" x14ac:dyDescent="0.2">
      <c r="A11" s="47">
        <v>10</v>
      </c>
      <c r="B11" s="50">
        <v>-0.15</v>
      </c>
      <c r="C11" s="489"/>
      <c r="D11" s="59">
        <v>0</v>
      </c>
      <c r="E11" s="61">
        <v>0</v>
      </c>
      <c r="F11" s="61">
        <v>0</v>
      </c>
      <c r="G11" s="61">
        <v>0</v>
      </c>
      <c r="H11" s="61">
        <v>0</v>
      </c>
      <c r="I11" s="61">
        <v>0</v>
      </c>
      <c r="J11" s="61">
        <v>0</v>
      </c>
      <c r="K11" s="61">
        <v>0</v>
      </c>
      <c r="L11" s="61">
        <v>1.0000000000000009E-2</v>
      </c>
      <c r="M11" s="61">
        <v>4.0000000000000008E-2</v>
      </c>
      <c r="N11" s="61">
        <v>0.06</v>
      </c>
      <c r="O11" s="61">
        <v>7.0000000000000007E-2</v>
      </c>
      <c r="P11" s="61">
        <v>0.09</v>
      </c>
      <c r="Q11" s="61">
        <v>0.1</v>
      </c>
      <c r="R11" s="61">
        <v>0.11000000000000001</v>
      </c>
      <c r="S11" s="61">
        <v>0.12000000000000002</v>
      </c>
      <c r="T11" s="61">
        <v>0.13000000000000003</v>
      </c>
      <c r="U11" s="61">
        <v>0.13999999999999999</v>
      </c>
      <c r="V11" s="61">
        <v>0.15</v>
      </c>
      <c r="W11" s="61">
        <v>0.16</v>
      </c>
      <c r="X11" s="90">
        <v>0.17</v>
      </c>
      <c r="Y11" s="90">
        <v>0.18000000000000002</v>
      </c>
      <c r="Z11" s="90">
        <v>0.19000000000000003</v>
      </c>
      <c r="AA11" s="90">
        <v>0.19999999999999998</v>
      </c>
      <c r="AB11" s="64">
        <v>0.19999999999999998</v>
      </c>
    </row>
    <row r="12" spans="1:28" x14ac:dyDescent="0.2">
      <c r="A12" s="47">
        <v>15</v>
      </c>
      <c r="B12" s="50">
        <v>-0.09</v>
      </c>
      <c r="C12" s="489"/>
      <c r="D12" s="59">
        <v>0</v>
      </c>
      <c r="E12" s="61">
        <v>0</v>
      </c>
      <c r="F12" s="61">
        <v>0</v>
      </c>
      <c r="G12" s="61">
        <v>0</v>
      </c>
      <c r="H12" s="61">
        <v>0</v>
      </c>
      <c r="I12" s="61">
        <v>0</v>
      </c>
      <c r="J12" s="61">
        <v>1.0000000000000009E-2</v>
      </c>
      <c r="K12" s="61">
        <v>4.0000000000000008E-2</v>
      </c>
      <c r="L12" s="61">
        <v>0.08</v>
      </c>
      <c r="M12" s="61">
        <v>0.1</v>
      </c>
      <c r="N12" s="61">
        <v>0.12</v>
      </c>
      <c r="O12" s="61">
        <v>0.13</v>
      </c>
      <c r="P12" s="61">
        <v>0.15</v>
      </c>
      <c r="Q12" s="61">
        <v>0.17</v>
      </c>
      <c r="R12" s="61">
        <v>0.17</v>
      </c>
      <c r="S12" s="61">
        <v>0.18000000000000002</v>
      </c>
      <c r="T12" s="61">
        <v>0.19000000000000003</v>
      </c>
      <c r="U12" s="61">
        <v>0.19999999999999998</v>
      </c>
      <c r="V12" s="61">
        <v>0.21</v>
      </c>
      <c r="W12" s="61">
        <v>0.22</v>
      </c>
      <c r="X12" s="90">
        <v>0.23</v>
      </c>
      <c r="Y12" s="90">
        <v>0.24000000000000002</v>
      </c>
      <c r="Z12" s="90">
        <v>0.25</v>
      </c>
      <c r="AA12" s="90">
        <v>0.26</v>
      </c>
      <c r="AB12" s="64">
        <v>0.26</v>
      </c>
    </row>
    <row r="13" spans="1:28" x14ac:dyDescent="0.2">
      <c r="A13" s="47">
        <v>20</v>
      </c>
      <c r="B13" s="50">
        <v>-0.03</v>
      </c>
      <c r="C13" s="489"/>
      <c r="D13" s="59">
        <v>0</v>
      </c>
      <c r="E13" s="61">
        <v>0</v>
      </c>
      <c r="F13" s="61">
        <v>0</v>
      </c>
      <c r="G13" s="61">
        <v>0</v>
      </c>
      <c r="H13" s="61">
        <v>1.0000000000000002E-2</v>
      </c>
      <c r="I13" s="61">
        <v>4.0000000000000008E-2</v>
      </c>
      <c r="J13" s="61">
        <v>0.08</v>
      </c>
      <c r="K13" s="61">
        <v>0.11</v>
      </c>
      <c r="L13" s="61">
        <v>0.14000000000000001</v>
      </c>
      <c r="M13" s="61">
        <v>0.17</v>
      </c>
      <c r="N13" s="61">
        <v>0.18</v>
      </c>
      <c r="O13" s="61">
        <v>0.2</v>
      </c>
      <c r="P13" s="61">
        <v>0.21</v>
      </c>
      <c r="Q13" s="61">
        <v>0.23</v>
      </c>
      <c r="R13" s="61">
        <v>0.24</v>
      </c>
      <c r="S13" s="61">
        <v>0.25</v>
      </c>
      <c r="T13" s="61">
        <v>0.26</v>
      </c>
      <c r="U13" s="61">
        <v>0.27</v>
      </c>
      <c r="V13" s="61">
        <v>0.28000000000000003</v>
      </c>
      <c r="W13" s="61">
        <v>0.28000000000000003</v>
      </c>
      <c r="X13" s="90">
        <v>0.29000000000000004</v>
      </c>
      <c r="Y13" s="90">
        <v>0.30000000000000004</v>
      </c>
      <c r="Z13" s="90">
        <v>0.31000000000000005</v>
      </c>
      <c r="AA13" s="90">
        <v>0.31999999999999995</v>
      </c>
      <c r="AB13" s="64">
        <v>0.31999999999999995</v>
      </c>
    </row>
    <row r="14" spans="1:28" x14ac:dyDescent="0.2">
      <c r="A14" s="47">
        <v>25</v>
      </c>
      <c r="B14" s="50">
        <v>0.01</v>
      </c>
      <c r="C14" s="489"/>
      <c r="D14" s="59">
        <v>0</v>
      </c>
      <c r="E14" s="61">
        <v>0</v>
      </c>
      <c r="F14" s="61">
        <v>0.01</v>
      </c>
      <c r="G14" s="61">
        <v>0.03</v>
      </c>
      <c r="H14" s="61">
        <v>0.05</v>
      </c>
      <c r="I14" s="61">
        <v>0.08</v>
      </c>
      <c r="J14" s="61">
        <v>0.12</v>
      </c>
      <c r="K14" s="61">
        <v>0.15</v>
      </c>
      <c r="L14" s="61">
        <v>0.18</v>
      </c>
      <c r="M14" s="61">
        <v>0.2</v>
      </c>
      <c r="N14" s="61">
        <v>0.22</v>
      </c>
      <c r="O14" s="61">
        <v>0.24</v>
      </c>
      <c r="P14" s="61">
        <v>0.25</v>
      </c>
      <c r="Q14" s="61">
        <v>0.27</v>
      </c>
      <c r="R14" s="61">
        <v>0.28000000000000003</v>
      </c>
      <c r="S14" s="61">
        <v>0.28999999999999998</v>
      </c>
      <c r="T14" s="61">
        <v>0.3</v>
      </c>
      <c r="U14" s="61">
        <v>0.31</v>
      </c>
      <c r="V14" s="61">
        <v>0.32</v>
      </c>
      <c r="W14" s="61">
        <v>0.32</v>
      </c>
      <c r="X14" s="90">
        <v>0.33</v>
      </c>
      <c r="Y14" s="90">
        <v>0.34</v>
      </c>
      <c r="Z14" s="90">
        <v>0.35000000000000003</v>
      </c>
      <c r="AA14" s="90">
        <v>0.36</v>
      </c>
      <c r="AB14" s="64">
        <v>0.36</v>
      </c>
    </row>
    <row r="15" spans="1:28" x14ac:dyDescent="0.2">
      <c r="A15" s="47">
        <v>30</v>
      </c>
      <c r="B15" s="50">
        <v>0.04</v>
      </c>
      <c r="C15" s="489"/>
      <c r="D15" s="59">
        <v>0</v>
      </c>
      <c r="E15" s="61">
        <v>0.02</v>
      </c>
      <c r="F15" s="61">
        <v>0.04</v>
      </c>
      <c r="G15" s="61">
        <v>0.06</v>
      </c>
      <c r="H15" s="61">
        <v>0.08</v>
      </c>
      <c r="I15" s="61">
        <v>0.11000000000000001</v>
      </c>
      <c r="J15" s="61">
        <v>0.14000000000000001</v>
      </c>
      <c r="K15" s="61">
        <v>0.17</v>
      </c>
      <c r="L15" s="61">
        <v>0.2</v>
      </c>
      <c r="M15" s="61">
        <v>0.23</v>
      </c>
      <c r="N15" s="61">
        <v>0.24</v>
      </c>
      <c r="O15" s="61">
        <v>0.26</v>
      </c>
      <c r="P15" s="61">
        <v>0.28000000000000003</v>
      </c>
      <c r="Q15" s="61">
        <v>0.28999999999999998</v>
      </c>
      <c r="R15" s="61">
        <v>0.3</v>
      </c>
      <c r="S15" s="61">
        <v>0.31</v>
      </c>
      <c r="T15" s="61">
        <v>0.32</v>
      </c>
      <c r="U15" s="61">
        <v>0.33</v>
      </c>
      <c r="V15" s="61">
        <v>0.34</v>
      </c>
      <c r="W15" s="61">
        <v>0.35</v>
      </c>
      <c r="X15" s="90">
        <v>0.36</v>
      </c>
      <c r="Y15" s="90">
        <v>0.37</v>
      </c>
      <c r="Z15" s="90">
        <v>0.38</v>
      </c>
      <c r="AA15" s="90">
        <v>0.38999999999999996</v>
      </c>
      <c r="AB15" s="64">
        <v>0.38999999999999996</v>
      </c>
    </row>
    <row r="16" spans="1:28" x14ac:dyDescent="0.2">
      <c r="A16" s="47">
        <v>35</v>
      </c>
      <c r="B16" s="50">
        <v>0.06</v>
      </c>
      <c r="C16" s="489"/>
      <c r="D16" s="59">
        <v>1.9999999999999997E-2</v>
      </c>
      <c r="E16" s="61">
        <v>3.9999999999999994E-2</v>
      </c>
      <c r="F16" s="61">
        <v>0.06</v>
      </c>
      <c r="G16" s="61">
        <v>0.08</v>
      </c>
      <c r="H16" s="61">
        <v>0.1</v>
      </c>
      <c r="I16" s="61">
        <v>0.13</v>
      </c>
      <c r="J16" s="61">
        <v>0.16</v>
      </c>
      <c r="K16" s="61">
        <v>0.19</v>
      </c>
      <c r="L16" s="61">
        <v>0.23</v>
      </c>
      <c r="M16" s="61">
        <v>0.25</v>
      </c>
      <c r="N16" s="61">
        <v>0.27</v>
      </c>
      <c r="O16" s="61">
        <v>0.28000000000000003</v>
      </c>
      <c r="P16" s="61">
        <v>0.3</v>
      </c>
      <c r="Q16" s="61">
        <v>0.32</v>
      </c>
      <c r="R16" s="61">
        <v>0.33</v>
      </c>
      <c r="S16" s="61">
        <v>0.34</v>
      </c>
      <c r="T16" s="61">
        <v>0.34</v>
      </c>
      <c r="U16" s="61">
        <v>0.35</v>
      </c>
      <c r="V16" s="61">
        <v>0.36</v>
      </c>
      <c r="W16" s="61">
        <v>0.37</v>
      </c>
      <c r="X16" s="90">
        <v>0.38</v>
      </c>
      <c r="Y16" s="90">
        <v>0.39</v>
      </c>
      <c r="Z16" s="90">
        <v>0.4</v>
      </c>
      <c r="AA16" s="90">
        <v>0.4</v>
      </c>
      <c r="AB16" s="64">
        <v>0.4</v>
      </c>
    </row>
    <row r="17" spans="1:28" s="9" customFormat="1" ht="12.75" customHeight="1" x14ac:dyDescent="0.2">
      <c r="A17" s="92">
        <v>40</v>
      </c>
      <c r="B17" s="88">
        <v>0.09</v>
      </c>
      <c r="C17" s="489"/>
      <c r="D17" s="93">
        <v>4.9999999999999996E-2</v>
      </c>
      <c r="E17" s="94">
        <v>6.9999999999999993E-2</v>
      </c>
      <c r="F17" s="94">
        <v>0.09</v>
      </c>
      <c r="G17" s="94">
        <v>0.11</v>
      </c>
      <c r="H17" s="94">
        <v>0.12</v>
      </c>
      <c r="I17" s="94">
        <v>0.16</v>
      </c>
      <c r="J17" s="94">
        <v>0.19</v>
      </c>
      <c r="K17" s="94">
        <v>0.22</v>
      </c>
      <c r="L17" s="94">
        <v>0.25</v>
      </c>
      <c r="M17" s="94">
        <v>0.28000000000000003</v>
      </c>
      <c r="N17" s="94">
        <v>0.3</v>
      </c>
      <c r="O17" s="94">
        <v>0.31</v>
      </c>
      <c r="P17" s="94">
        <v>0.32999999999999996</v>
      </c>
      <c r="Q17" s="94">
        <v>0.33999999999999997</v>
      </c>
      <c r="R17" s="94">
        <v>0.35</v>
      </c>
      <c r="S17" s="94">
        <v>0.36</v>
      </c>
      <c r="T17" s="94">
        <v>0.37</v>
      </c>
      <c r="U17" s="94">
        <v>0.38</v>
      </c>
      <c r="V17" s="94">
        <v>0.39</v>
      </c>
      <c r="W17" s="94">
        <v>0.4</v>
      </c>
      <c r="X17" s="95">
        <v>0.4</v>
      </c>
      <c r="Y17" s="95">
        <v>0.4</v>
      </c>
      <c r="Z17" s="95">
        <v>0.4</v>
      </c>
      <c r="AA17" s="95">
        <v>0.4</v>
      </c>
      <c r="AB17" s="96">
        <v>0.4</v>
      </c>
    </row>
    <row r="18" spans="1:28" x14ac:dyDescent="0.2">
      <c r="A18" s="47">
        <v>45</v>
      </c>
      <c r="B18" s="50">
        <v>0.11</v>
      </c>
      <c r="C18" s="489"/>
      <c r="D18" s="59">
        <v>7.0000000000000007E-2</v>
      </c>
      <c r="E18" s="61">
        <v>0.09</v>
      </c>
      <c r="F18" s="61">
        <v>0.1</v>
      </c>
      <c r="G18" s="61">
        <v>0.12</v>
      </c>
      <c r="H18" s="61">
        <v>0.14000000000000001</v>
      </c>
      <c r="I18" s="61">
        <v>0.17</v>
      </c>
      <c r="J18" s="61">
        <v>0.21000000000000002</v>
      </c>
      <c r="K18" s="61">
        <v>0.24</v>
      </c>
      <c r="L18" s="61">
        <v>0.27</v>
      </c>
      <c r="M18" s="61">
        <v>0.3</v>
      </c>
      <c r="N18" s="61">
        <v>0.31</v>
      </c>
      <c r="O18" s="61">
        <v>0.33</v>
      </c>
      <c r="P18" s="61">
        <v>0.34</v>
      </c>
      <c r="Q18" s="61">
        <v>0.36</v>
      </c>
      <c r="R18" s="61">
        <v>0.37</v>
      </c>
      <c r="S18" s="61">
        <v>0.38</v>
      </c>
      <c r="T18" s="61">
        <v>0.39</v>
      </c>
      <c r="U18" s="61">
        <v>0.39999999999999997</v>
      </c>
      <c r="V18" s="61">
        <v>0.4</v>
      </c>
      <c r="W18" s="61">
        <v>0.4</v>
      </c>
      <c r="X18" s="90">
        <v>0.4</v>
      </c>
      <c r="Y18" s="90">
        <v>0.4</v>
      </c>
      <c r="Z18" s="90">
        <v>0.4</v>
      </c>
      <c r="AA18" s="90">
        <v>0.4</v>
      </c>
      <c r="AB18" s="64">
        <v>0.4</v>
      </c>
    </row>
    <row r="19" spans="1:28" x14ac:dyDescent="0.2">
      <c r="A19" s="47">
        <v>50</v>
      </c>
      <c r="B19" s="50">
        <v>0.12</v>
      </c>
      <c r="C19" s="489"/>
      <c r="D19" s="59">
        <v>7.9999999999999988E-2</v>
      </c>
      <c r="E19" s="61">
        <v>9.9999999999999992E-2</v>
      </c>
      <c r="F19" s="61">
        <v>0.12</v>
      </c>
      <c r="G19" s="61">
        <v>0.13999999999999999</v>
      </c>
      <c r="H19" s="61">
        <v>0.16</v>
      </c>
      <c r="I19" s="61">
        <v>0.19</v>
      </c>
      <c r="J19" s="61">
        <v>0.22</v>
      </c>
      <c r="K19" s="61">
        <v>0.25</v>
      </c>
      <c r="L19" s="61">
        <v>0.28999999999999998</v>
      </c>
      <c r="M19" s="61">
        <v>0.31</v>
      </c>
      <c r="N19" s="61">
        <v>0.32999999999999996</v>
      </c>
      <c r="O19" s="61">
        <v>0.33999999999999997</v>
      </c>
      <c r="P19" s="61">
        <v>0.36</v>
      </c>
      <c r="Q19" s="61">
        <v>0.38</v>
      </c>
      <c r="R19" s="61">
        <v>0.38</v>
      </c>
      <c r="S19" s="61">
        <v>0.39</v>
      </c>
      <c r="T19" s="61">
        <v>0.4</v>
      </c>
      <c r="U19" s="61">
        <v>0.4</v>
      </c>
      <c r="V19" s="61">
        <v>0.4</v>
      </c>
      <c r="W19" s="61">
        <v>0.4</v>
      </c>
      <c r="X19" s="90">
        <v>0.4</v>
      </c>
      <c r="Y19" s="90">
        <v>0.4</v>
      </c>
      <c r="Z19" s="90">
        <v>0.4</v>
      </c>
      <c r="AA19" s="90">
        <v>0.4</v>
      </c>
      <c r="AB19" s="64">
        <v>0.4</v>
      </c>
    </row>
    <row r="20" spans="1:28" x14ac:dyDescent="0.2">
      <c r="A20" s="47">
        <v>55</v>
      </c>
      <c r="B20" s="50">
        <v>0.14000000000000001</v>
      </c>
      <c r="C20" s="489"/>
      <c r="D20" s="59">
        <v>0.1</v>
      </c>
      <c r="E20" s="61">
        <v>0.12000000000000001</v>
      </c>
      <c r="F20" s="61">
        <v>0.14000000000000001</v>
      </c>
      <c r="G20" s="61">
        <v>0.16</v>
      </c>
      <c r="H20" s="61">
        <v>0.18000000000000002</v>
      </c>
      <c r="I20" s="61">
        <v>0.21000000000000002</v>
      </c>
      <c r="J20" s="61">
        <v>0.24000000000000002</v>
      </c>
      <c r="K20" s="61">
        <v>0.27</v>
      </c>
      <c r="L20" s="61">
        <v>0.30000000000000004</v>
      </c>
      <c r="M20" s="61">
        <v>0.33</v>
      </c>
      <c r="N20" s="61">
        <v>0.35</v>
      </c>
      <c r="O20" s="61">
        <v>0.36</v>
      </c>
      <c r="P20" s="61">
        <v>0.38</v>
      </c>
      <c r="Q20" s="61">
        <v>0.39</v>
      </c>
      <c r="R20" s="61">
        <v>0.4</v>
      </c>
      <c r="S20" s="61">
        <v>0.4</v>
      </c>
      <c r="T20" s="61">
        <v>0.4</v>
      </c>
      <c r="U20" s="61">
        <v>0.4</v>
      </c>
      <c r="V20" s="61">
        <v>0.4</v>
      </c>
      <c r="W20" s="61">
        <v>0.4</v>
      </c>
      <c r="X20" s="90">
        <v>0.4</v>
      </c>
      <c r="Y20" s="90">
        <v>0.4</v>
      </c>
      <c r="Z20" s="90">
        <v>0.4</v>
      </c>
      <c r="AA20" s="90">
        <v>0.4</v>
      </c>
      <c r="AB20" s="64">
        <v>0.4</v>
      </c>
    </row>
    <row r="21" spans="1:28" x14ac:dyDescent="0.2">
      <c r="A21" s="47">
        <v>60</v>
      </c>
      <c r="B21" s="50">
        <v>0.16</v>
      </c>
      <c r="C21" s="489"/>
      <c r="D21" s="59">
        <v>0.12</v>
      </c>
      <c r="E21" s="61">
        <v>0.14000000000000001</v>
      </c>
      <c r="F21" s="61">
        <v>0.16</v>
      </c>
      <c r="G21" s="61">
        <v>0.17</v>
      </c>
      <c r="H21" s="61">
        <v>0.19</v>
      </c>
      <c r="I21" s="61">
        <v>0.23</v>
      </c>
      <c r="J21" s="61">
        <v>0.26</v>
      </c>
      <c r="K21" s="61">
        <v>0.29000000000000004</v>
      </c>
      <c r="L21" s="61">
        <v>0.32</v>
      </c>
      <c r="M21" s="61">
        <v>0.35</v>
      </c>
      <c r="N21" s="61">
        <v>0.36</v>
      </c>
      <c r="O21" s="61">
        <v>0.38</v>
      </c>
      <c r="P21" s="61">
        <v>0.39</v>
      </c>
      <c r="Q21" s="61">
        <v>0.4</v>
      </c>
      <c r="R21" s="61">
        <v>0.4</v>
      </c>
      <c r="S21" s="61">
        <v>0.4</v>
      </c>
      <c r="T21" s="61">
        <v>0.4</v>
      </c>
      <c r="U21" s="61">
        <v>0.4</v>
      </c>
      <c r="V21" s="61">
        <v>0.4</v>
      </c>
      <c r="W21" s="61">
        <v>0.4</v>
      </c>
      <c r="X21" s="90">
        <v>0.4</v>
      </c>
      <c r="Y21" s="90">
        <v>0.4</v>
      </c>
      <c r="Z21" s="90">
        <v>0.4</v>
      </c>
      <c r="AA21" s="90">
        <v>0.4</v>
      </c>
      <c r="AB21" s="64">
        <v>0.4</v>
      </c>
    </row>
    <row r="22" spans="1:28" x14ac:dyDescent="0.2">
      <c r="A22" s="47">
        <v>65</v>
      </c>
      <c r="B22" s="50">
        <v>0.17</v>
      </c>
      <c r="C22" s="489"/>
      <c r="D22" s="59">
        <v>0.13</v>
      </c>
      <c r="E22" s="61">
        <v>0.15000000000000002</v>
      </c>
      <c r="F22" s="61">
        <v>0.17</v>
      </c>
      <c r="G22" s="61">
        <v>0.19</v>
      </c>
      <c r="H22" s="61">
        <v>0.21000000000000002</v>
      </c>
      <c r="I22" s="61">
        <v>0.24000000000000002</v>
      </c>
      <c r="J22" s="61">
        <v>0.27</v>
      </c>
      <c r="K22" s="61">
        <v>0.30000000000000004</v>
      </c>
      <c r="L22" s="61">
        <v>0.33</v>
      </c>
      <c r="M22" s="61">
        <v>0.36</v>
      </c>
      <c r="N22" s="61">
        <v>0.37</v>
      </c>
      <c r="O22" s="61">
        <v>0.39</v>
      </c>
      <c r="P22" s="61">
        <v>0.4</v>
      </c>
      <c r="Q22" s="61">
        <v>0.4</v>
      </c>
      <c r="R22" s="61">
        <v>0.4</v>
      </c>
      <c r="S22" s="61">
        <v>0.4</v>
      </c>
      <c r="T22" s="61">
        <v>0.4</v>
      </c>
      <c r="U22" s="61">
        <v>0.4</v>
      </c>
      <c r="V22" s="61">
        <v>0.4</v>
      </c>
      <c r="W22" s="61">
        <v>0.4</v>
      </c>
      <c r="X22" s="90">
        <v>0.4</v>
      </c>
      <c r="Y22" s="90">
        <v>0.4</v>
      </c>
      <c r="Z22" s="90">
        <v>0.4</v>
      </c>
      <c r="AA22" s="90">
        <v>0.4</v>
      </c>
      <c r="AB22" s="64">
        <v>0.4</v>
      </c>
    </row>
    <row r="23" spans="1:28" x14ac:dyDescent="0.2">
      <c r="A23" s="47">
        <v>70</v>
      </c>
      <c r="B23" s="50">
        <v>0.18</v>
      </c>
      <c r="C23" s="489"/>
      <c r="D23" s="59">
        <v>0.13999999999999999</v>
      </c>
      <c r="E23" s="61">
        <v>0.16</v>
      </c>
      <c r="F23" s="61">
        <v>0.18</v>
      </c>
      <c r="G23" s="61">
        <v>0.19</v>
      </c>
      <c r="H23" s="61">
        <v>0.21</v>
      </c>
      <c r="I23" s="61">
        <v>0.25</v>
      </c>
      <c r="J23" s="61">
        <v>0.28000000000000003</v>
      </c>
      <c r="K23" s="61">
        <v>0.31</v>
      </c>
      <c r="L23" s="61">
        <v>0.33999999999999997</v>
      </c>
      <c r="M23" s="61">
        <v>0.37</v>
      </c>
      <c r="N23" s="61">
        <v>0.38</v>
      </c>
      <c r="O23" s="61">
        <v>0.4</v>
      </c>
      <c r="P23" s="61">
        <v>0.4</v>
      </c>
      <c r="Q23" s="61">
        <v>0.4</v>
      </c>
      <c r="R23" s="61">
        <v>0.4</v>
      </c>
      <c r="S23" s="61">
        <v>0.4</v>
      </c>
      <c r="T23" s="61">
        <v>0.4</v>
      </c>
      <c r="U23" s="61">
        <v>0.4</v>
      </c>
      <c r="V23" s="61">
        <v>0.4</v>
      </c>
      <c r="W23" s="61">
        <v>0.4</v>
      </c>
      <c r="X23" s="90">
        <v>0.4</v>
      </c>
      <c r="Y23" s="90">
        <v>0.4</v>
      </c>
      <c r="Z23" s="90">
        <v>0.4</v>
      </c>
      <c r="AA23" s="90">
        <v>0.4</v>
      </c>
      <c r="AB23" s="64">
        <v>0.4</v>
      </c>
    </row>
    <row r="24" spans="1:28" x14ac:dyDescent="0.2">
      <c r="A24" s="47">
        <v>75</v>
      </c>
      <c r="B24" s="50">
        <v>0.18</v>
      </c>
      <c r="C24" s="489"/>
      <c r="D24" s="59">
        <v>0.13999999999999999</v>
      </c>
      <c r="E24" s="61">
        <v>0.16</v>
      </c>
      <c r="F24" s="61">
        <v>0.18</v>
      </c>
      <c r="G24" s="61">
        <v>0.19999999999999998</v>
      </c>
      <c r="H24" s="61">
        <v>0.22</v>
      </c>
      <c r="I24" s="61">
        <v>0.25</v>
      </c>
      <c r="J24" s="61">
        <v>0.28000000000000003</v>
      </c>
      <c r="K24" s="61">
        <v>0.32</v>
      </c>
      <c r="L24" s="61">
        <v>0.35</v>
      </c>
      <c r="M24" s="61">
        <v>0.37</v>
      </c>
      <c r="N24" s="61">
        <v>0.39</v>
      </c>
      <c r="O24" s="61">
        <v>0.4</v>
      </c>
      <c r="P24" s="61">
        <v>0.4</v>
      </c>
      <c r="Q24" s="61">
        <v>0.4</v>
      </c>
      <c r="R24" s="61">
        <v>0.4</v>
      </c>
      <c r="S24" s="61">
        <v>0.4</v>
      </c>
      <c r="T24" s="61">
        <v>0.4</v>
      </c>
      <c r="U24" s="61">
        <v>0.4</v>
      </c>
      <c r="V24" s="61">
        <v>0.4</v>
      </c>
      <c r="W24" s="61">
        <v>0.4</v>
      </c>
      <c r="X24" s="90">
        <v>0.4</v>
      </c>
      <c r="Y24" s="90">
        <v>0.4</v>
      </c>
      <c r="Z24" s="90">
        <v>0.4</v>
      </c>
      <c r="AA24" s="90">
        <v>0.4</v>
      </c>
      <c r="AB24" s="64">
        <v>0.4</v>
      </c>
    </row>
    <row r="25" spans="1:28" x14ac:dyDescent="0.2">
      <c r="A25" s="47">
        <v>80</v>
      </c>
      <c r="B25" s="50">
        <v>0.19</v>
      </c>
      <c r="C25" s="489"/>
      <c r="D25" s="59">
        <v>0.15</v>
      </c>
      <c r="E25" s="61">
        <v>0.17</v>
      </c>
      <c r="F25" s="61">
        <v>0.19</v>
      </c>
      <c r="G25" s="61">
        <v>0.21</v>
      </c>
      <c r="H25" s="61">
        <v>0.23</v>
      </c>
      <c r="I25" s="61">
        <v>0.26</v>
      </c>
      <c r="J25" s="61">
        <v>0.29000000000000004</v>
      </c>
      <c r="K25" s="61">
        <v>0.32</v>
      </c>
      <c r="L25" s="61">
        <v>0.35</v>
      </c>
      <c r="M25" s="61">
        <v>0.38</v>
      </c>
      <c r="N25" s="61">
        <v>0.4</v>
      </c>
      <c r="O25" s="61">
        <v>0.4</v>
      </c>
      <c r="P25" s="61">
        <v>0.4</v>
      </c>
      <c r="Q25" s="61">
        <v>0.4</v>
      </c>
      <c r="R25" s="61">
        <v>0.4</v>
      </c>
      <c r="S25" s="61">
        <v>0.4</v>
      </c>
      <c r="T25" s="61">
        <v>0.4</v>
      </c>
      <c r="U25" s="61">
        <v>0.4</v>
      </c>
      <c r="V25" s="61">
        <v>0.4</v>
      </c>
      <c r="W25" s="61">
        <v>0.4</v>
      </c>
      <c r="X25" s="90">
        <v>0.4</v>
      </c>
      <c r="Y25" s="90">
        <v>0.4</v>
      </c>
      <c r="Z25" s="90">
        <v>0.4</v>
      </c>
      <c r="AA25" s="90">
        <v>0.4</v>
      </c>
      <c r="AB25" s="64">
        <v>0.4</v>
      </c>
    </row>
    <row r="26" spans="1:28" s="9" customFormat="1" x14ac:dyDescent="0.2">
      <c r="A26" s="92">
        <v>85</v>
      </c>
      <c r="B26" s="88">
        <v>0.2</v>
      </c>
      <c r="C26" s="489"/>
      <c r="D26" s="93">
        <v>0.16</v>
      </c>
      <c r="E26" s="94">
        <v>0.18000000000000002</v>
      </c>
      <c r="F26" s="94">
        <v>0.2</v>
      </c>
      <c r="G26" s="94">
        <v>0.22</v>
      </c>
      <c r="H26" s="94">
        <v>0.24000000000000002</v>
      </c>
      <c r="I26" s="94">
        <v>0.27</v>
      </c>
      <c r="J26" s="94">
        <v>0.30000000000000004</v>
      </c>
      <c r="K26" s="94">
        <v>0.33</v>
      </c>
      <c r="L26" s="94">
        <v>0.36</v>
      </c>
      <c r="M26" s="94">
        <v>0.39</v>
      </c>
      <c r="N26" s="94">
        <v>0.4</v>
      </c>
      <c r="O26" s="94">
        <v>0.4</v>
      </c>
      <c r="P26" s="94">
        <v>0.4</v>
      </c>
      <c r="Q26" s="94">
        <v>0.4</v>
      </c>
      <c r="R26" s="94">
        <v>0.4</v>
      </c>
      <c r="S26" s="94">
        <v>0.4</v>
      </c>
      <c r="T26" s="94">
        <v>0.4</v>
      </c>
      <c r="U26" s="94">
        <v>0.4</v>
      </c>
      <c r="V26" s="94">
        <v>0.4</v>
      </c>
      <c r="W26" s="94">
        <v>0.4</v>
      </c>
      <c r="X26" s="95">
        <v>0.4</v>
      </c>
      <c r="Y26" s="95">
        <v>0.4</v>
      </c>
      <c r="Z26" s="95">
        <v>0.4</v>
      </c>
      <c r="AA26" s="95">
        <v>0.4</v>
      </c>
      <c r="AB26" s="96">
        <v>0.4</v>
      </c>
    </row>
    <row r="27" spans="1:28" s="9" customFormat="1" x14ac:dyDescent="0.2">
      <c r="A27" s="92">
        <v>90</v>
      </c>
      <c r="B27" s="88">
        <v>0.2</v>
      </c>
      <c r="C27" s="489"/>
      <c r="D27" s="93">
        <v>0.17</v>
      </c>
      <c r="E27" s="94">
        <v>0.19</v>
      </c>
      <c r="F27" s="94">
        <v>0.2</v>
      </c>
      <c r="G27" s="94">
        <v>0.22</v>
      </c>
      <c r="H27" s="94">
        <v>0.24000000000000002</v>
      </c>
      <c r="I27" s="94">
        <v>0.27</v>
      </c>
      <c r="J27" s="94">
        <v>0.31</v>
      </c>
      <c r="K27" s="94">
        <v>0.34</v>
      </c>
      <c r="L27" s="94">
        <v>0.37</v>
      </c>
      <c r="M27" s="94">
        <v>0.4</v>
      </c>
      <c r="N27" s="94">
        <v>0.4</v>
      </c>
      <c r="O27" s="94">
        <v>0.4</v>
      </c>
      <c r="P27" s="94">
        <v>0.4</v>
      </c>
      <c r="Q27" s="94">
        <v>0.4</v>
      </c>
      <c r="R27" s="94">
        <v>0.4</v>
      </c>
      <c r="S27" s="94">
        <v>0.4</v>
      </c>
      <c r="T27" s="94">
        <v>0.4</v>
      </c>
      <c r="U27" s="94">
        <v>0.4</v>
      </c>
      <c r="V27" s="94">
        <v>0.4</v>
      </c>
      <c r="W27" s="94">
        <v>0.4</v>
      </c>
      <c r="X27" s="95">
        <v>0.4</v>
      </c>
      <c r="Y27" s="95">
        <v>0.4</v>
      </c>
      <c r="Z27" s="95">
        <v>0.4</v>
      </c>
      <c r="AA27" s="95">
        <v>0.4</v>
      </c>
      <c r="AB27" s="96">
        <v>0.4</v>
      </c>
    </row>
    <row r="28" spans="1:28" x14ac:dyDescent="0.2">
      <c r="A28" s="47">
        <v>95</v>
      </c>
      <c r="B28" s="50">
        <v>0.21</v>
      </c>
      <c r="C28" s="489"/>
      <c r="D28" s="59">
        <v>0.16999999999999998</v>
      </c>
      <c r="E28" s="61">
        <v>0.19</v>
      </c>
      <c r="F28" s="61">
        <v>0.21</v>
      </c>
      <c r="G28" s="61">
        <v>0.22999999999999998</v>
      </c>
      <c r="H28" s="61">
        <v>0.25</v>
      </c>
      <c r="I28" s="61">
        <v>0.28000000000000003</v>
      </c>
      <c r="J28" s="61">
        <v>0.31</v>
      </c>
      <c r="K28" s="61">
        <v>0.33999999999999997</v>
      </c>
      <c r="L28" s="61">
        <v>0.38</v>
      </c>
      <c r="M28" s="61">
        <v>0.4</v>
      </c>
      <c r="N28" s="61">
        <v>0.4</v>
      </c>
      <c r="O28" s="61">
        <v>0.4</v>
      </c>
      <c r="P28" s="61">
        <v>0.4</v>
      </c>
      <c r="Q28" s="61">
        <v>0.4</v>
      </c>
      <c r="R28" s="61">
        <v>0.4</v>
      </c>
      <c r="S28" s="61">
        <v>0.4</v>
      </c>
      <c r="T28" s="61">
        <v>0.4</v>
      </c>
      <c r="U28" s="61">
        <v>0.4</v>
      </c>
      <c r="V28" s="61">
        <v>0.4</v>
      </c>
      <c r="W28" s="61">
        <v>0.4</v>
      </c>
      <c r="X28" s="90">
        <v>0.4</v>
      </c>
      <c r="Y28" s="90">
        <v>0.4</v>
      </c>
      <c r="Z28" s="90">
        <v>0.4</v>
      </c>
      <c r="AA28" s="90">
        <v>0.4</v>
      </c>
      <c r="AB28" s="64">
        <v>0.4</v>
      </c>
    </row>
    <row r="29" spans="1:28" x14ac:dyDescent="0.2">
      <c r="A29" s="47">
        <v>100</v>
      </c>
      <c r="B29" s="50">
        <v>0.22</v>
      </c>
      <c r="C29" s="489"/>
      <c r="D29" s="59">
        <v>0.18</v>
      </c>
      <c r="E29" s="61">
        <v>0.2</v>
      </c>
      <c r="F29" s="61">
        <v>0.22</v>
      </c>
      <c r="G29" s="61">
        <v>0.24</v>
      </c>
      <c r="H29" s="61">
        <v>0.26</v>
      </c>
      <c r="I29" s="61">
        <v>0.29000000000000004</v>
      </c>
      <c r="J29" s="61">
        <v>0.32</v>
      </c>
      <c r="K29" s="61">
        <v>0.35</v>
      </c>
      <c r="L29" s="61">
        <v>0.38</v>
      </c>
      <c r="M29" s="61">
        <v>0.4</v>
      </c>
      <c r="N29" s="61">
        <v>0.4</v>
      </c>
      <c r="O29" s="61">
        <v>0.4</v>
      </c>
      <c r="P29" s="61">
        <v>0.4</v>
      </c>
      <c r="Q29" s="61">
        <v>0.4</v>
      </c>
      <c r="R29" s="61">
        <v>0.4</v>
      </c>
      <c r="S29" s="61">
        <v>0.4</v>
      </c>
      <c r="T29" s="61">
        <v>0.4</v>
      </c>
      <c r="U29" s="61">
        <v>0.4</v>
      </c>
      <c r="V29" s="61">
        <v>0.4</v>
      </c>
      <c r="W29" s="61">
        <v>0.4</v>
      </c>
      <c r="X29" s="90">
        <v>0.4</v>
      </c>
      <c r="Y29" s="90">
        <v>0.4</v>
      </c>
      <c r="Z29" s="90">
        <v>0.4</v>
      </c>
      <c r="AA29" s="90">
        <v>0.4</v>
      </c>
      <c r="AB29" s="64">
        <v>0.4</v>
      </c>
    </row>
    <row r="30" spans="1:28" x14ac:dyDescent="0.2">
      <c r="A30" s="47">
        <v>105</v>
      </c>
      <c r="B30" s="50">
        <v>0.23</v>
      </c>
      <c r="C30" s="489"/>
      <c r="D30" s="59">
        <v>0.19</v>
      </c>
      <c r="E30" s="61">
        <v>0.21000000000000002</v>
      </c>
      <c r="F30" s="61">
        <v>0.23</v>
      </c>
      <c r="G30" s="61">
        <v>0.24</v>
      </c>
      <c r="H30" s="61">
        <v>0.26</v>
      </c>
      <c r="I30" s="61">
        <v>0.30000000000000004</v>
      </c>
      <c r="J30" s="61">
        <v>0.33</v>
      </c>
      <c r="K30" s="61">
        <v>0.36</v>
      </c>
      <c r="L30" s="61">
        <v>0.39</v>
      </c>
      <c r="M30" s="61">
        <v>0.4</v>
      </c>
      <c r="N30" s="61">
        <v>0.4</v>
      </c>
      <c r="O30" s="61">
        <v>0.4</v>
      </c>
      <c r="P30" s="61">
        <v>0.4</v>
      </c>
      <c r="Q30" s="61">
        <v>0.4</v>
      </c>
      <c r="R30" s="61">
        <v>0.4</v>
      </c>
      <c r="S30" s="61">
        <v>0.4</v>
      </c>
      <c r="T30" s="61">
        <v>0.4</v>
      </c>
      <c r="U30" s="61">
        <v>0.4</v>
      </c>
      <c r="V30" s="61">
        <v>0.4</v>
      </c>
      <c r="W30" s="61">
        <v>0.4</v>
      </c>
      <c r="X30" s="90">
        <v>0.4</v>
      </c>
      <c r="Y30" s="90">
        <v>0.4</v>
      </c>
      <c r="Z30" s="90">
        <v>0.4</v>
      </c>
      <c r="AA30" s="90">
        <v>0.4</v>
      </c>
      <c r="AB30" s="64">
        <v>0.4</v>
      </c>
    </row>
    <row r="31" spans="1:28" x14ac:dyDescent="0.2">
      <c r="A31" s="47">
        <v>110</v>
      </c>
      <c r="B31" s="50">
        <v>0.23</v>
      </c>
      <c r="C31" s="489"/>
      <c r="D31" s="59">
        <v>0.2</v>
      </c>
      <c r="E31" s="61">
        <v>0.21000000000000002</v>
      </c>
      <c r="F31" s="61">
        <v>0.23</v>
      </c>
      <c r="G31" s="61">
        <v>0.25</v>
      </c>
      <c r="H31" s="61">
        <v>0.27</v>
      </c>
      <c r="I31" s="61">
        <v>0.30000000000000004</v>
      </c>
      <c r="J31" s="61">
        <v>0.33</v>
      </c>
      <c r="K31" s="61">
        <v>0.37</v>
      </c>
      <c r="L31" s="61">
        <v>0.4</v>
      </c>
      <c r="M31" s="61">
        <v>0.4</v>
      </c>
      <c r="N31" s="61">
        <v>0.4</v>
      </c>
      <c r="O31" s="61">
        <v>0.4</v>
      </c>
      <c r="P31" s="61">
        <v>0.4</v>
      </c>
      <c r="Q31" s="61">
        <v>0.4</v>
      </c>
      <c r="R31" s="61">
        <v>0.4</v>
      </c>
      <c r="S31" s="61">
        <v>0.4</v>
      </c>
      <c r="T31" s="61">
        <v>0.4</v>
      </c>
      <c r="U31" s="61">
        <v>0.4</v>
      </c>
      <c r="V31" s="61">
        <v>0.4</v>
      </c>
      <c r="W31" s="61">
        <v>0.4</v>
      </c>
      <c r="X31" s="90">
        <v>0.4</v>
      </c>
      <c r="Y31" s="90">
        <v>0.4</v>
      </c>
      <c r="Z31" s="90">
        <v>0.4</v>
      </c>
      <c r="AA31" s="90">
        <v>0.4</v>
      </c>
      <c r="AB31" s="64">
        <v>0.4</v>
      </c>
    </row>
    <row r="32" spans="1:28" x14ac:dyDescent="0.2">
      <c r="A32" s="47">
        <v>115</v>
      </c>
      <c r="B32" s="50">
        <v>0.24</v>
      </c>
      <c r="C32" s="489"/>
      <c r="D32" s="59">
        <v>0.19999999999999998</v>
      </c>
      <c r="E32" s="61">
        <v>0.22</v>
      </c>
      <c r="F32" s="61">
        <v>0.24</v>
      </c>
      <c r="G32" s="61">
        <v>0.26</v>
      </c>
      <c r="H32" s="61">
        <v>0.27999999999999997</v>
      </c>
      <c r="I32" s="61">
        <v>0.31</v>
      </c>
      <c r="J32" s="61">
        <v>0.33999999999999997</v>
      </c>
      <c r="K32" s="61">
        <v>0.37</v>
      </c>
      <c r="L32" s="61">
        <v>0.4</v>
      </c>
      <c r="M32" s="61">
        <v>0.4</v>
      </c>
      <c r="N32" s="61">
        <v>0.4</v>
      </c>
      <c r="O32" s="61">
        <v>0.4</v>
      </c>
      <c r="P32" s="61">
        <v>0.4</v>
      </c>
      <c r="Q32" s="61">
        <v>0.4</v>
      </c>
      <c r="R32" s="61">
        <v>0.4</v>
      </c>
      <c r="S32" s="61">
        <v>0.4</v>
      </c>
      <c r="T32" s="61">
        <v>0.4</v>
      </c>
      <c r="U32" s="61">
        <v>0.4</v>
      </c>
      <c r="V32" s="61">
        <v>0.4</v>
      </c>
      <c r="W32" s="61">
        <v>0.4</v>
      </c>
      <c r="X32" s="90">
        <v>0.4</v>
      </c>
      <c r="Y32" s="90">
        <v>0.4</v>
      </c>
      <c r="Z32" s="90">
        <v>0.4</v>
      </c>
      <c r="AA32" s="90">
        <v>0.4</v>
      </c>
      <c r="AB32" s="64">
        <v>0.4</v>
      </c>
    </row>
    <row r="33" spans="1:28" x14ac:dyDescent="0.2">
      <c r="A33" s="47">
        <v>120</v>
      </c>
      <c r="B33" s="50">
        <v>0.25</v>
      </c>
      <c r="C33" s="489"/>
      <c r="D33" s="59">
        <v>0.21</v>
      </c>
      <c r="E33" s="61">
        <v>0.23</v>
      </c>
      <c r="F33" s="61">
        <v>0.25</v>
      </c>
      <c r="G33" s="61">
        <v>0.27</v>
      </c>
      <c r="H33" s="61">
        <v>0.28999999999999998</v>
      </c>
      <c r="I33" s="61">
        <v>0.32</v>
      </c>
      <c r="J33" s="61">
        <v>0.35</v>
      </c>
      <c r="K33" s="61">
        <v>0.38</v>
      </c>
      <c r="L33" s="61">
        <v>0.4</v>
      </c>
      <c r="M33" s="61">
        <v>0.4</v>
      </c>
      <c r="N33" s="61">
        <v>0.4</v>
      </c>
      <c r="O33" s="61">
        <v>0.4</v>
      </c>
      <c r="P33" s="61">
        <v>0.4</v>
      </c>
      <c r="Q33" s="61">
        <v>0.4</v>
      </c>
      <c r="R33" s="61">
        <v>0.4</v>
      </c>
      <c r="S33" s="61">
        <v>0.4</v>
      </c>
      <c r="T33" s="61">
        <v>0.4</v>
      </c>
      <c r="U33" s="61">
        <v>0.4</v>
      </c>
      <c r="V33" s="61">
        <v>0.4</v>
      </c>
      <c r="W33" s="61">
        <v>0.4</v>
      </c>
      <c r="X33" s="90">
        <v>0.4</v>
      </c>
      <c r="Y33" s="90">
        <v>0.4</v>
      </c>
      <c r="Z33" s="90">
        <v>0.4</v>
      </c>
      <c r="AA33" s="90">
        <v>0.4</v>
      </c>
      <c r="AB33" s="64">
        <v>0.4</v>
      </c>
    </row>
    <row r="34" spans="1:28" x14ac:dyDescent="0.2">
      <c r="A34" s="47">
        <v>125</v>
      </c>
      <c r="B34" s="50">
        <v>0.26</v>
      </c>
      <c r="C34" s="489"/>
      <c r="D34" s="59">
        <v>0.22</v>
      </c>
      <c r="E34" s="61">
        <v>0.24000000000000002</v>
      </c>
      <c r="F34" s="61">
        <v>0.26</v>
      </c>
      <c r="G34" s="61">
        <v>0.27</v>
      </c>
      <c r="H34" s="61">
        <v>0.28999999999999998</v>
      </c>
      <c r="I34" s="61">
        <v>0.32</v>
      </c>
      <c r="J34" s="61">
        <v>0.36</v>
      </c>
      <c r="K34" s="61">
        <v>0.39</v>
      </c>
      <c r="L34" s="61">
        <v>0.4</v>
      </c>
      <c r="M34" s="61">
        <v>0.4</v>
      </c>
      <c r="N34" s="61">
        <v>0.4</v>
      </c>
      <c r="O34" s="61">
        <v>0.4</v>
      </c>
      <c r="P34" s="61">
        <v>0.4</v>
      </c>
      <c r="Q34" s="61">
        <v>0.4</v>
      </c>
      <c r="R34" s="61">
        <v>0.4</v>
      </c>
      <c r="S34" s="61">
        <v>0.4</v>
      </c>
      <c r="T34" s="61">
        <v>0.4</v>
      </c>
      <c r="U34" s="61">
        <v>0.4</v>
      </c>
      <c r="V34" s="61">
        <v>0.4</v>
      </c>
      <c r="W34" s="61">
        <v>0.4</v>
      </c>
      <c r="X34" s="90">
        <v>0.4</v>
      </c>
      <c r="Y34" s="90">
        <v>0.4</v>
      </c>
      <c r="Z34" s="90">
        <v>0.4</v>
      </c>
      <c r="AA34" s="90">
        <v>0.4</v>
      </c>
      <c r="AB34" s="64">
        <v>0.4</v>
      </c>
    </row>
    <row r="35" spans="1:28" x14ac:dyDescent="0.2">
      <c r="A35" s="47">
        <v>130</v>
      </c>
      <c r="B35" s="50">
        <v>0.26</v>
      </c>
      <c r="C35" s="489"/>
      <c r="D35" s="59">
        <v>0.22</v>
      </c>
      <c r="E35" s="61">
        <v>0.24000000000000002</v>
      </c>
      <c r="F35" s="61">
        <v>0.26</v>
      </c>
      <c r="G35" s="61">
        <v>0.28000000000000003</v>
      </c>
      <c r="H35" s="61">
        <v>0.3</v>
      </c>
      <c r="I35" s="61">
        <v>0.33</v>
      </c>
      <c r="J35" s="61">
        <v>0.36</v>
      </c>
      <c r="K35" s="61">
        <v>0.4</v>
      </c>
      <c r="L35" s="61">
        <v>0.4</v>
      </c>
      <c r="M35" s="61">
        <v>0.4</v>
      </c>
      <c r="N35" s="61">
        <v>0.4</v>
      </c>
      <c r="O35" s="61">
        <v>0.4</v>
      </c>
      <c r="P35" s="61">
        <v>0.4</v>
      </c>
      <c r="Q35" s="61">
        <v>0.4</v>
      </c>
      <c r="R35" s="61">
        <v>0.4</v>
      </c>
      <c r="S35" s="61">
        <v>0.4</v>
      </c>
      <c r="T35" s="61">
        <v>0.4</v>
      </c>
      <c r="U35" s="61">
        <v>0.4</v>
      </c>
      <c r="V35" s="61">
        <v>0.4</v>
      </c>
      <c r="W35" s="61">
        <v>0.4</v>
      </c>
      <c r="X35" s="90">
        <v>0.4</v>
      </c>
      <c r="Y35" s="90">
        <v>0.4</v>
      </c>
      <c r="Z35" s="90">
        <v>0.4</v>
      </c>
      <c r="AA35" s="90">
        <v>0.4</v>
      </c>
      <c r="AB35" s="64">
        <v>0.4</v>
      </c>
    </row>
    <row r="36" spans="1:28" x14ac:dyDescent="0.2">
      <c r="A36" s="47">
        <v>135</v>
      </c>
      <c r="B36" s="50">
        <v>0.27</v>
      </c>
      <c r="C36" s="489"/>
      <c r="D36" s="59">
        <v>0.23</v>
      </c>
      <c r="E36" s="61">
        <v>0.25</v>
      </c>
      <c r="F36" s="61">
        <v>0.27</v>
      </c>
      <c r="G36" s="61">
        <v>0.29000000000000004</v>
      </c>
      <c r="H36" s="61">
        <v>0.31</v>
      </c>
      <c r="I36" s="61">
        <v>0.34</v>
      </c>
      <c r="J36" s="61">
        <v>0.37</v>
      </c>
      <c r="K36" s="61">
        <v>0.4</v>
      </c>
      <c r="L36" s="61">
        <v>0.4</v>
      </c>
      <c r="M36" s="61">
        <v>0.4</v>
      </c>
      <c r="N36" s="61">
        <v>0.4</v>
      </c>
      <c r="O36" s="61">
        <v>0.4</v>
      </c>
      <c r="P36" s="61">
        <v>0.4</v>
      </c>
      <c r="Q36" s="61">
        <v>0.4</v>
      </c>
      <c r="R36" s="61">
        <v>0.4</v>
      </c>
      <c r="S36" s="61">
        <v>0.4</v>
      </c>
      <c r="T36" s="61">
        <v>0.4</v>
      </c>
      <c r="U36" s="61">
        <v>0.4</v>
      </c>
      <c r="V36" s="61">
        <v>0.4</v>
      </c>
      <c r="W36" s="61">
        <v>0.4</v>
      </c>
      <c r="X36" s="90">
        <v>0.4</v>
      </c>
      <c r="Y36" s="90">
        <v>0.4</v>
      </c>
      <c r="Z36" s="90">
        <v>0.4</v>
      </c>
      <c r="AA36" s="90">
        <v>0.4</v>
      </c>
      <c r="AB36" s="64">
        <v>0.4</v>
      </c>
    </row>
    <row r="37" spans="1:28" x14ac:dyDescent="0.2">
      <c r="A37" s="47">
        <v>140</v>
      </c>
      <c r="B37" s="50">
        <v>0.28000000000000003</v>
      </c>
      <c r="C37" s="489"/>
      <c r="D37" s="59">
        <v>0.24000000000000002</v>
      </c>
      <c r="E37" s="61">
        <v>0.26</v>
      </c>
      <c r="F37" s="61">
        <v>0.28000000000000003</v>
      </c>
      <c r="G37" s="61">
        <v>0.30000000000000004</v>
      </c>
      <c r="H37" s="61">
        <v>0.32</v>
      </c>
      <c r="I37" s="61">
        <v>0.35000000000000003</v>
      </c>
      <c r="J37" s="61">
        <v>0.38</v>
      </c>
      <c r="K37" s="61">
        <v>0.4</v>
      </c>
      <c r="L37" s="61">
        <v>0.4</v>
      </c>
      <c r="M37" s="61">
        <v>0.4</v>
      </c>
      <c r="N37" s="61">
        <v>0.4</v>
      </c>
      <c r="O37" s="61">
        <v>0.4</v>
      </c>
      <c r="P37" s="61">
        <v>0.4</v>
      </c>
      <c r="Q37" s="61">
        <v>0.4</v>
      </c>
      <c r="R37" s="61">
        <v>0.4</v>
      </c>
      <c r="S37" s="61">
        <v>0.4</v>
      </c>
      <c r="T37" s="61">
        <v>0.4</v>
      </c>
      <c r="U37" s="61">
        <v>0.4</v>
      </c>
      <c r="V37" s="61">
        <v>0.4</v>
      </c>
      <c r="W37" s="61">
        <v>0.4</v>
      </c>
      <c r="X37" s="90">
        <v>0.4</v>
      </c>
      <c r="Y37" s="90">
        <v>0.4</v>
      </c>
      <c r="Z37" s="90">
        <v>0.4</v>
      </c>
      <c r="AA37" s="90">
        <v>0.4</v>
      </c>
      <c r="AB37" s="64">
        <v>0.4</v>
      </c>
    </row>
    <row r="38" spans="1:28" x14ac:dyDescent="0.2">
      <c r="A38" s="47">
        <v>145</v>
      </c>
      <c r="B38" s="50">
        <v>0.28000000000000003</v>
      </c>
      <c r="C38" s="489"/>
      <c r="D38" s="59">
        <v>0.25</v>
      </c>
      <c r="E38" s="61">
        <v>0.27</v>
      </c>
      <c r="F38" s="61">
        <v>0.28000000000000003</v>
      </c>
      <c r="G38" s="61">
        <v>0.30000000000000004</v>
      </c>
      <c r="H38" s="61">
        <v>0.32</v>
      </c>
      <c r="I38" s="61">
        <v>0.35000000000000003</v>
      </c>
      <c r="J38" s="61">
        <v>0.39</v>
      </c>
      <c r="K38" s="61">
        <v>0.4</v>
      </c>
      <c r="L38" s="61">
        <v>0.4</v>
      </c>
      <c r="M38" s="61">
        <v>0.4</v>
      </c>
      <c r="N38" s="61">
        <v>0.4</v>
      </c>
      <c r="O38" s="61">
        <v>0.4</v>
      </c>
      <c r="P38" s="61">
        <v>0.4</v>
      </c>
      <c r="Q38" s="61">
        <v>0.4</v>
      </c>
      <c r="R38" s="61">
        <v>0.4</v>
      </c>
      <c r="S38" s="61">
        <v>0.4</v>
      </c>
      <c r="T38" s="61">
        <v>0.4</v>
      </c>
      <c r="U38" s="61">
        <v>0.4</v>
      </c>
      <c r="V38" s="61">
        <v>0.4</v>
      </c>
      <c r="W38" s="61">
        <v>0.4</v>
      </c>
      <c r="X38" s="90">
        <v>0.4</v>
      </c>
      <c r="Y38" s="90">
        <v>0.4</v>
      </c>
      <c r="Z38" s="90">
        <v>0.4</v>
      </c>
      <c r="AA38" s="90">
        <v>0.4</v>
      </c>
      <c r="AB38" s="64">
        <v>0.4</v>
      </c>
    </row>
    <row r="39" spans="1:28" x14ac:dyDescent="0.2">
      <c r="A39" s="47">
        <v>150</v>
      </c>
      <c r="B39" s="50">
        <v>0.28999999999999998</v>
      </c>
      <c r="C39" s="489"/>
      <c r="D39" s="59">
        <v>0.24999999999999997</v>
      </c>
      <c r="E39" s="61">
        <v>0.26999999999999996</v>
      </c>
      <c r="F39" s="61">
        <v>0.28999999999999998</v>
      </c>
      <c r="G39" s="61">
        <v>0.31</v>
      </c>
      <c r="H39" s="61">
        <v>0.32999999999999996</v>
      </c>
      <c r="I39" s="61">
        <v>0.36</v>
      </c>
      <c r="J39" s="61">
        <v>0.39</v>
      </c>
      <c r="K39" s="61">
        <v>0.4</v>
      </c>
      <c r="L39" s="61">
        <v>0.4</v>
      </c>
      <c r="M39" s="61">
        <v>0.4</v>
      </c>
      <c r="N39" s="61">
        <v>0.4</v>
      </c>
      <c r="O39" s="61">
        <v>0.4</v>
      </c>
      <c r="P39" s="61">
        <v>0.4</v>
      </c>
      <c r="Q39" s="61">
        <v>0.4</v>
      </c>
      <c r="R39" s="61">
        <v>0.4</v>
      </c>
      <c r="S39" s="61">
        <v>0.4</v>
      </c>
      <c r="T39" s="61">
        <v>0.4</v>
      </c>
      <c r="U39" s="61">
        <v>0.4</v>
      </c>
      <c r="V39" s="61">
        <v>0.4</v>
      </c>
      <c r="W39" s="61">
        <v>0.4</v>
      </c>
      <c r="X39" s="90">
        <v>0.4</v>
      </c>
      <c r="Y39" s="90">
        <v>0.4</v>
      </c>
      <c r="Z39" s="90">
        <v>0.4</v>
      </c>
      <c r="AA39" s="90">
        <v>0.4</v>
      </c>
      <c r="AB39" s="64">
        <v>0.4</v>
      </c>
    </row>
    <row r="40" spans="1:28" x14ac:dyDescent="0.2">
      <c r="A40" s="47">
        <v>155</v>
      </c>
      <c r="B40" s="50">
        <v>0.3</v>
      </c>
      <c r="C40" s="489"/>
      <c r="D40" s="59">
        <v>0.26</v>
      </c>
      <c r="E40" s="61">
        <v>0.27999999999999997</v>
      </c>
      <c r="F40" s="61">
        <v>0.3</v>
      </c>
      <c r="G40" s="61">
        <v>0.32</v>
      </c>
      <c r="H40" s="61">
        <v>0.33999999999999997</v>
      </c>
      <c r="I40" s="61">
        <v>0.37</v>
      </c>
      <c r="J40" s="61">
        <v>0.4</v>
      </c>
      <c r="K40" s="61">
        <v>0.4</v>
      </c>
      <c r="L40" s="61">
        <v>0.4</v>
      </c>
      <c r="M40" s="61">
        <v>0.4</v>
      </c>
      <c r="N40" s="61">
        <v>0.4</v>
      </c>
      <c r="O40" s="61">
        <v>0.4</v>
      </c>
      <c r="P40" s="61">
        <v>0.4</v>
      </c>
      <c r="Q40" s="61">
        <v>0.4</v>
      </c>
      <c r="R40" s="61">
        <v>0.4</v>
      </c>
      <c r="S40" s="61">
        <v>0.4</v>
      </c>
      <c r="T40" s="61">
        <v>0.4</v>
      </c>
      <c r="U40" s="61">
        <v>0.4</v>
      </c>
      <c r="V40" s="61">
        <v>0.4</v>
      </c>
      <c r="W40" s="61">
        <v>0.4</v>
      </c>
      <c r="X40" s="90">
        <v>0.4</v>
      </c>
      <c r="Y40" s="90">
        <v>0.4</v>
      </c>
      <c r="Z40" s="90">
        <v>0.4</v>
      </c>
      <c r="AA40" s="90">
        <v>0.4</v>
      </c>
      <c r="AB40" s="64">
        <v>0.4</v>
      </c>
    </row>
    <row r="41" spans="1:28" x14ac:dyDescent="0.2">
      <c r="A41" s="47">
        <v>160</v>
      </c>
      <c r="B41" s="50">
        <v>0.3</v>
      </c>
      <c r="C41" s="489"/>
      <c r="D41" s="59">
        <v>0.26</v>
      </c>
      <c r="E41" s="61">
        <v>0.27999999999999997</v>
      </c>
      <c r="F41" s="61">
        <v>0.3</v>
      </c>
      <c r="G41" s="61">
        <v>0.32</v>
      </c>
      <c r="H41" s="61">
        <v>0.33999999999999997</v>
      </c>
      <c r="I41" s="61">
        <v>0.37</v>
      </c>
      <c r="J41" s="61">
        <v>0.4</v>
      </c>
      <c r="K41" s="61">
        <v>0.4</v>
      </c>
      <c r="L41" s="61">
        <v>0.4</v>
      </c>
      <c r="M41" s="61">
        <v>0.4</v>
      </c>
      <c r="N41" s="61">
        <v>0.4</v>
      </c>
      <c r="O41" s="61">
        <v>0.4</v>
      </c>
      <c r="P41" s="61">
        <v>0.4</v>
      </c>
      <c r="Q41" s="61">
        <v>0.4</v>
      </c>
      <c r="R41" s="61">
        <v>0.4</v>
      </c>
      <c r="S41" s="61">
        <v>0.4</v>
      </c>
      <c r="T41" s="61">
        <v>0.4</v>
      </c>
      <c r="U41" s="61">
        <v>0.4</v>
      </c>
      <c r="V41" s="61">
        <v>0.4</v>
      </c>
      <c r="W41" s="61">
        <v>0.4</v>
      </c>
      <c r="X41" s="90">
        <v>0.4</v>
      </c>
      <c r="Y41" s="90">
        <v>0.4</v>
      </c>
      <c r="Z41" s="90">
        <v>0.4</v>
      </c>
      <c r="AA41" s="90">
        <v>0.4</v>
      </c>
      <c r="AB41" s="64">
        <v>0.4</v>
      </c>
    </row>
    <row r="42" spans="1:28" x14ac:dyDescent="0.2">
      <c r="A42" s="47">
        <v>165</v>
      </c>
      <c r="B42" s="50">
        <v>0.3</v>
      </c>
      <c r="C42" s="489"/>
      <c r="D42" s="59">
        <v>0.26</v>
      </c>
      <c r="E42" s="61">
        <v>0.27999999999999997</v>
      </c>
      <c r="F42" s="61">
        <v>0.3</v>
      </c>
      <c r="G42" s="61">
        <v>0.32</v>
      </c>
      <c r="H42" s="61">
        <v>0.33999999999999997</v>
      </c>
      <c r="I42" s="61">
        <v>0.37</v>
      </c>
      <c r="J42" s="61">
        <v>0.4</v>
      </c>
      <c r="K42" s="61">
        <v>0.4</v>
      </c>
      <c r="L42" s="61">
        <v>0.4</v>
      </c>
      <c r="M42" s="61">
        <v>0.4</v>
      </c>
      <c r="N42" s="61">
        <v>0.4</v>
      </c>
      <c r="O42" s="61">
        <v>0.4</v>
      </c>
      <c r="P42" s="61">
        <v>0.4</v>
      </c>
      <c r="Q42" s="61">
        <v>0.4</v>
      </c>
      <c r="R42" s="61">
        <v>0.4</v>
      </c>
      <c r="S42" s="61">
        <v>0.4</v>
      </c>
      <c r="T42" s="61">
        <v>0.4</v>
      </c>
      <c r="U42" s="61">
        <v>0.4</v>
      </c>
      <c r="V42" s="61">
        <v>0.4</v>
      </c>
      <c r="W42" s="61">
        <v>0.4</v>
      </c>
      <c r="X42" s="90">
        <v>0.4</v>
      </c>
      <c r="Y42" s="90">
        <v>0.4</v>
      </c>
      <c r="Z42" s="90">
        <v>0.4</v>
      </c>
      <c r="AA42" s="90">
        <v>0.4</v>
      </c>
      <c r="AB42" s="64">
        <v>0.4</v>
      </c>
    </row>
    <row r="43" spans="1:28" x14ac:dyDescent="0.2">
      <c r="A43" s="47">
        <v>170</v>
      </c>
      <c r="B43" s="50">
        <v>0.3</v>
      </c>
      <c r="C43" s="489"/>
      <c r="D43" s="59">
        <v>0.26</v>
      </c>
      <c r="E43" s="61">
        <v>0.27999999999999997</v>
      </c>
      <c r="F43" s="61">
        <v>0.3</v>
      </c>
      <c r="G43" s="61">
        <v>0.32</v>
      </c>
      <c r="H43" s="61">
        <v>0.33999999999999997</v>
      </c>
      <c r="I43" s="61">
        <v>0.37</v>
      </c>
      <c r="J43" s="61">
        <v>0.4</v>
      </c>
      <c r="K43" s="61">
        <v>0.4</v>
      </c>
      <c r="L43" s="61">
        <v>0.4</v>
      </c>
      <c r="M43" s="61">
        <v>0.4</v>
      </c>
      <c r="N43" s="61">
        <v>0.4</v>
      </c>
      <c r="O43" s="61">
        <v>0.4</v>
      </c>
      <c r="P43" s="61">
        <v>0.4</v>
      </c>
      <c r="Q43" s="61">
        <v>0.4</v>
      </c>
      <c r="R43" s="61">
        <v>0.4</v>
      </c>
      <c r="S43" s="61">
        <v>0.4</v>
      </c>
      <c r="T43" s="61">
        <v>0.4</v>
      </c>
      <c r="U43" s="61">
        <v>0.4</v>
      </c>
      <c r="V43" s="61">
        <v>0.4</v>
      </c>
      <c r="W43" s="61">
        <v>0.4</v>
      </c>
      <c r="X43" s="90">
        <v>0.4</v>
      </c>
      <c r="Y43" s="90">
        <v>0.4</v>
      </c>
      <c r="Z43" s="90">
        <v>0.4</v>
      </c>
      <c r="AA43" s="90">
        <v>0.4</v>
      </c>
      <c r="AB43" s="64">
        <v>0.4</v>
      </c>
    </row>
    <row r="44" spans="1:28" x14ac:dyDescent="0.2">
      <c r="A44" s="47">
        <v>175</v>
      </c>
      <c r="B44" s="50">
        <v>0.3</v>
      </c>
      <c r="C44" s="489"/>
      <c r="D44" s="59">
        <v>0.26</v>
      </c>
      <c r="E44" s="61">
        <v>0.27999999999999997</v>
      </c>
      <c r="F44" s="61">
        <v>0.3</v>
      </c>
      <c r="G44" s="61">
        <v>0.32</v>
      </c>
      <c r="H44" s="61">
        <v>0.33999999999999997</v>
      </c>
      <c r="I44" s="61">
        <v>0.37</v>
      </c>
      <c r="J44" s="61">
        <v>0.4</v>
      </c>
      <c r="K44" s="61">
        <v>0.4</v>
      </c>
      <c r="L44" s="61">
        <v>0.4</v>
      </c>
      <c r="M44" s="61">
        <v>0.4</v>
      </c>
      <c r="N44" s="61">
        <v>0.4</v>
      </c>
      <c r="O44" s="61">
        <v>0.4</v>
      </c>
      <c r="P44" s="61">
        <v>0.4</v>
      </c>
      <c r="Q44" s="61">
        <v>0.4</v>
      </c>
      <c r="R44" s="61">
        <v>0.4</v>
      </c>
      <c r="S44" s="61">
        <v>0.4</v>
      </c>
      <c r="T44" s="61">
        <v>0.4</v>
      </c>
      <c r="U44" s="61">
        <v>0.4</v>
      </c>
      <c r="V44" s="61">
        <v>0.4</v>
      </c>
      <c r="W44" s="61">
        <v>0.4</v>
      </c>
      <c r="X44" s="90">
        <v>0.4</v>
      </c>
      <c r="Y44" s="90">
        <v>0.4</v>
      </c>
      <c r="Z44" s="90">
        <v>0.4</v>
      </c>
      <c r="AA44" s="90">
        <v>0.4</v>
      </c>
      <c r="AB44" s="64">
        <v>0.4</v>
      </c>
    </row>
    <row r="45" spans="1:28" x14ac:dyDescent="0.2">
      <c r="A45" s="47">
        <v>180</v>
      </c>
      <c r="B45" s="50">
        <v>0.3</v>
      </c>
      <c r="C45" s="489"/>
      <c r="D45" s="59">
        <v>0.26</v>
      </c>
      <c r="E45" s="61">
        <v>0.27999999999999997</v>
      </c>
      <c r="F45" s="61">
        <v>0.3</v>
      </c>
      <c r="G45" s="61">
        <v>0.32</v>
      </c>
      <c r="H45" s="61">
        <v>0.33999999999999997</v>
      </c>
      <c r="I45" s="61">
        <v>0.37</v>
      </c>
      <c r="J45" s="61">
        <v>0.4</v>
      </c>
      <c r="K45" s="61">
        <v>0.4</v>
      </c>
      <c r="L45" s="61">
        <v>0.4</v>
      </c>
      <c r="M45" s="61">
        <v>0.4</v>
      </c>
      <c r="N45" s="61">
        <v>0.4</v>
      </c>
      <c r="O45" s="61">
        <v>0.4</v>
      </c>
      <c r="P45" s="61">
        <v>0.4</v>
      </c>
      <c r="Q45" s="61">
        <v>0.4</v>
      </c>
      <c r="R45" s="61">
        <v>0.4</v>
      </c>
      <c r="S45" s="61">
        <v>0.4</v>
      </c>
      <c r="T45" s="61">
        <v>0.4</v>
      </c>
      <c r="U45" s="61">
        <v>0.4</v>
      </c>
      <c r="V45" s="61">
        <v>0.4</v>
      </c>
      <c r="W45" s="61">
        <v>0.4</v>
      </c>
      <c r="X45" s="90">
        <v>0.4</v>
      </c>
      <c r="Y45" s="90">
        <v>0.4</v>
      </c>
      <c r="Z45" s="90">
        <v>0.4</v>
      </c>
      <c r="AA45" s="90">
        <v>0.4</v>
      </c>
      <c r="AB45" s="64">
        <v>0.4</v>
      </c>
    </row>
    <row r="46" spans="1:28" x14ac:dyDescent="0.2">
      <c r="A46" s="47">
        <v>185</v>
      </c>
      <c r="B46" s="50">
        <v>0.3</v>
      </c>
      <c r="C46" s="489"/>
      <c r="D46" s="59">
        <v>0.26</v>
      </c>
      <c r="E46" s="61">
        <v>0.27999999999999997</v>
      </c>
      <c r="F46" s="61">
        <v>0.3</v>
      </c>
      <c r="G46" s="61">
        <v>0.32</v>
      </c>
      <c r="H46" s="61">
        <v>0.33999999999999997</v>
      </c>
      <c r="I46" s="61">
        <v>0.37</v>
      </c>
      <c r="J46" s="61">
        <v>0.4</v>
      </c>
      <c r="K46" s="61">
        <v>0.4</v>
      </c>
      <c r="L46" s="61">
        <v>0.4</v>
      </c>
      <c r="M46" s="61">
        <v>0.4</v>
      </c>
      <c r="N46" s="61">
        <v>0.4</v>
      </c>
      <c r="O46" s="61">
        <v>0.4</v>
      </c>
      <c r="P46" s="61">
        <v>0.4</v>
      </c>
      <c r="Q46" s="61">
        <v>0.4</v>
      </c>
      <c r="R46" s="61">
        <v>0.4</v>
      </c>
      <c r="S46" s="61">
        <v>0.4</v>
      </c>
      <c r="T46" s="61">
        <v>0.4</v>
      </c>
      <c r="U46" s="61">
        <v>0.4</v>
      </c>
      <c r="V46" s="61">
        <v>0.4</v>
      </c>
      <c r="W46" s="61">
        <v>0.4</v>
      </c>
      <c r="X46" s="90">
        <v>0.4</v>
      </c>
      <c r="Y46" s="90">
        <v>0.4</v>
      </c>
      <c r="Z46" s="90">
        <v>0.4</v>
      </c>
      <c r="AA46" s="90">
        <v>0.4</v>
      </c>
      <c r="AB46" s="64">
        <v>0.4</v>
      </c>
    </row>
    <row r="47" spans="1:28" x14ac:dyDescent="0.2">
      <c r="A47" s="47">
        <v>190</v>
      </c>
      <c r="B47" s="50">
        <v>0.3</v>
      </c>
      <c r="C47" s="489"/>
      <c r="D47" s="59">
        <v>0.26</v>
      </c>
      <c r="E47" s="61">
        <v>0.27999999999999997</v>
      </c>
      <c r="F47" s="61">
        <v>0.3</v>
      </c>
      <c r="G47" s="61">
        <v>0.32</v>
      </c>
      <c r="H47" s="61">
        <v>0.33999999999999997</v>
      </c>
      <c r="I47" s="61">
        <v>0.37</v>
      </c>
      <c r="J47" s="61">
        <v>0.4</v>
      </c>
      <c r="K47" s="61">
        <v>0.4</v>
      </c>
      <c r="L47" s="61">
        <v>0.4</v>
      </c>
      <c r="M47" s="61">
        <v>0.4</v>
      </c>
      <c r="N47" s="61">
        <v>0.4</v>
      </c>
      <c r="O47" s="61">
        <v>0.4</v>
      </c>
      <c r="P47" s="61">
        <v>0.4</v>
      </c>
      <c r="Q47" s="61">
        <v>0.4</v>
      </c>
      <c r="R47" s="61">
        <v>0.4</v>
      </c>
      <c r="S47" s="61">
        <v>0.4</v>
      </c>
      <c r="T47" s="61">
        <v>0.4</v>
      </c>
      <c r="U47" s="61">
        <v>0.4</v>
      </c>
      <c r="V47" s="61">
        <v>0.4</v>
      </c>
      <c r="W47" s="61">
        <v>0.4</v>
      </c>
      <c r="X47" s="90">
        <v>0.4</v>
      </c>
      <c r="Y47" s="90">
        <v>0.4</v>
      </c>
      <c r="Z47" s="90">
        <v>0.4</v>
      </c>
      <c r="AA47" s="90">
        <v>0.4</v>
      </c>
      <c r="AB47" s="64">
        <v>0.4</v>
      </c>
    </row>
    <row r="48" spans="1:28" x14ac:dyDescent="0.2">
      <c r="A48" s="47">
        <v>195</v>
      </c>
      <c r="B48" s="50">
        <v>0.3</v>
      </c>
      <c r="C48" s="489"/>
      <c r="D48" s="59">
        <v>0.26</v>
      </c>
      <c r="E48" s="61">
        <v>0.27999999999999997</v>
      </c>
      <c r="F48" s="61">
        <v>0.3</v>
      </c>
      <c r="G48" s="61">
        <v>0.32</v>
      </c>
      <c r="H48" s="61">
        <v>0.33999999999999997</v>
      </c>
      <c r="I48" s="61">
        <v>0.37</v>
      </c>
      <c r="J48" s="61">
        <v>0.4</v>
      </c>
      <c r="K48" s="61">
        <v>0.4</v>
      </c>
      <c r="L48" s="61">
        <v>0.4</v>
      </c>
      <c r="M48" s="61">
        <v>0.4</v>
      </c>
      <c r="N48" s="61">
        <v>0.4</v>
      </c>
      <c r="O48" s="61">
        <v>0.4</v>
      </c>
      <c r="P48" s="61">
        <v>0.4</v>
      </c>
      <c r="Q48" s="61">
        <v>0.4</v>
      </c>
      <c r="R48" s="61">
        <v>0.4</v>
      </c>
      <c r="S48" s="61">
        <v>0.4</v>
      </c>
      <c r="T48" s="61">
        <v>0.4</v>
      </c>
      <c r="U48" s="61">
        <v>0.4</v>
      </c>
      <c r="V48" s="61">
        <v>0.4</v>
      </c>
      <c r="W48" s="61">
        <v>0.4</v>
      </c>
      <c r="X48" s="90">
        <v>0.4</v>
      </c>
      <c r="Y48" s="90">
        <v>0.4</v>
      </c>
      <c r="Z48" s="90">
        <v>0.4</v>
      </c>
      <c r="AA48" s="90">
        <v>0.4</v>
      </c>
      <c r="AB48" s="64">
        <v>0.4</v>
      </c>
    </row>
    <row r="49" spans="1:28" ht="13.5" thickBot="1" x14ac:dyDescent="0.25">
      <c r="A49" s="48">
        <v>200</v>
      </c>
      <c r="B49" s="51">
        <v>0.3</v>
      </c>
      <c r="C49" s="490"/>
      <c r="D49" s="60">
        <v>0.26</v>
      </c>
      <c r="E49" s="65">
        <v>0.27999999999999997</v>
      </c>
      <c r="F49" s="65">
        <v>0.3</v>
      </c>
      <c r="G49" s="65">
        <v>0.32</v>
      </c>
      <c r="H49" s="65">
        <v>0.33999999999999997</v>
      </c>
      <c r="I49" s="65">
        <v>0.37</v>
      </c>
      <c r="J49" s="65">
        <v>0.4</v>
      </c>
      <c r="K49" s="65">
        <v>0.4</v>
      </c>
      <c r="L49" s="65">
        <v>0.4</v>
      </c>
      <c r="M49" s="65">
        <v>0.4</v>
      </c>
      <c r="N49" s="65">
        <v>0.4</v>
      </c>
      <c r="O49" s="65">
        <v>0.4</v>
      </c>
      <c r="P49" s="65">
        <v>0.4</v>
      </c>
      <c r="Q49" s="65">
        <v>0.4</v>
      </c>
      <c r="R49" s="65">
        <v>0.4</v>
      </c>
      <c r="S49" s="65">
        <v>0.4</v>
      </c>
      <c r="T49" s="65">
        <v>0.4</v>
      </c>
      <c r="U49" s="65">
        <v>0.4</v>
      </c>
      <c r="V49" s="65">
        <v>0.4</v>
      </c>
      <c r="W49" s="65">
        <v>0.4</v>
      </c>
      <c r="X49" s="91">
        <v>0.4</v>
      </c>
      <c r="Y49" s="91">
        <v>0.4</v>
      </c>
      <c r="Z49" s="91">
        <v>0.4</v>
      </c>
      <c r="AA49" s="91">
        <v>0.4</v>
      </c>
      <c r="AB49" s="66">
        <v>0.4</v>
      </c>
    </row>
    <row r="52" spans="1:28" ht="19.5" thickBot="1" x14ac:dyDescent="0.35">
      <c r="A52" s="45" t="s">
        <v>104</v>
      </c>
    </row>
    <row r="53" spans="1:28" x14ac:dyDescent="0.2">
      <c r="A53" s="494" t="s">
        <v>44</v>
      </c>
      <c r="B53" s="495"/>
      <c r="C53" s="496" t="s">
        <v>47</v>
      </c>
      <c r="D53" s="495"/>
      <c r="E53" s="497" t="s">
        <v>50</v>
      </c>
      <c r="F53" s="495"/>
    </row>
    <row r="54" spans="1:28" ht="13.5" thickBot="1" x14ac:dyDescent="0.25">
      <c r="A54" s="5" t="s">
        <v>45</v>
      </c>
      <c r="B54" s="75" t="s">
        <v>46</v>
      </c>
      <c r="C54" s="79" t="s">
        <v>48</v>
      </c>
      <c r="D54" s="73" t="s">
        <v>49</v>
      </c>
      <c r="E54" s="74" t="s">
        <v>51</v>
      </c>
      <c r="F54" s="73" t="s">
        <v>52</v>
      </c>
    </row>
    <row r="55" spans="1:28" x14ac:dyDescent="0.2">
      <c r="A55" s="71">
        <v>0</v>
      </c>
      <c r="B55" s="76">
        <v>2499.9</v>
      </c>
      <c r="C55" s="80">
        <v>7949</v>
      </c>
      <c r="D55" s="81">
        <v>50000</v>
      </c>
      <c r="E55" s="39">
        <v>18</v>
      </c>
      <c r="F55" s="72">
        <f t="shared" ref="F55:F60" si="0">E55/12</f>
        <v>1.5</v>
      </c>
    </row>
    <row r="56" spans="1:28" x14ac:dyDescent="0.2">
      <c r="A56" s="67">
        <v>2500</v>
      </c>
      <c r="B56" s="77">
        <v>2999.9</v>
      </c>
      <c r="C56" s="82">
        <v>9539</v>
      </c>
      <c r="D56" s="81">
        <v>60000</v>
      </c>
      <c r="E56" s="57">
        <v>24</v>
      </c>
      <c r="F56" s="68">
        <f t="shared" si="0"/>
        <v>2</v>
      </c>
    </row>
    <row r="57" spans="1:28" x14ac:dyDescent="0.2">
      <c r="A57" s="67">
        <v>3000</v>
      </c>
      <c r="B57" s="77">
        <v>3499.9</v>
      </c>
      <c r="C57" s="82">
        <v>11129</v>
      </c>
      <c r="D57" s="81">
        <v>70000</v>
      </c>
      <c r="E57" s="57">
        <v>30</v>
      </c>
      <c r="F57" s="68">
        <f t="shared" si="0"/>
        <v>2.5</v>
      </c>
    </row>
    <row r="58" spans="1:28" x14ac:dyDescent="0.2">
      <c r="A58" s="67">
        <v>3500</v>
      </c>
      <c r="B58" s="77">
        <v>3999.9</v>
      </c>
      <c r="C58" s="82">
        <v>12718</v>
      </c>
      <c r="D58" s="81">
        <v>80000</v>
      </c>
      <c r="E58" s="57">
        <v>36</v>
      </c>
      <c r="F58" s="68">
        <f t="shared" si="0"/>
        <v>3</v>
      </c>
    </row>
    <row r="59" spans="1:28" x14ac:dyDescent="0.2">
      <c r="A59" s="67">
        <v>4000</v>
      </c>
      <c r="B59" s="77">
        <v>4499.8999999999996</v>
      </c>
      <c r="C59" s="82">
        <v>14308</v>
      </c>
      <c r="D59" s="81">
        <v>90000</v>
      </c>
      <c r="E59" s="57">
        <v>42</v>
      </c>
      <c r="F59" s="68">
        <f t="shared" si="0"/>
        <v>3.5</v>
      </c>
    </row>
    <row r="60" spans="1:28" ht="13.5" thickBot="1" x14ac:dyDescent="0.25">
      <c r="A60" s="69">
        <v>4500</v>
      </c>
      <c r="B60" s="78"/>
      <c r="C60" s="83">
        <v>15899</v>
      </c>
      <c r="D60" s="84">
        <v>100000</v>
      </c>
      <c r="E60" s="40">
        <v>48</v>
      </c>
      <c r="F60" s="70">
        <f t="shared" si="0"/>
        <v>4</v>
      </c>
    </row>
    <row r="61" spans="1:28" ht="18.75" customHeight="1" x14ac:dyDescent="0.2">
      <c r="A61" s="85" t="s">
        <v>36</v>
      </c>
    </row>
    <row r="62" spans="1:28" x14ac:dyDescent="0.2">
      <c r="A62" s="86" t="s">
        <v>43</v>
      </c>
    </row>
    <row r="63" spans="1:28" x14ac:dyDescent="0.2">
      <c r="A63" s="86" t="s">
        <v>37</v>
      </c>
    </row>
    <row r="64" spans="1:28" x14ac:dyDescent="0.2">
      <c r="A64" s="86" t="s">
        <v>38</v>
      </c>
    </row>
    <row r="65" spans="1:1" x14ac:dyDescent="0.2">
      <c r="A65" s="86" t="s">
        <v>39</v>
      </c>
    </row>
    <row r="66" spans="1:1" x14ac:dyDescent="0.2">
      <c r="A66" s="86" t="s">
        <v>55</v>
      </c>
    </row>
    <row r="67" spans="1:1" x14ac:dyDescent="0.2">
      <c r="A67" s="86" t="s">
        <v>40</v>
      </c>
    </row>
    <row r="68" spans="1:1" x14ac:dyDescent="0.2">
      <c r="A68" s="86" t="s">
        <v>41</v>
      </c>
    </row>
    <row r="69" spans="1:1" x14ac:dyDescent="0.2">
      <c r="A69" s="86" t="s">
        <v>42</v>
      </c>
    </row>
    <row r="70" spans="1:1" x14ac:dyDescent="0.2">
      <c r="A70" s="86" t="s">
        <v>53</v>
      </c>
    </row>
    <row r="71" spans="1:1" x14ac:dyDescent="0.2">
      <c r="A71" s="86" t="s">
        <v>54</v>
      </c>
    </row>
    <row r="73" spans="1:1" ht="18" x14ac:dyDescent="0.25">
      <c r="A73" s="124" t="s">
        <v>107</v>
      </c>
    </row>
  </sheetData>
  <mergeCells count="6">
    <mergeCell ref="A2:B3"/>
    <mergeCell ref="C4:C49"/>
    <mergeCell ref="D4:AB4"/>
    <mergeCell ref="A53:B53"/>
    <mergeCell ref="C53:D53"/>
    <mergeCell ref="E53:F53"/>
  </mergeCells>
  <pageMargins left="0.75" right="0.75" top="1" bottom="1" header="0.5" footer="0.5"/>
  <pageSetup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39997558519241921"/>
  </sheetPr>
  <dimension ref="A1:T233"/>
  <sheetViews>
    <sheetView topLeftCell="J31" workbookViewId="0">
      <selection activeCell="T41" sqref="T41"/>
    </sheetView>
  </sheetViews>
  <sheetFormatPr defaultRowHeight="14.25" x14ac:dyDescent="0.2"/>
  <cols>
    <col min="1" max="1" width="9.7109375" style="44" customWidth="1"/>
    <col min="2" max="2" width="14" style="334" bestFit="1" customWidth="1"/>
    <col min="3" max="4" width="18.7109375" style="334" bestFit="1" customWidth="1"/>
    <col min="5" max="5" width="11.140625" style="334" bestFit="1" customWidth="1"/>
    <col min="6" max="6" width="11.7109375" style="334" bestFit="1" customWidth="1"/>
    <col min="7" max="7" width="13.28515625" style="334" bestFit="1" customWidth="1"/>
    <col min="8" max="8" width="18.42578125" style="334" bestFit="1" customWidth="1"/>
    <col min="9" max="9" width="20" style="334" bestFit="1" customWidth="1"/>
    <col min="10" max="10" width="19.7109375" style="334" bestFit="1" customWidth="1"/>
    <col min="11" max="11" width="26.7109375" style="334" bestFit="1" customWidth="1"/>
    <col min="12" max="12" width="12" style="334" bestFit="1" customWidth="1"/>
    <col min="13" max="13" width="25.140625" style="334" bestFit="1" customWidth="1"/>
    <col min="14" max="14" width="15.140625" style="339" customWidth="1"/>
    <col min="15" max="16" width="25.7109375" style="205" customWidth="1"/>
    <col min="17" max="17" width="25.7109375" style="363" customWidth="1"/>
  </cols>
  <sheetData>
    <row r="1" spans="1:20" ht="15" x14ac:dyDescent="0.25">
      <c r="A1" s="502" t="s">
        <v>141</v>
      </c>
      <c r="B1" s="510" t="s">
        <v>142</v>
      </c>
      <c r="C1" s="511"/>
      <c r="D1" s="512"/>
      <c r="E1" s="505" t="s">
        <v>149</v>
      </c>
      <c r="F1" s="506"/>
      <c r="G1" s="507" t="s">
        <v>144</v>
      </c>
      <c r="H1" s="508"/>
      <c r="I1" s="508"/>
      <c r="J1" s="509"/>
      <c r="K1" s="328" t="s">
        <v>146</v>
      </c>
      <c r="L1" s="341" t="s">
        <v>207</v>
      </c>
      <c r="M1" s="329" t="s">
        <v>150</v>
      </c>
      <c r="N1" s="335" t="s">
        <v>163</v>
      </c>
      <c r="O1" s="513" t="s">
        <v>219</v>
      </c>
      <c r="P1" s="498" t="s">
        <v>220</v>
      </c>
      <c r="Q1" s="500" t="s">
        <v>222</v>
      </c>
      <c r="R1" s="10"/>
      <c r="S1" s="10"/>
    </row>
    <row r="2" spans="1:20" ht="13.5" customHeight="1" thickBot="1" x14ac:dyDescent="0.25">
      <c r="A2" s="503"/>
      <c r="B2" s="330" t="s">
        <v>152</v>
      </c>
      <c r="C2" s="330" t="s">
        <v>153</v>
      </c>
      <c r="D2" s="330" t="s">
        <v>154</v>
      </c>
      <c r="E2" s="330" t="s">
        <v>208</v>
      </c>
      <c r="F2" s="330" t="s">
        <v>156</v>
      </c>
      <c r="G2" s="330" t="s">
        <v>157</v>
      </c>
      <c r="H2" s="330" t="s">
        <v>159</v>
      </c>
      <c r="I2" s="330" t="s">
        <v>158</v>
      </c>
      <c r="J2" s="330" t="s">
        <v>160</v>
      </c>
      <c r="K2" s="330" t="s">
        <v>161</v>
      </c>
      <c r="L2" s="331" t="s">
        <v>164</v>
      </c>
      <c r="M2" s="330" t="s">
        <v>162</v>
      </c>
      <c r="N2" s="336" t="s">
        <v>167</v>
      </c>
      <c r="O2" s="514"/>
      <c r="P2" s="499"/>
      <c r="Q2" s="501"/>
      <c r="R2" s="10"/>
      <c r="S2" s="10"/>
    </row>
    <row r="3" spans="1:20" ht="16.5" thickBot="1" x14ac:dyDescent="0.35">
      <c r="A3" s="504"/>
      <c r="B3" s="330" t="s">
        <v>137</v>
      </c>
      <c r="C3" s="330" t="s">
        <v>201</v>
      </c>
      <c r="D3" s="330" t="s">
        <v>202</v>
      </c>
      <c r="E3" s="330" t="s">
        <v>147</v>
      </c>
      <c r="F3" s="330" t="s">
        <v>143</v>
      </c>
      <c r="G3" s="330" t="s">
        <v>168</v>
      </c>
      <c r="H3" s="330" t="s">
        <v>169</v>
      </c>
      <c r="I3" s="330" t="s">
        <v>145</v>
      </c>
      <c r="J3" s="330" t="s">
        <v>148</v>
      </c>
      <c r="K3" s="330" t="s">
        <v>155</v>
      </c>
      <c r="L3" s="332" t="s">
        <v>194</v>
      </c>
      <c r="M3" s="330" t="s">
        <v>151</v>
      </c>
      <c r="N3" s="337" t="s">
        <v>194</v>
      </c>
      <c r="O3" s="347" t="s">
        <v>165</v>
      </c>
      <c r="P3" s="351" t="s">
        <v>165</v>
      </c>
      <c r="Q3" s="366" t="s">
        <v>165</v>
      </c>
      <c r="R3" s="352"/>
      <c r="S3" s="10"/>
    </row>
    <row r="4" spans="1:20" x14ac:dyDescent="0.2">
      <c r="A4" s="3">
        <v>1</v>
      </c>
      <c r="B4" s="304">
        <v>95</v>
      </c>
      <c r="C4" s="304">
        <v>0.01</v>
      </c>
      <c r="D4" s="304">
        <v>2.5</v>
      </c>
      <c r="E4" s="304">
        <v>4.5</v>
      </c>
      <c r="F4" s="304">
        <v>1.5</v>
      </c>
      <c r="G4" s="304">
        <v>20</v>
      </c>
      <c r="H4" s="304">
        <v>0.75</v>
      </c>
      <c r="I4" s="304">
        <v>0.5</v>
      </c>
      <c r="J4" s="304">
        <v>0.6</v>
      </c>
      <c r="K4" s="304">
        <v>40</v>
      </c>
      <c r="L4" s="304">
        <v>0.15</v>
      </c>
      <c r="M4" s="333">
        <v>1.3</v>
      </c>
      <c r="N4" s="338">
        <v>0.05</v>
      </c>
      <c r="O4" s="348">
        <v>-10.440805492727932</v>
      </c>
      <c r="P4" s="359">
        <v>12.068090692490614</v>
      </c>
      <c r="Q4" s="364">
        <v>2.9316768304590788</v>
      </c>
      <c r="R4" s="353"/>
      <c r="S4" s="10"/>
      <c r="T4" s="205"/>
    </row>
    <row r="5" spans="1:20" x14ac:dyDescent="0.2">
      <c r="A5" s="3">
        <v>2</v>
      </c>
      <c r="B5" s="304">
        <v>95</v>
      </c>
      <c r="C5" s="304">
        <v>0</v>
      </c>
      <c r="D5" s="304">
        <v>2.5</v>
      </c>
      <c r="E5" s="304">
        <v>1.5</v>
      </c>
      <c r="F5" s="304">
        <v>0.75</v>
      </c>
      <c r="G5" s="304">
        <v>10</v>
      </c>
      <c r="H5" s="304">
        <v>0.75</v>
      </c>
      <c r="I5" s="304">
        <v>0.5</v>
      </c>
      <c r="J5" s="304">
        <v>0.9</v>
      </c>
      <c r="K5" s="304">
        <v>80</v>
      </c>
      <c r="L5" s="304">
        <v>7.0000000000000007E-2</v>
      </c>
      <c r="M5" s="333">
        <v>1.3</v>
      </c>
      <c r="N5" s="338">
        <v>0.05</v>
      </c>
      <c r="O5" s="349">
        <v>39.177706230368855</v>
      </c>
      <c r="P5" s="358">
        <v>58.213895521442026</v>
      </c>
      <c r="Q5" s="361">
        <v>42.632089645347961</v>
      </c>
      <c r="R5" s="10"/>
      <c r="S5" s="10"/>
      <c r="T5" s="205"/>
    </row>
    <row r="6" spans="1:20" x14ac:dyDescent="0.2">
      <c r="A6" s="3">
        <v>3</v>
      </c>
      <c r="B6" s="304">
        <v>95</v>
      </c>
      <c r="C6" s="304">
        <v>0</v>
      </c>
      <c r="D6" s="304">
        <v>3.5</v>
      </c>
      <c r="E6" s="304">
        <v>4.5</v>
      </c>
      <c r="F6" s="304">
        <v>0.75</v>
      </c>
      <c r="G6" s="304">
        <v>20</v>
      </c>
      <c r="H6" s="304">
        <v>0.75</v>
      </c>
      <c r="I6" s="304">
        <v>0.5</v>
      </c>
      <c r="J6" s="304">
        <v>0.3</v>
      </c>
      <c r="K6" s="304">
        <v>60</v>
      </c>
      <c r="L6" s="304">
        <v>7.0000000000000007E-2</v>
      </c>
      <c r="M6" s="333">
        <v>1.3</v>
      </c>
      <c r="N6" s="338">
        <v>0.05</v>
      </c>
      <c r="O6" s="349">
        <v>-2.1910306486008824</v>
      </c>
      <c r="P6" s="358">
        <v>19.840727543057039</v>
      </c>
      <c r="Q6" s="365">
        <v>1.6830025551292525</v>
      </c>
      <c r="R6" s="354"/>
      <c r="S6" s="355"/>
      <c r="T6" s="205"/>
    </row>
    <row r="7" spans="1:20" x14ac:dyDescent="0.2">
      <c r="A7" s="3">
        <v>4</v>
      </c>
      <c r="B7" s="304">
        <v>65</v>
      </c>
      <c r="C7" s="304">
        <v>-0.01</v>
      </c>
      <c r="D7" s="304">
        <v>2.5</v>
      </c>
      <c r="E7" s="304">
        <v>2.5</v>
      </c>
      <c r="F7" s="304">
        <v>1.5</v>
      </c>
      <c r="G7" s="304">
        <v>15</v>
      </c>
      <c r="H7" s="304">
        <v>0.75</v>
      </c>
      <c r="I7" s="304">
        <v>1</v>
      </c>
      <c r="J7" s="304">
        <v>0.3</v>
      </c>
      <c r="K7" s="304">
        <v>40</v>
      </c>
      <c r="L7" s="304">
        <v>0.15</v>
      </c>
      <c r="M7" s="333">
        <v>0.9</v>
      </c>
      <c r="N7" s="338">
        <v>0.15</v>
      </c>
      <c r="O7" s="349">
        <v>-11.890962876117191</v>
      </c>
      <c r="P7" s="358">
        <v>-1.7214179058795034</v>
      </c>
      <c r="Q7" s="365">
        <v>-8.1565638459256657</v>
      </c>
      <c r="R7" s="356"/>
      <c r="S7" s="357"/>
      <c r="T7" s="205"/>
    </row>
    <row r="8" spans="1:20" x14ac:dyDescent="0.2">
      <c r="A8" s="3">
        <v>5</v>
      </c>
      <c r="B8" s="304">
        <v>95</v>
      </c>
      <c r="C8" s="304">
        <v>-0.01</v>
      </c>
      <c r="D8" s="304">
        <v>1.5</v>
      </c>
      <c r="E8" s="304">
        <v>4.5</v>
      </c>
      <c r="F8" s="304">
        <v>0.75</v>
      </c>
      <c r="G8" s="304">
        <v>20</v>
      </c>
      <c r="H8" s="304">
        <v>0.25</v>
      </c>
      <c r="I8" s="304">
        <v>0.5</v>
      </c>
      <c r="J8" s="304">
        <v>0.9</v>
      </c>
      <c r="K8" s="304">
        <v>40</v>
      </c>
      <c r="L8" s="304">
        <v>7.0000000000000007E-2</v>
      </c>
      <c r="M8" s="333">
        <v>0.7</v>
      </c>
      <c r="N8" s="338">
        <v>0.15</v>
      </c>
      <c r="O8" s="349">
        <v>-20.167739569840158</v>
      </c>
      <c r="P8" s="358">
        <v>-9.6460753478436274</v>
      </c>
      <c r="Q8" s="361">
        <v>-18.911708795878102</v>
      </c>
      <c r="R8" s="10"/>
      <c r="S8" s="10"/>
      <c r="T8" s="205"/>
    </row>
    <row r="9" spans="1:20" x14ac:dyDescent="0.2">
      <c r="A9" s="3">
        <v>6</v>
      </c>
      <c r="B9" s="304">
        <v>95</v>
      </c>
      <c r="C9" s="304">
        <v>0</v>
      </c>
      <c r="D9" s="304">
        <v>1.5</v>
      </c>
      <c r="E9" s="304">
        <v>3.5</v>
      </c>
      <c r="F9" s="304">
        <v>0.75</v>
      </c>
      <c r="G9" s="304">
        <v>10</v>
      </c>
      <c r="H9" s="304">
        <v>0.5</v>
      </c>
      <c r="I9" s="304">
        <v>1.5</v>
      </c>
      <c r="J9" s="304">
        <v>0.9</v>
      </c>
      <c r="K9" s="304">
        <v>80</v>
      </c>
      <c r="L9" s="304">
        <v>0.15</v>
      </c>
      <c r="M9" s="333">
        <v>1.3</v>
      </c>
      <c r="N9" s="338">
        <v>0.05</v>
      </c>
      <c r="O9" s="349">
        <v>0.18994908354586959</v>
      </c>
      <c r="P9" s="358">
        <v>22.09822599912572</v>
      </c>
      <c r="Q9" s="361">
        <v>12.196101728071344</v>
      </c>
      <c r="T9" s="205"/>
    </row>
    <row r="10" spans="1:20" x14ac:dyDescent="0.2">
      <c r="A10" s="3">
        <v>7</v>
      </c>
      <c r="B10" s="304">
        <v>65</v>
      </c>
      <c r="C10" s="304">
        <v>-0.01</v>
      </c>
      <c r="D10" s="304">
        <v>3.5</v>
      </c>
      <c r="E10" s="304">
        <v>2.5</v>
      </c>
      <c r="F10" s="304">
        <v>1.5</v>
      </c>
      <c r="G10" s="304">
        <v>15</v>
      </c>
      <c r="H10" s="304">
        <v>0.25</v>
      </c>
      <c r="I10" s="304">
        <v>1</v>
      </c>
      <c r="J10" s="304">
        <v>0.9</v>
      </c>
      <c r="K10" s="304">
        <v>80</v>
      </c>
      <c r="L10" s="304">
        <v>0.15</v>
      </c>
      <c r="M10" s="333">
        <v>0.7</v>
      </c>
      <c r="N10" s="338">
        <v>0.05</v>
      </c>
      <c r="O10" s="349">
        <v>-46.849885920667838</v>
      </c>
      <c r="P10" s="358">
        <v>-21.54374833863406</v>
      </c>
      <c r="Q10" s="361">
        <v>-41.614577302475794</v>
      </c>
      <c r="T10" s="205"/>
    </row>
    <row r="11" spans="1:20" x14ac:dyDescent="0.2">
      <c r="A11" s="3">
        <v>8</v>
      </c>
      <c r="B11" s="304">
        <v>95</v>
      </c>
      <c r="C11" s="304">
        <v>-0.01</v>
      </c>
      <c r="D11" s="304">
        <v>2.5</v>
      </c>
      <c r="E11" s="304">
        <v>1.5</v>
      </c>
      <c r="F11" s="304">
        <v>0.75</v>
      </c>
      <c r="G11" s="304">
        <v>20</v>
      </c>
      <c r="H11" s="304">
        <v>0.75</v>
      </c>
      <c r="I11" s="304">
        <v>1.5</v>
      </c>
      <c r="J11" s="304">
        <v>0.9</v>
      </c>
      <c r="K11" s="304">
        <v>80</v>
      </c>
      <c r="L11" s="304">
        <v>0.15</v>
      </c>
      <c r="M11" s="333">
        <v>1.3</v>
      </c>
      <c r="N11" s="338">
        <v>0.05</v>
      </c>
      <c r="O11" s="349">
        <v>10.218698194682528</v>
      </c>
      <c r="P11" s="358">
        <v>30.990877054321466</v>
      </c>
      <c r="Q11" s="361">
        <v>21.156722596376877</v>
      </c>
      <c r="T11" s="205"/>
    </row>
    <row r="12" spans="1:20" x14ac:dyDescent="0.2">
      <c r="A12" s="3">
        <v>9</v>
      </c>
      <c r="B12" s="304">
        <v>65</v>
      </c>
      <c r="C12" s="304">
        <v>0</v>
      </c>
      <c r="D12" s="304">
        <v>3.5</v>
      </c>
      <c r="E12" s="304">
        <v>4.5</v>
      </c>
      <c r="F12" s="304">
        <v>0.75</v>
      </c>
      <c r="G12" s="304">
        <v>15</v>
      </c>
      <c r="H12" s="304">
        <v>0.25</v>
      </c>
      <c r="I12" s="304">
        <v>1.5</v>
      </c>
      <c r="J12" s="304">
        <v>0.3</v>
      </c>
      <c r="K12" s="304">
        <v>80</v>
      </c>
      <c r="L12" s="304">
        <v>7.0000000000000007E-2</v>
      </c>
      <c r="M12" s="333">
        <v>1.1000000000000001</v>
      </c>
      <c r="N12" s="338">
        <v>0.15</v>
      </c>
      <c r="O12" s="349">
        <v>-17.408324502005915</v>
      </c>
      <c r="P12" s="358">
        <v>-6.96654350606779</v>
      </c>
      <c r="Q12" s="361">
        <v>-15.948920555708415</v>
      </c>
      <c r="T12" s="205"/>
    </row>
    <row r="13" spans="1:20" x14ac:dyDescent="0.2">
      <c r="A13" s="3">
        <v>10</v>
      </c>
      <c r="B13" s="304">
        <v>65</v>
      </c>
      <c r="C13" s="304">
        <v>-0.01</v>
      </c>
      <c r="D13" s="304">
        <v>1.5</v>
      </c>
      <c r="E13" s="304">
        <v>4.5</v>
      </c>
      <c r="F13" s="304">
        <v>2.25</v>
      </c>
      <c r="G13" s="304">
        <v>20</v>
      </c>
      <c r="H13" s="304">
        <v>0.75</v>
      </c>
      <c r="I13" s="304">
        <v>1.5</v>
      </c>
      <c r="J13" s="304">
        <v>0.9</v>
      </c>
      <c r="K13" s="304">
        <v>60</v>
      </c>
      <c r="L13" s="304">
        <v>7.0000000000000007E-2</v>
      </c>
      <c r="M13" s="333">
        <v>1.3</v>
      </c>
      <c r="N13" s="338">
        <v>0.11666</v>
      </c>
      <c r="O13" s="349">
        <v>-32.837045829588284</v>
      </c>
      <c r="P13" s="358">
        <v>-19.285822080979671</v>
      </c>
      <c r="Q13" s="361">
        <v>-30.919132454725556</v>
      </c>
      <c r="T13" s="205"/>
    </row>
    <row r="14" spans="1:20" x14ac:dyDescent="0.2">
      <c r="A14" s="3">
        <v>11</v>
      </c>
      <c r="B14" s="304">
        <v>65</v>
      </c>
      <c r="C14" s="304">
        <v>0.01</v>
      </c>
      <c r="D14" s="304">
        <v>2.5</v>
      </c>
      <c r="E14" s="304">
        <v>3.5</v>
      </c>
      <c r="F14" s="304">
        <v>2.25</v>
      </c>
      <c r="G14" s="304">
        <v>15</v>
      </c>
      <c r="H14" s="304">
        <v>0.75</v>
      </c>
      <c r="I14" s="304">
        <v>0.5</v>
      </c>
      <c r="J14" s="304">
        <v>0.3</v>
      </c>
      <c r="K14" s="304">
        <v>40</v>
      </c>
      <c r="L14" s="304">
        <v>0.15</v>
      </c>
      <c r="M14" s="333">
        <v>0.7</v>
      </c>
      <c r="N14" s="338">
        <v>0.05</v>
      </c>
      <c r="O14" s="349">
        <v>-50.616531012221749</v>
      </c>
      <c r="P14" s="358">
        <v>-25.310393430187951</v>
      </c>
      <c r="Q14" s="361">
        <v>-44.75111358800595</v>
      </c>
      <c r="T14" s="205"/>
    </row>
    <row r="15" spans="1:20" x14ac:dyDescent="0.2">
      <c r="A15" s="3">
        <v>12</v>
      </c>
      <c r="B15" s="304">
        <v>95</v>
      </c>
      <c r="C15" s="304">
        <v>-0.01</v>
      </c>
      <c r="D15" s="304">
        <v>3.5</v>
      </c>
      <c r="E15" s="304">
        <v>3.5</v>
      </c>
      <c r="F15" s="304">
        <v>2.25</v>
      </c>
      <c r="G15" s="304">
        <v>10</v>
      </c>
      <c r="H15" s="304">
        <v>0.5</v>
      </c>
      <c r="I15" s="304">
        <v>0.5</v>
      </c>
      <c r="J15" s="304">
        <v>0.3</v>
      </c>
      <c r="K15" s="304">
        <v>60</v>
      </c>
      <c r="L15" s="304">
        <v>7.0000000000000007E-2</v>
      </c>
      <c r="M15" s="333">
        <v>1.3</v>
      </c>
      <c r="N15" s="338">
        <v>8.3330000000000001E-2</v>
      </c>
      <c r="O15" s="349">
        <v>10.482397945978903</v>
      </c>
      <c r="P15" s="358">
        <v>25.620747283684285</v>
      </c>
      <c r="Q15" s="361">
        <v>13.209825458738102</v>
      </c>
      <c r="T15" s="205"/>
    </row>
    <row r="16" spans="1:20" x14ac:dyDescent="0.2">
      <c r="A16" s="3">
        <v>13</v>
      </c>
      <c r="B16" s="304">
        <v>65</v>
      </c>
      <c r="C16" s="304">
        <v>-0.01</v>
      </c>
      <c r="D16" s="304">
        <v>1.5</v>
      </c>
      <c r="E16" s="304">
        <v>4.5</v>
      </c>
      <c r="F16" s="304">
        <v>2.25</v>
      </c>
      <c r="G16" s="304">
        <v>10</v>
      </c>
      <c r="H16" s="304">
        <v>0.75</v>
      </c>
      <c r="I16" s="304">
        <v>0.5</v>
      </c>
      <c r="J16" s="304">
        <v>0.3</v>
      </c>
      <c r="K16" s="304">
        <v>40</v>
      </c>
      <c r="L16" s="304">
        <v>0.11</v>
      </c>
      <c r="M16" s="333">
        <v>1.3</v>
      </c>
      <c r="N16" s="338">
        <v>0.11666</v>
      </c>
      <c r="O16" s="349">
        <v>-18.09088714628912</v>
      </c>
      <c r="P16" s="358">
        <v>-5.0928212226285163</v>
      </c>
      <c r="Q16" s="361">
        <v>-14.177171446628245</v>
      </c>
      <c r="T16" s="205"/>
    </row>
    <row r="17" spans="1:20" x14ac:dyDescent="0.2">
      <c r="A17" s="3">
        <v>14</v>
      </c>
      <c r="B17" s="304">
        <v>95</v>
      </c>
      <c r="C17" s="304">
        <v>0</v>
      </c>
      <c r="D17" s="304">
        <v>2.5</v>
      </c>
      <c r="E17" s="304">
        <v>4.5</v>
      </c>
      <c r="F17" s="304">
        <v>1.5</v>
      </c>
      <c r="G17" s="304">
        <v>20</v>
      </c>
      <c r="H17" s="304">
        <v>0.5</v>
      </c>
      <c r="I17" s="304">
        <v>1</v>
      </c>
      <c r="J17" s="304">
        <v>0.6</v>
      </c>
      <c r="K17" s="304">
        <v>80</v>
      </c>
      <c r="L17" s="304">
        <v>0.15</v>
      </c>
      <c r="M17" s="333">
        <v>1.1000000000000001</v>
      </c>
      <c r="N17" s="338">
        <v>0.05</v>
      </c>
      <c r="O17" s="349">
        <v>-33.89851413594036</v>
      </c>
      <c r="P17" s="358">
        <v>-9.5689964457893488</v>
      </c>
      <c r="Q17" s="361">
        <v>-22.391679856832329</v>
      </c>
      <c r="T17" s="205"/>
    </row>
    <row r="18" spans="1:20" x14ac:dyDescent="0.2">
      <c r="A18" s="3">
        <v>15</v>
      </c>
      <c r="B18" s="304">
        <v>95</v>
      </c>
      <c r="C18" s="304">
        <v>0.01</v>
      </c>
      <c r="D18" s="304">
        <v>3.5</v>
      </c>
      <c r="E18" s="304">
        <v>2.5</v>
      </c>
      <c r="F18" s="304">
        <v>2.25</v>
      </c>
      <c r="G18" s="304">
        <v>20</v>
      </c>
      <c r="H18" s="304">
        <v>0.25</v>
      </c>
      <c r="I18" s="304">
        <v>0.5</v>
      </c>
      <c r="J18" s="304">
        <v>0.9</v>
      </c>
      <c r="K18" s="304">
        <v>80</v>
      </c>
      <c r="L18" s="304">
        <v>7.0000000000000007E-2</v>
      </c>
      <c r="M18" s="333">
        <v>0.7</v>
      </c>
      <c r="N18" s="338">
        <v>0.05</v>
      </c>
      <c r="O18" s="349">
        <v>-22.378912696855696</v>
      </c>
      <c r="P18" s="358">
        <v>1.4359838420154769</v>
      </c>
      <c r="Q18" s="361">
        <v>-19.850759106571321</v>
      </c>
      <c r="T18" s="205"/>
    </row>
    <row r="19" spans="1:20" x14ac:dyDescent="0.2">
      <c r="A19" s="3">
        <v>16</v>
      </c>
      <c r="B19" s="304">
        <v>95</v>
      </c>
      <c r="C19" s="304">
        <v>-0.01</v>
      </c>
      <c r="D19" s="304">
        <v>3.5</v>
      </c>
      <c r="E19" s="304">
        <v>4.5</v>
      </c>
      <c r="F19" s="304">
        <v>2.25</v>
      </c>
      <c r="G19" s="304">
        <v>15</v>
      </c>
      <c r="H19" s="304">
        <v>0.75</v>
      </c>
      <c r="I19" s="304">
        <v>0.5</v>
      </c>
      <c r="J19" s="304">
        <v>0.3</v>
      </c>
      <c r="K19" s="304">
        <v>60</v>
      </c>
      <c r="L19" s="304">
        <v>0.11</v>
      </c>
      <c r="M19" s="333">
        <v>0.7</v>
      </c>
      <c r="N19" s="338">
        <v>0.05</v>
      </c>
      <c r="O19" s="349">
        <v>-52.950870829532533</v>
      </c>
      <c r="P19" s="358">
        <v>-27.644733247498735</v>
      </c>
      <c r="Q19" s="361">
        <v>-48.113684277323671</v>
      </c>
      <c r="T19" s="205"/>
    </row>
    <row r="20" spans="1:20" x14ac:dyDescent="0.2">
      <c r="A20" s="3">
        <v>17</v>
      </c>
      <c r="B20" s="304">
        <v>75</v>
      </c>
      <c r="C20" s="304">
        <v>0.01</v>
      </c>
      <c r="D20" s="304">
        <v>1.5</v>
      </c>
      <c r="E20" s="304">
        <v>1.5</v>
      </c>
      <c r="F20" s="304">
        <v>2.25</v>
      </c>
      <c r="G20" s="304">
        <v>10</v>
      </c>
      <c r="H20" s="304">
        <v>0.75</v>
      </c>
      <c r="I20" s="304">
        <v>1.5</v>
      </c>
      <c r="J20" s="304">
        <v>0.3</v>
      </c>
      <c r="K20" s="304">
        <v>80</v>
      </c>
      <c r="L20" s="304">
        <v>7.0000000000000007E-2</v>
      </c>
      <c r="M20" s="333">
        <v>0.7</v>
      </c>
      <c r="N20" s="338">
        <v>0.15</v>
      </c>
      <c r="O20" s="349">
        <v>-4.0133242440232877</v>
      </c>
      <c r="P20" s="358">
        <v>4.9865865311848268</v>
      </c>
      <c r="Q20" s="361">
        <v>-3.0209139352515741</v>
      </c>
      <c r="T20" s="205"/>
    </row>
    <row r="21" spans="1:20" x14ac:dyDescent="0.2">
      <c r="A21" s="3">
        <v>18</v>
      </c>
      <c r="B21" s="304">
        <v>65</v>
      </c>
      <c r="C21" s="304">
        <v>0</v>
      </c>
      <c r="D21" s="304">
        <v>3.5</v>
      </c>
      <c r="E21" s="304">
        <v>4.5</v>
      </c>
      <c r="F21" s="304">
        <v>2.25</v>
      </c>
      <c r="G21" s="304">
        <v>10</v>
      </c>
      <c r="H21" s="304">
        <v>0.5</v>
      </c>
      <c r="I21" s="304">
        <v>1.5</v>
      </c>
      <c r="J21" s="304">
        <v>0.9</v>
      </c>
      <c r="K21" s="304">
        <v>60</v>
      </c>
      <c r="L21" s="304">
        <v>7.0000000000000007E-2</v>
      </c>
      <c r="M21" s="333">
        <v>0.7</v>
      </c>
      <c r="N21" s="338">
        <v>0.15</v>
      </c>
      <c r="O21" s="349">
        <v>-33.794431277965103</v>
      </c>
      <c r="P21" s="358">
        <v>-23.256256370280557</v>
      </c>
      <c r="Q21" s="361">
        <v>-32.865719711720928</v>
      </c>
      <c r="T21" s="205"/>
    </row>
    <row r="22" spans="1:20" x14ac:dyDescent="0.2">
      <c r="A22" s="3">
        <v>19</v>
      </c>
      <c r="B22" s="304">
        <v>65</v>
      </c>
      <c r="C22" s="304">
        <v>0.01</v>
      </c>
      <c r="D22" s="304">
        <v>3.5</v>
      </c>
      <c r="E22" s="304">
        <v>4.5</v>
      </c>
      <c r="F22" s="304">
        <v>2.25</v>
      </c>
      <c r="G22" s="304">
        <v>10</v>
      </c>
      <c r="H22" s="304">
        <v>0.25</v>
      </c>
      <c r="I22" s="304">
        <v>0.5</v>
      </c>
      <c r="J22" s="304">
        <v>0.3</v>
      </c>
      <c r="K22" s="304">
        <v>40</v>
      </c>
      <c r="L22" s="304">
        <v>7.0000000000000007E-2</v>
      </c>
      <c r="M22" s="333">
        <v>1.3</v>
      </c>
      <c r="N22" s="338">
        <v>0.15</v>
      </c>
      <c r="O22" s="349">
        <v>-6.5499877530305701</v>
      </c>
      <c r="P22" s="358">
        <v>2.8848828540507983</v>
      </c>
      <c r="Q22" s="361">
        <v>-4.9066629973600211</v>
      </c>
      <c r="T22" s="205"/>
    </row>
    <row r="23" spans="1:20" x14ac:dyDescent="0.2">
      <c r="A23" s="3">
        <v>20</v>
      </c>
      <c r="B23" s="304">
        <v>65</v>
      </c>
      <c r="C23" s="304">
        <v>0.01</v>
      </c>
      <c r="D23" s="304">
        <v>3.5</v>
      </c>
      <c r="E23" s="304">
        <v>4.5</v>
      </c>
      <c r="F23" s="304">
        <v>0.75</v>
      </c>
      <c r="G23" s="304">
        <v>20</v>
      </c>
      <c r="H23" s="304">
        <v>0.25</v>
      </c>
      <c r="I23" s="304">
        <v>0.5</v>
      </c>
      <c r="J23" s="304">
        <v>0.9</v>
      </c>
      <c r="K23" s="304">
        <v>60</v>
      </c>
      <c r="L23" s="304">
        <v>7.0000000000000007E-2</v>
      </c>
      <c r="M23" s="333">
        <v>0.9</v>
      </c>
      <c r="N23" s="338">
        <v>0.05</v>
      </c>
      <c r="O23" s="349">
        <v>-54.243812720670149</v>
      </c>
      <c r="P23" s="358">
        <v>-28.937675138636354</v>
      </c>
      <c r="Q23" s="361">
        <v>-51.866420359444739</v>
      </c>
      <c r="T23" s="205"/>
    </row>
    <row r="24" spans="1:20" x14ac:dyDescent="0.2">
      <c r="A24" s="3">
        <v>21</v>
      </c>
      <c r="B24" s="304">
        <v>95</v>
      </c>
      <c r="C24" s="304">
        <v>0.01</v>
      </c>
      <c r="D24" s="304">
        <v>1.5</v>
      </c>
      <c r="E24" s="304">
        <v>2.5</v>
      </c>
      <c r="F24" s="304">
        <v>2.25</v>
      </c>
      <c r="G24" s="304">
        <v>20</v>
      </c>
      <c r="H24" s="304">
        <v>0.75</v>
      </c>
      <c r="I24" s="304">
        <v>1</v>
      </c>
      <c r="J24" s="304">
        <v>0.9</v>
      </c>
      <c r="K24" s="304">
        <v>60</v>
      </c>
      <c r="L24" s="304">
        <v>0.11</v>
      </c>
      <c r="M24" s="333">
        <v>1.3</v>
      </c>
      <c r="N24" s="338">
        <v>8.3330000000000001E-2</v>
      </c>
      <c r="O24" s="349">
        <v>10.832250246771652</v>
      </c>
      <c r="P24" s="358">
        <v>25.306206618746025</v>
      </c>
      <c r="Q24" s="361">
        <v>17.330672827897789</v>
      </c>
      <c r="T24" s="205"/>
    </row>
    <row r="25" spans="1:20" x14ac:dyDescent="0.2">
      <c r="A25" s="3">
        <v>22</v>
      </c>
      <c r="B25" s="304">
        <v>65</v>
      </c>
      <c r="C25" s="304">
        <v>0.01</v>
      </c>
      <c r="D25" s="304">
        <v>3.5</v>
      </c>
      <c r="E25" s="304">
        <v>4.5</v>
      </c>
      <c r="F25" s="304">
        <v>2.25</v>
      </c>
      <c r="G25" s="304">
        <v>20</v>
      </c>
      <c r="H25" s="304">
        <v>0.25</v>
      </c>
      <c r="I25" s="304">
        <v>1</v>
      </c>
      <c r="J25" s="304">
        <v>0.9</v>
      </c>
      <c r="K25" s="304">
        <v>40</v>
      </c>
      <c r="L25" s="304">
        <v>0.15</v>
      </c>
      <c r="M25" s="333">
        <v>1.3</v>
      </c>
      <c r="N25" s="338">
        <v>0.11666</v>
      </c>
      <c r="O25" s="349">
        <v>-28.982326136104735</v>
      </c>
      <c r="P25" s="358">
        <v>-15.431102387496111</v>
      </c>
      <c r="Q25" s="361">
        <v>-21.727442266406491</v>
      </c>
      <c r="T25" s="205"/>
    </row>
    <row r="26" spans="1:20" x14ac:dyDescent="0.2">
      <c r="A26" s="3">
        <v>23</v>
      </c>
      <c r="B26" s="304">
        <v>95</v>
      </c>
      <c r="C26" s="304">
        <v>-0.01</v>
      </c>
      <c r="D26" s="304">
        <v>3.5</v>
      </c>
      <c r="E26" s="304">
        <v>1.5</v>
      </c>
      <c r="F26" s="304">
        <v>1.5</v>
      </c>
      <c r="G26" s="304">
        <v>10</v>
      </c>
      <c r="H26" s="304">
        <v>0.25</v>
      </c>
      <c r="I26" s="304">
        <v>1.5</v>
      </c>
      <c r="J26" s="304">
        <v>0.3</v>
      </c>
      <c r="K26" s="304">
        <v>40</v>
      </c>
      <c r="L26" s="304">
        <v>7.0000000000000007E-2</v>
      </c>
      <c r="M26" s="333">
        <v>0.7</v>
      </c>
      <c r="N26" s="338">
        <v>0.15</v>
      </c>
      <c r="O26" s="349">
        <v>3.1288107512565064</v>
      </c>
      <c r="P26" s="358">
        <v>11.611724117954831</v>
      </c>
      <c r="Q26" s="361">
        <v>4.1494800079909293</v>
      </c>
      <c r="T26" s="205"/>
    </row>
    <row r="27" spans="1:20" x14ac:dyDescent="0.2">
      <c r="A27" s="3">
        <v>24</v>
      </c>
      <c r="B27" s="304">
        <v>95</v>
      </c>
      <c r="C27" s="304">
        <v>-0.01</v>
      </c>
      <c r="D27" s="304">
        <v>1.5</v>
      </c>
      <c r="E27" s="304">
        <v>1.5</v>
      </c>
      <c r="F27" s="304">
        <v>0.75</v>
      </c>
      <c r="G27" s="304">
        <v>20</v>
      </c>
      <c r="H27" s="304">
        <v>0.75</v>
      </c>
      <c r="I27" s="304">
        <v>1.5</v>
      </c>
      <c r="J27" s="304">
        <v>0.9</v>
      </c>
      <c r="K27" s="304">
        <v>40</v>
      </c>
      <c r="L27" s="304">
        <v>7.0000000000000007E-2</v>
      </c>
      <c r="M27" s="333">
        <v>0.7</v>
      </c>
      <c r="N27" s="338">
        <v>0.15</v>
      </c>
      <c r="O27" s="349">
        <v>-1.4629759163261689</v>
      </c>
      <c r="P27" s="358">
        <v>7.4463917123197501</v>
      </c>
      <c r="Q27" s="361">
        <v>-0.39478178452589041</v>
      </c>
      <c r="T27" s="205"/>
    </row>
    <row r="28" spans="1:20" x14ac:dyDescent="0.2">
      <c r="A28" s="3">
        <v>25</v>
      </c>
      <c r="B28" s="304">
        <v>95</v>
      </c>
      <c r="C28" s="304">
        <v>0.01</v>
      </c>
      <c r="D28" s="304">
        <v>2.5</v>
      </c>
      <c r="E28" s="304">
        <v>4.5</v>
      </c>
      <c r="F28" s="304">
        <v>1.5</v>
      </c>
      <c r="G28" s="304">
        <v>20</v>
      </c>
      <c r="H28" s="304">
        <v>0.25</v>
      </c>
      <c r="I28" s="304">
        <v>1.5</v>
      </c>
      <c r="J28" s="304">
        <v>0.3</v>
      </c>
      <c r="K28" s="304">
        <v>80</v>
      </c>
      <c r="L28" s="304">
        <v>7.0000000000000007E-2</v>
      </c>
      <c r="M28" s="333">
        <v>0.7</v>
      </c>
      <c r="N28" s="338">
        <v>0.15</v>
      </c>
      <c r="O28" s="349">
        <v>-19.979895365823975</v>
      </c>
      <c r="P28" s="358">
        <v>-9.4417204581394216</v>
      </c>
      <c r="Q28" s="361">
        <v>-18.574050043898424</v>
      </c>
      <c r="T28" s="205"/>
    </row>
    <row r="29" spans="1:20" x14ac:dyDescent="0.2">
      <c r="A29" s="3">
        <v>26</v>
      </c>
      <c r="B29" s="304">
        <v>75</v>
      </c>
      <c r="C29" s="304">
        <v>-0.01</v>
      </c>
      <c r="D29" s="304">
        <v>3.5</v>
      </c>
      <c r="E29" s="304">
        <v>2.5</v>
      </c>
      <c r="F29" s="304">
        <v>0.75</v>
      </c>
      <c r="G29" s="304">
        <v>10</v>
      </c>
      <c r="H29" s="304">
        <v>0.25</v>
      </c>
      <c r="I29" s="304">
        <v>1</v>
      </c>
      <c r="J29" s="304">
        <v>0.3</v>
      </c>
      <c r="K29" s="304">
        <v>60</v>
      </c>
      <c r="L29" s="304">
        <v>0.15</v>
      </c>
      <c r="M29" s="333">
        <v>1.3</v>
      </c>
      <c r="N29" s="338">
        <v>0.15</v>
      </c>
      <c r="O29" s="349">
        <v>6.7197249963729044</v>
      </c>
      <c r="P29" s="358">
        <v>15.167242490932969</v>
      </c>
      <c r="Q29" s="361">
        <v>11.770594468284905</v>
      </c>
      <c r="T29" s="205"/>
    </row>
    <row r="30" spans="1:20" x14ac:dyDescent="0.2">
      <c r="A30" s="3">
        <v>27</v>
      </c>
      <c r="B30" s="304">
        <v>65</v>
      </c>
      <c r="C30" s="304">
        <v>0.01</v>
      </c>
      <c r="D30" s="304">
        <v>1.5</v>
      </c>
      <c r="E30" s="304">
        <v>1.5</v>
      </c>
      <c r="F30" s="304">
        <v>2.25</v>
      </c>
      <c r="G30" s="304">
        <v>20</v>
      </c>
      <c r="H30" s="304">
        <v>0.5</v>
      </c>
      <c r="I30" s="304">
        <v>0.5</v>
      </c>
      <c r="J30" s="304">
        <v>0.3</v>
      </c>
      <c r="K30" s="304">
        <v>60</v>
      </c>
      <c r="L30" s="304">
        <v>0.15</v>
      </c>
      <c r="M30" s="333">
        <v>0.7</v>
      </c>
      <c r="N30" s="338">
        <v>0.11666</v>
      </c>
      <c r="O30" s="349">
        <v>-13.227773810075119</v>
      </c>
      <c r="P30" s="358">
        <v>-0.17345864556317156</v>
      </c>
      <c r="Q30" s="361">
        <v>-9.3889177344312849</v>
      </c>
      <c r="T30" s="205"/>
    </row>
    <row r="31" spans="1:20" x14ac:dyDescent="0.2">
      <c r="A31" s="3">
        <v>28</v>
      </c>
      <c r="B31" s="304">
        <v>85</v>
      </c>
      <c r="C31" s="304">
        <v>-0.01</v>
      </c>
      <c r="D31" s="304">
        <v>2.5</v>
      </c>
      <c r="E31" s="304">
        <v>4.5</v>
      </c>
      <c r="F31" s="304">
        <v>1.5</v>
      </c>
      <c r="G31" s="304">
        <v>20</v>
      </c>
      <c r="H31" s="304">
        <v>0.75</v>
      </c>
      <c r="I31" s="304">
        <v>0.5</v>
      </c>
      <c r="J31" s="304">
        <v>0.9</v>
      </c>
      <c r="K31" s="304">
        <v>40</v>
      </c>
      <c r="L31" s="304">
        <v>0.11</v>
      </c>
      <c r="M31" s="333">
        <v>0.7</v>
      </c>
      <c r="N31" s="338">
        <v>0.05</v>
      </c>
      <c r="O31" s="349">
        <v>-64.116233924354447</v>
      </c>
      <c r="P31" s="358">
        <v>-38.810096342320648</v>
      </c>
      <c r="Q31" s="361">
        <v>-59.805896036503036</v>
      </c>
      <c r="T31" s="205"/>
    </row>
    <row r="32" spans="1:20" x14ac:dyDescent="0.2">
      <c r="A32" s="3">
        <v>29</v>
      </c>
      <c r="B32" s="304">
        <v>75</v>
      </c>
      <c r="C32" s="304">
        <v>0.01</v>
      </c>
      <c r="D32" s="304">
        <v>2.5</v>
      </c>
      <c r="E32" s="304">
        <v>1.5</v>
      </c>
      <c r="F32" s="304">
        <v>0.75</v>
      </c>
      <c r="G32" s="304">
        <v>15</v>
      </c>
      <c r="H32" s="304">
        <v>0.75</v>
      </c>
      <c r="I32" s="304">
        <v>1.5</v>
      </c>
      <c r="J32" s="304">
        <v>0.6</v>
      </c>
      <c r="K32" s="304">
        <v>60</v>
      </c>
      <c r="L32" s="304">
        <v>7.0000000000000007E-2</v>
      </c>
      <c r="M32" s="333">
        <v>0.9</v>
      </c>
      <c r="N32" s="338">
        <v>0.11666</v>
      </c>
      <c r="O32" s="349">
        <v>3.065424653139504</v>
      </c>
      <c r="P32" s="358">
        <v>13.782978885098295</v>
      </c>
      <c r="Q32" s="361">
        <v>4.4544990734900418</v>
      </c>
      <c r="T32" s="205"/>
    </row>
    <row r="33" spans="1:20" x14ac:dyDescent="0.2">
      <c r="A33" s="3">
        <v>30</v>
      </c>
      <c r="B33" s="304">
        <v>65</v>
      </c>
      <c r="C33" s="304">
        <v>0</v>
      </c>
      <c r="D33" s="304">
        <v>3.5</v>
      </c>
      <c r="E33" s="304">
        <v>1.5</v>
      </c>
      <c r="F33" s="304">
        <v>2.25</v>
      </c>
      <c r="G33" s="304">
        <v>15</v>
      </c>
      <c r="H33" s="304">
        <v>0.75</v>
      </c>
      <c r="I33" s="304">
        <v>0.5</v>
      </c>
      <c r="J33" s="304">
        <v>0.3</v>
      </c>
      <c r="K33" s="304">
        <v>40</v>
      </c>
      <c r="L33" s="304">
        <v>0.11</v>
      </c>
      <c r="M33" s="333">
        <v>1.3</v>
      </c>
      <c r="N33" s="338">
        <v>0.11666</v>
      </c>
      <c r="O33" s="349">
        <v>5.8213521901629637</v>
      </c>
      <c r="P33" s="358">
        <v>16.523897365254626</v>
      </c>
      <c r="Q33" s="361">
        <v>9.3443617048272625</v>
      </c>
      <c r="T33" s="205"/>
    </row>
    <row r="34" spans="1:20" x14ac:dyDescent="0.2">
      <c r="A34" s="3">
        <v>31</v>
      </c>
      <c r="B34" s="304">
        <v>95</v>
      </c>
      <c r="C34" s="304">
        <v>-0.01</v>
      </c>
      <c r="D34" s="304">
        <v>3.5</v>
      </c>
      <c r="E34" s="304">
        <v>4.5</v>
      </c>
      <c r="F34" s="304">
        <v>0.75</v>
      </c>
      <c r="G34" s="304">
        <v>10</v>
      </c>
      <c r="H34" s="304">
        <v>0.5</v>
      </c>
      <c r="I34" s="304">
        <v>1</v>
      </c>
      <c r="J34" s="304">
        <v>0.6</v>
      </c>
      <c r="K34" s="304">
        <v>40</v>
      </c>
      <c r="L34" s="304">
        <v>7.0000000000000007E-2</v>
      </c>
      <c r="M34" s="333">
        <v>1.3</v>
      </c>
      <c r="N34" s="338">
        <v>0.15</v>
      </c>
      <c r="O34" s="349">
        <v>7.6858829426640884</v>
      </c>
      <c r="P34" s="358">
        <v>16.408923091799661</v>
      </c>
      <c r="Q34" s="361">
        <v>9.5811340347876293</v>
      </c>
      <c r="T34" s="205"/>
    </row>
    <row r="35" spans="1:20" x14ac:dyDescent="0.2">
      <c r="A35" s="3">
        <v>32</v>
      </c>
      <c r="B35" s="304">
        <v>85</v>
      </c>
      <c r="C35" s="304">
        <v>0</v>
      </c>
      <c r="D35" s="304">
        <v>1.5</v>
      </c>
      <c r="E35" s="304">
        <v>4.5</v>
      </c>
      <c r="F35" s="304">
        <v>1.5</v>
      </c>
      <c r="G35" s="304">
        <v>10</v>
      </c>
      <c r="H35" s="304">
        <v>0.75</v>
      </c>
      <c r="I35" s="304">
        <v>0.5</v>
      </c>
      <c r="J35" s="304">
        <v>0.3</v>
      </c>
      <c r="K35" s="304">
        <v>80</v>
      </c>
      <c r="L35" s="304">
        <v>7.0000000000000007E-2</v>
      </c>
      <c r="M35" s="333">
        <v>1.3</v>
      </c>
      <c r="N35" s="338">
        <v>0.05</v>
      </c>
      <c r="O35" s="349">
        <v>-7.6227973563173705</v>
      </c>
      <c r="P35" s="358">
        <v>14.808829187294466</v>
      </c>
      <c r="Q35" s="361">
        <v>-4.1475900041589036</v>
      </c>
      <c r="T35" s="205"/>
    </row>
    <row r="36" spans="1:20" x14ac:dyDescent="0.2">
      <c r="A36" s="3">
        <v>33</v>
      </c>
      <c r="B36" s="304">
        <v>75</v>
      </c>
      <c r="C36" s="304">
        <v>-0.01</v>
      </c>
      <c r="D36" s="304">
        <v>1.5</v>
      </c>
      <c r="E36" s="304">
        <v>3.5</v>
      </c>
      <c r="F36" s="304">
        <v>0.75</v>
      </c>
      <c r="G36" s="304">
        <v>15</v>
      </c>
      <c r="H36" s="304">
        <v>0.5</v>
      </c>
      <c r="I36" s="304">
        <v>1</v>
      </c>
      <c r="J36" s="304">
        <v>0.9</v>
      </c>
      <c r="K36" s="304">
        <v>80</v>
      </c>
      <c r="L36" s="304">
        <v>7.0000000000000007E-2</v>
      </c>
      <c r="M36" s="333">
        <v>1.3</v>
      </c>
      <c r="N36" s="338">
        <v>0.11666</v>
      </c>
      <c r="O36" s="349">
        <v>-6.1072491561246025</v>
      </c>
      <c r="P36" s="358">
        <v>5.9211274984732229</v>
      </c>
      <c r="Q36" s="361">
        <v>-4.2429397893071696</v>
      </c>
      <c r="T36" s="205"/>
    </row>
    <row r="37" spans="1:20" x14ac:dyDescent="0.2">
      <c r="A37" s="3">
        <v>34</v>
      </c>
      <c r="B37" s="304">
        <v>65</v>
      </c>
      <c r="C37" s="304">
        <v>-0.01</v>
      </c>
      <c r="D37" s="304">
        <v>3.5</v>
      </c>
      <c r="E37" s="304">
        <v>1.5</v>
      </c>
      <c r="F37" s="304">
        <v>0.75</v>
      </c>
      <c r="G37" s="304">
        <v>10</v>
      </c>
      <c r="H37" s="304">
        <v>0.5</v>
      </c>
      <c r="I37" s="304">
        <v>1.5</v>
      </c>
      <c r="J37" s="304">
        <v>0.6</v>
      </c>
      <c r="K37" s="304">
        <v>60</v>
      </c>
      <c r="L37" s="304">
        <v>0.15</v>
      </c>
      <c r="M37" s="333">
        <v>1.1000000000000001</v>
      </c>
      <c r="N37" s="338">
        <v>0.05</v>
      </c>
      <c r="O37" s="349">
        <v>-5.7888591779925864</v>
      </c>
      <c r="P37" s="358">
        <v>15.892863961621128</v>
      </c>
      <c r="Q37" s="361">
        <v>1.1574156956024144</v>
      </c>
      <c r="T37" s="205"/>
    </row>
    <row r="38" spans="1:20" x14ac:dyDescent="0.2">
      <c r="A38" s="3">
        <v>35</v>
      </c>
      <c r="B38" s="304">
        <v>85</v>
      </c>
      <c r="C38" s="304">
        <v>0.01</v>
      </c>
      <c r="D38" s="304">
        <v>3.5</v>
      </c>
      <c r="E38" s="304">
        <v>4.5</v>
      </c>
      <c r="F38" s="304">
        <v>0.75</v>
      </c>
      <c r="G38" s="304">
        <v>10</v>
      </c>
      <c r="H38" s="304">
        <v>0.5</v>
      </c>
      <c r="I38" s="304">
        <v>1</v>
      </c>
      <c r="J38" s="304">
        <v>0.6</v>
      </c>
      <c r="K38" s="304">
        <v>80</v>
      </c>
      <c r="L38" s="304">
        <v>0.15</v>
      </c>
      <c r="M38" s="333">
        <v>1.3</v>
      </c>
      <c r="N38" s="338">
        <v>0.15</v>
      </c>
      <c r="O38" s="349">
        <v>1.8055817264728882</v>
      </c>
      <c r="P38" s="358">
        <v>10.567738403411404</v>
      </c>
      <c r="Q38" s="361">
        <v>8.2143414127045187</v>
      </c>
      <c r="T38" s="205"/>
    </row>
    <row r="39" spans="1:20" x14ac:dyDescent="0.2">
      <c r="A39" s="3">
        <v>36</v>
      </c>
      <c r="B39" s="304">
        <v>75</v>
      </c>
      <c r="C39" s="304">
        <v>0.01</v>
      </c>
      <c r="D39" s="304">
        <v>2.5</v>
      </c>
      <c r="E39" s="304">
        <v>1.5</v>
      </c>
      <c r="F39" s="304">
        <v>2.25</v>
      </c>
      <c r="G39" s="304">
        <v>15</v>
      </c>
      <c r="H39" s="304">
        <v>0.75</v>
      </c>
      <c r="I39" s="304">
        <v>1.5</v>
      </c>
      <c r="J39" s="304">
        <v>0.6</v>
      </c>
      <c r="K39" s="304">
        <v>40</v>
      </c>
      <c r="L39" s="304">
        <v>0.15</v>
      </c>
      <c r="M39" s="333">
        <v>1.3</v>
      </c>
      <c r="N39" s="338">
        <v>8.3330000000000001E-2</v>
      </c>
      <c r="O39" s="349">
        <v>7.24789048012875</v>
      </c>
      <c r="P39" s="358">
        <v>21.557490285582642</v>
      </c>
      <c r="Q39" s="361">
        <v>15.157655638205817</v>
      </c>
      <c r="T39" s="205"/>
    </row>
    <row r="40" spans="1:20" x14ac:dyDescent="0.2">
      <c r="A40" s="3">
        <v>37</v>
      </c>
      <c r="B40" s="304">
        <v>95</v>
      </c>
      <c r="C40" s="304">
        <v>0.01</v>
      </c>
      <c r="D40" s="304">
        <v>1.5</v>
      </c>
      <c r="E40" s="304">
        <v>1.5</v>
      </c>
      <c r="F40" s="304">
        <v>1.5</v>
      </c>
      <c r="G40" s="304">
        <v>10</v>
      </c>
      <c r="H40" s="304">
        <v>0.75</v>
      </c>
      <c r="I40" s="304">
        <v>0.5</v>
      </c>
      <c r="J40" s="304">
        <v>0.9</v>
      </c>
      <c r="K40" s="304">
        <v>40</v>
      </c>
      <c r="L40" s="304">
        <v>0.11</v>
      </c>
      <c r="M40" s="333">
        <v>0.7</v>
      </c>
      <c r="N40" s="338">
        <v>0.11666</v>
      </c>
      <c r="O40" s="349">
        <v>3.8159966867167174</v>
      </c>
      <c r="P40" s="358">
        <v>14.585809955983031</v>
      </c>
      <c r="Q40" s="361">
        <v>6.7172765740500076</v>
      </c>
      <c r="T40" s="205"/>
    </row>
    <row r="41" spans="1:20" x14ac:dyDescent="0.2">
      <c r="A41" s="3">
        <v>38</v>
      </c>
      <c r="B41" s="304">
        <v>85</v>
      </c>
      <c r="C41" s="304">
        <v>0</v>
      </c>
      <c r="D41" s="304">
        <v>2.5</v>
      </c>
      <c r="E41" s="304">
        <v>3.5</v>
      </c>
      <c r="F41" s="304">
        <v>1.5</v>
      </c>
      <c r="G41" s="304">
        <v>15</v>
      </c>
      <c r="H41" s="304">
        <v>0.5</v>
      </c>
      <c r="I41" s="304">
        <v>1</v>
      </c>
      <c r="J41" s="304">
        <v>0.6</v>
      </c>
      <c r="K41" s="304">
        <v>60</v>
      </c>
      <c r="L41" s="304">
        <v>0.11</v>
      </c>
      <c r="M41" s="333">
        <v>0.9</v>
      </c>
      <c r="N41" s="338">
        <v>0.11666</v>
      </c>
      <c r="O41" s="349">
        <v>-13.511007197090217</v>
      </c>
      <c r="P41" s="358">
        <v>-0.79995628135756192</v>
      </c>
      <c r="Q41" s="361">
        <v>-9.8535689620457241</v>
      </c>
      <c r="T41" s="205"/>
    </row>
    <row r="42" spans="1:20" x14ac:dyDescent="0.2">
      <c r="A42" s="3">
        <v>39</v>
      </c>
      <c r="B42" s="304">
        <v>95</v>
      </c>
      <c r="C42" s="304">
        <v>-0.01</v>
      </c>
      <c r="D42" s="304">
        <v>3.5</v>
      </c>
      <c r="E42" s="304">
        <v>4.5</v>
      </c>
      <c r="F42" s="304">
        <v>1.5</v>
      </c>
      <c r="G42" s="304">
        <v>15</v>
      </c>
      <c r="H42" s="304">
        <v>0.75</v>
      </c>
      <c r="I42" s="304">
        <v>1.5</v>
      </c>
      <c r="J42" s="304">
        <v>0.3</v>
      </c>
      <c r="K42" s="304">
        <v>40</v>
      </c>
      <c r="L42" s="304">
        <v>7.0000000000000007E-2</v>
      </c>
      <c r="M42" s="333">
        <v>1.1000000000000001</v>
      </c>
      <c r="N42" s="338">
        <v>0.05</v>
      </c>
      <c r="O42" s="349">
        <v>-24.505980924374423</v>
      </c>
      <c r="P42" s="358">
        <v>-0.9449307397880583</v>
      </c>
      <c r="Q42" s="361">
        <v>-21.248327598031288</v>
      </c>
      <c r="T42" s="205"/>
    </row>
    <row r="43" spans="1:20" x14ac:dyDescent="0.2">
      <c r="A43" s="3">
        <v>40</v>
      </c>
      <c r="B43" s="304">
        <v>65</v>
      </c>
      <c r="C43" s="304">
        <v>0.01</v>
      </c>
      <c r="D43" s="304">
        <v>1.5</v>
      </c>
      <c r="E43" s="304">
        <v>2.5</v>
      </c>
      <c r="F43" s="304">
        <v>0.75</v>
      </c>
      <c r="G43" s="304">
        <v>20</v>
      </c>
      <c r="H43" s="304">
        <v>0.25</v>
      </c>
      <c r="I43" s="304">
        <v>1</v>
      </c>
      <c r="J43" s="304">
        <v>0.6</v>
      </c>
      <c r="K43" s="304">
        <v>80</v>
      </c>
      <c r="L43" s="304">
        <v>0.11</v>
      </c>
      <c r="M43" s="333">
        <v>0.7</v>
      </c>
      <c r="N43" s="338">
        <v>0.11666</v>
      </c>
      <c r="O43" s="349">
        <v>-19.990263042488372</v>
      </c>
      <c r="P43" s="358">
        <v>-6.439039293879758</v>
      </c>
      <c r="Q43" s="361">
        <v>-17.496187435733447</v>
      </c>
      <c r="T43" s="205"/>
    </row>
    <row r="44" spans="1:20" x14ac:dyDescent="0.2">
      <c r="A44" s="3">
        <v>41</v>
      </c>
      <c r="B44" s="304">
        <v>95</v>
      </c>
      <c r="C44" s="304">
        <v>0.01</v>
      </c>
      <c r="D44" s="304">
        <v>2.5</v>
      </c>
      <c r="E44" s="304">
        <v>3.5</v>
      </c>
      <c r="F44" s="304">
        <v>2.25</v>
      </c>
      <c r="G44" s="304">
        <v>15</v>
      </c>
      <c r="H44" s="304">
        <v>0.25</v>
      </c>
      <c r="I44" s="304">
        <v>1.5</v>
      </c>
      <c r="J44" s="304">
        <v>0.9</v>
      </c>
      <c r="K44" s="304">
        <v>40</v>
      </c>
      <c r="L44" s="304">
        <v>7.0000000000000007E-2</v>
      </c>
      <c r="M44" s="333">
        <v>0.7</v>
      </c>
      <c r="N44" s="338">
        <v>0.15</v>
      </c>
      <c r="O44" s="349">
        <v>-14.55374147007989</v>
      </c>
      <c r="P44" s="358">
        <v>-4.3137491030769564</v>
      </c>
      <c r="Q44" s="361">
        <v>-13.147896148154349</v>
      </c>
      <c r="T44" s="205"/>
    </row>
    <row r="45" spans="1:20" x14ac:dyDescent="0.2">
      <c r="A45" s="3">
        <v>42</v>
      </c>
      <c r="B45" s="304">
        <v>95</v>
      </c>
      <c r="C45" s="304">
        <v>-0.01</v>
      </c>
      <c r="D45" s="304">
        <v>3.5</v>
      </c>
      <c r="E45" s="304">
        <v>1.5</v>
      </c>
      <c r="F45" s="304">
        <v>2.25</v>
      </c>
      <c r="G45" s="304">
        <v>20</v>
      </c>
      <c r="H45" s="304">
        <v>0.75</v>
      </c>
      <c r="I45" s="304">
        <v>1.5</v>
      </c>
      <c r="J45" s="304">
        <v>0.9</v>
      </c>
      <c r="K45" s="304">
        <v>40</v>
      </c>
      <c r="L45" s="304">
        <v>0.15</v>
      </c>
      <c r="M45" s="333">
        <v>1.3</v>
      </c>
      <c r="N45" s="338">
        <v>0.15</v>
      </c>
      <c r="O45" s="349">
        <v>9.3977952402141423</v>
      </c>
      <c r="P45" s="358">
        <v>17.841254942878017</v>
      </c>
      <c r="Q45" s="361">
        <v>15.719965298201533</v>
      </c>
      <c r="T45" s="205"/>
    </row>
    <row r="46" spans="1:20" x14ac:dyDescent="0.2">
      <c r="A46" s="3">
        <v>43</v>
      </c>
      <c r="B46" s="304">
        <v>95</v>
      </c>
      <c r="C46" s="304">
        <v>-0.01</v>
      </c>
      <c r="D46" s="304">
        <v>2.5</v>
      </c>
      <c r="E46" s="304">
        <v>4.5</v>
      </c>
      <c r="F46" s="304">
        <v>2.25</v>
      </c>
      <c r="G46" s="304">
        <v>20</v>
      </c>
      <c r="H46" s="304">
        <v>0.5</v>
      </c>
      <c r="I46" s="304">
        <v>1.5</v>
      </c>
      <c r="J46" s="304">
        <v>0.3</v>
      </c>
      <c r="K46" s="304">
        <v>80</v>
      </c>
      <c r="L46" s="304">
        <v>0.11</v>
      </c>
      <c r="M46" s="333">
        <v>0.7</v>
      </c>
      <c r="N46" s="338">
        <v>0.05</v>
      </c>
      <c r="O46" s="349">
        <v>-63.834588055966449</v>
      </c>
      <c r="P46" s="358">
        <v>-38.528450473932651</v>
      </c>
      <c r="Q46" s="361">
        <v>-59.03017571520293</v>
      </c>
      <c r="T46" s="205"/>
    </row>
    <row r="47" spans="1:20" x14ac:dyDescent="0.2">
      <c r="A47" s="3">
        <v>44</v>
      </c>
      <c r="B47" s="304">
        <v>95</v>
      </c>
      <c r="C47" s="304">
        <v>-0.01</v>
      </c>
      <c r="D47" s="304">
        <v>1.5</v>
      </c>
      <c r="E47" s="304">
        <v>3.5</v>
      </c>
      <c r="F47" s="304">
        <v>0.75</v>
      </c>
      <c r="G47" s="304">
        <v>15</v>
      </c>
      <c r="H47" s="304">
        <v>0.5</v>
      </c>
      <c r="I47" s="304">
        <v>1.5</v>
      </c>
      <c r="J47" s="304">
        <v>0.3</v>
      </c>
      <c r="K47" s="304">
        <v>60</v>
      </c>
      <c r="L47" s="304">
        <v>0.15</v>
      </c>
      <c r="M47" s="333">
        <v>0.7</v>
      </c>
      <c r="N47" s="338">
        <v>0.05</v>
      </c>
      <c r="O47" s="349">
        <v>-37.59872458199942</v>
      </c>
      <c r="P47" s="358">
        <v>-12.645245610068905</v>
      </c>
      <c r="Q47" s="361">
        <v>-30.52116759786907</v>
      </c>
      <c r="T47" s="205"/>
    </row>
    <row r="48" spans="1:20" x14ac:dyDescent="0.2">
      <c r="A48" s="3">
        <v>45</v>
      </c>
      <c r="B48" s="304">
        <v>65</v>
      </c>
      <c r="C48" s="304">
        <v>0.01</v>
      </c>
      <c r="D48" s="304">
        <v>3.5</v>
      </c>
      <c r="E48" s="304">
        <v>2.5</v>
      </c>
      <c r="F48" s="304">
        <v>2.25</v>
      </c>
      <c r="G48" s="304">
        <v>15</v>
      </c>
      <c r="H48" s="304">
        <v>0.25</v>
      </c>
      <c r="I48" s="304">
        <v>1</v>
      </c>
      <c r="J48" s="304">
        <v>0.3</v>
      </c>
      <c r="K48" s="304">
        <v>80</v>
      </c>
      <c r="L48" s="304">
        <v>0.11</v>
      </c>
      <c r="M48" s="333">
        <v>0.7</v>
      </c>
      <c r="N48" s="338">
        <v>0.15</v>
      </c>
      <c r="O48" s="349">
        <v>-16.407730395075191</v>
      </c>
      <c r="P48" s="358">
        <v>-5.8695554873906515</v>
      </c>
      <c r="Q48" s="361">
        <v>-14.252649734274323</v>
      </c>
      <c r="T48" s="205"/>
    </row>
    <row r="49" spans="1:20" x14ac:dyDescent="0.2">
      <c r="A49" s="3">
        <v>46</v>
      </c>
      <c r="B49" s="304">
        <v>95</v>
      </c>
      <c r="C49" s="304">
        <v>0</v>
      </c>
      <c r="D49" s="304">
        <v>3.5</v>
      </c>
      <c r="E49" s="304">
        <v>1.5</v>
      </c>
      <c r="F49" s="304">
        <v>2.25</v>
      </c>
      <c r="G49" s="304">
        <v>15</v>
      </c>
      <c r="H49" s="304">
        <v>0.5</v>
      </c>
      <c r="I49" s="304">
        <v>1.5</v>
      </c>
      <c r="J49" s="304">
        <v>0.3</v>
      </c>
      <c r="K49" s="304">
        <v>60</v>
      </c>
      <c r="L49" s="304">
        <v>7.0000000000000007E-2</v>
      </c>
      <c r="M49" s="333">
        <v>1.3</v>
      </c>
      <c r="N49" s="338">
        <v>0.05</v>
      </c>
      <c r="O49" s="349">
        <v>29.229171656842258</v>
      </c>
      <c r="P49" s="358">
        <v>48.544709566812713</v>
      </c>
      <c r="Q49" s="361">
        <v>32.788173881473057</v>
      </c>
      <c r="T49" s="205"/>
    </row>
    <row r="50" spans="1:20" x14ac:dyDescent="0.2">
      <c r="A50" s="3">
        <v>47</v>
      </c>
      <c r="B50" s="304">
        <v>95</v>
      </c>
      <c r="C50" s="304">
        <v>-0.01</v>
      </c>
      <c r="D50" s="304">
        <v>2.5</v>
      </c>
      <c r="E50" s="304">
        <v>3.5</v>
      </c>
      <c r="F50" s="304">
        <v>2.25</v>
      </c>
      <c r="G50" s="304">
        <v>20</v>
      </c>
      <c r="H50" s="304">
        <v>0.5</v>
      </c>
      <c r="I50" s="304">
        <v>1.5</v>
      </c>
      <c r="J50" s="304">
        <v>0.9</v>
      </c>
      <c r="K50" s="304">
        <v>80</v>
      </c>
      <c r="L50" s="304">
        <v>0.15</v>
      </c>
      <c r="M50" s="333">
        <v>0.7</v>
      </c>
      <c r="N50" s="338">
        <v>0.15</v>
      </c>
      <c r="O50" s="349">
        <v>-24.176438615920173</v>
      </c>
      <c r="P50" s="358">
        <v>-13.638263708235636</v>
      </c>
      <c r="Q50" s="361">
        <v>-19.826389809760375</v>
      </c>
      <c r="T50" s="205"/>
    </row>
    <row r="51" spans="1:20" x14ac:dyDescent="0.2">
      <c r="A51" s="3">
        <v>48</v>
      </c>
      <c r="B51" s="304">
        <v>85</v>
      </c>
      <c r="C51" s="304">
        <v>0</v>
      </c>
      <c r="D51" s="304">
        <v>1.5</v>
      </c>
      <c r="E51" s="304">
        <v>1.5</v>
      </c>
      <c r="F51" s="304">
        <v>1.5</v>
      </c>
      <c r="G51" s="304">
        <v>15</v>
      </c>
      <c r="H51" s="304">
        <v>0.5</v>
      </c>
      <c r="I51" s="304">
        <v>1.5</v>
      </c>
      <c r="J51" s="304">
        <v>0.6</v>
      </c>
      <c r="K51" s="304">
        <v>80</v>
      </c>
      <c r="L51" s="304">
        <v>0.11</v>
      </c>
      <c r="M51" s="333">
        <v>0.9</v>
      </c>
      <c r="N51" s="338">
        <v>0.11666</v>
      </c>
      <c r="O51" s="349">
        <v>0.81923367329061869</v>
      </c>
      <c r="P51" s="358">
        <v>11.979375530496442</v>
      </c>
      <c r="Q51" s="361">
        <v>4.021028358895725</v>
      </c>
      <c r="T51" s="205"/>
    </row>
    <row r="52" spans="1:20" x14ac:dyDescent="0.2">
      <c r="A52" s="3">
        <v>49</v>
      </c>
      <c r="B52" s="304">
        <v>95</v>
      </c>
      <c r="C52" s="304">
        <v>0.01</v>
      </c>
      <c r="D52" s="304">
        <v>3.5</v>
      </c>
      <c r="E52" s="304">
        <v>3.5</v>
      </c>
      <c r="F52" s="304">
        <v>1.5</v>
      </c>
      <c r="G52" s="304">
        <v>15</v>
      </c>
      <c r="H52" s="304">
        <v>0.5</v>
      </c>
      <c r="I52" s="304">
        <v>1</v>
      </c>
      <c r="J52" s="304">
        <v>0.3</v>
      </c>
      <c r="K52" s="304">
        <v>80</v>
      </c>
      <c r="L52" s="304">
        <v>7.0000000000000007E-2</v>
      </c>
      <c r="M52" s="333">
        <v>0.7</v>
      </c>
      <c r="N52" s="338">
        <v>0.05</v>
      </c>
      <c r="O52" s="349">
        <v>-25.655783222047734</v>
      </c>
      <c r="P52" s="358">
        <v>-1.5941595434814173</v>
      </c>
      <c r="Q52" s="361">
        <v>-23.104561782042822</v>
      </c>
      <c r="T52" s="205"/>
    </row>
    <row r="53" spans="1:20" x14ac:dyDescent="0.2">
      <c r="A53" s="3">
        <v>50</v>
      </c>
      <c r="B53" s="304">
        <v>95</v>
      </c>
      <c r="C53" s="304">
        <v>0.01</v>
      </c>
      <c r="D53" s="304">
        <v>3.5</v>
      </c>
      <c r="E53" s="304">
        <v>4.5</v>
      </c>
      <c r="F53" s="304">
        <v>2.25</v>
      </c>
      <c r="G53" s="304">
        <v>15</v>
      </c>
      <c r="H53" s="304">
        <v>0.75</v>
      </c>
      <c r="I53" s="304">
        <v>0.5</v>
      </c>
      <c r="J53" s="304">
        <v>0.9</v>
      </c>
      <c r="K53" s="304">
        <v>40</v>
      </c>
      <c r="L53" s="304">
        <v>7.0000000000000007E-2</v>
      </c>
      <c r="M53" s="333">
        <v>1.1000000000000001</v>
      </c>
      <c r="N53" s="338">
        <v>0.05</v>
      </c>
      <c r="O53" s="349">
        <v>-16.509922143758825</v>
      </c>
      <c r="P53" s="358">
        <v>6.4937906508028194</v>
      </c>
      <c r="Q53" s="361">
        <v>-12.756094508954691</v>
      </c>
      <c r="T53" s="205"/>
    </row>
    <row r="54" spans="1:20" x14ac:dyDescent="0.2">
      <c r="A54" s="3">
        <v>51</v>
      </c>
      <c r="B54" s="304">
        <v>65</v>
      </c>
      <c r="C54" s="304">
        <v>0</v>
      </c>
      <c r="D54" s="304">
        <v>2.5</v>
      </c>
      <c r="E54" s="304">
        <v>4.5</v>
      </c>
      <c r="F54" s="304">
        <v>0.75</v>
      </c>
      <c r="G54" s="304">
        <v>10</v>
      </c>
      <c r="H54" s="304">
        <v>0.75</v>
      </c>
      <c r="I54" s="304">
        <v>0.5</v>
      </c>
      <c r="J54" s="304">
        <v>0.9</v>
      </c>
      <c r="K54" s="304">
        <v>60</v>
      </c>
      <c r="L54" s="304">
        <v>0.15</v>
      </c>
      <c r="M54" s="333">
        <v>1.3</v>
      </c>
      <c r="N54" s="338">
        <v>0.05</v>
      </c>
      <c r="O54" s="349">
        <v>-36.490038812915373</v>
      </c>
      <c r="P54" s="358">
        <v>-11.891706767979878</v>
      </c>
      <c r="Q54" s="361">
        <v>-26.947567867436998</v>
      </c>
      <c r="T54" s="205"/>
    </row>
    <row r="55" spans="1:20" x14ac:dyDescent="0.2">
      <c r="A55" s="3">
        <v>52</v>
      </c>
      <c r="B55" s="304">
        <v>75</v>
      </c>
      <c r="C55" s="304">
        <v>-0.01</v>
      </c>
      <c r="D55" s="304">
        <v>1.5</v>
      </c>
      <c r="E55" s="304">
        <v>4.5</v>
      </c>
      <c r="F55" s="304">
        <v>0.75</v>
      </c>
      <c r="G55" s="304">
        <v>10</v>
      </c>
      <c r="H55" s="304">
        <v>0.75</v>
      </c>
      <c r="I55" s="304">
        <v>1.5</v>
      </c>
      <c r="J55" s="304">
        <v>0.6</v>
      </c>
      <c r="K55" s="304">
        <v>80</v>
      </c>
      <c r="L55" s="304">
        <v>0.15</v>
      </c>
      <c r="M55" s="333">
        <v>0.9</v>
      </c>
      <c r="N55" s="338">
        <v>0.15</v>
      </c>
      <c r="O55" s="349">
        <v>-22.491546655365958</v>
      </c>
      <c r="P55" s="358">
        <v>-11.953371747681423</v>
      </c>
      <c r="Q55" s="361">
        <v>-18.087638538191669</v>
      </c>
      <c r="T55" s="205"/>
    </row>
    <row r="56" spans="1:20" x14ac:dyDescent="0.2">
      <c r="A56" s="3">
        <v>53</v>
      </c>
      <c r="B56" s="304">
        <v>65</v>
      </c>
      <c r="C56" s="304">
        <v>-0.01</v>
      </c>
      <c r="D56" s="304">
        <v>3.5</v>
      </c>
      <c r="E56" s="304">
        <v>4.5</v>
      </c>
      <c r="F56" s="304">
        <v>0.75</v>
      </c>
      <c r="G56" s="304">
        <v>10</v>
      </c>
      <c r="H56" s="304">
        <v>0.75</v>
      </c>
      <c r="I56" s="304">
        <v>0.5</v>
      </c>
      <c r="J56" s="304">
        <v>0.6</v>
      </c>
      <c r="K56" s="304">
        <v>40</v>
      </c>
      <c r="L56" s="304">
        <v>7.0000000000000007E-2</v>
      </c>
      <c r="M56" s="333">
        <v>0.7</v>
      </c>
      <c r="N56" s="338">
        <v>0.15</v>
      </c>
      <c r="O56" s="349">
        <v>-25.039092392616645</v>
      </c>
      <c r="P56" s="358">
        <v>-14.500917484932096</v>
      </c>
      <c r="Q56" s="361">
        <v>-24.14768601250794</v>
      </c>
      <c r="T56" s="205"/>
    </row>
    <row r="57" spans="1:20" x14ac:dyDescent="0.2">
      <c r="A57" s="3">
        <v>54</v>
      </c>
      <c r="B57" s="304">
        <v>65</v>
      </c>
      <c r="C57" s="304">
        <v>0</v>
      </c>
      <c r="D57" s="304">
        <v>1.5</v>
      </c>
      <c r="E57" s="304">
        <v>1.5</v>
      </c>
      <c r="F57" s="304">
        <v>0.75</v>
      </c>
      <c r="G57" s="304">
        <v>20</v>
      </c>
      <c r="H57" s="304">
        <v>0.75</v>
      </c>
      <c r="I57" s="304">
        <v>0.5</v>
      </c>
      <c r="J57" s="304">
        <v>0.6</v>
      </c>
      <c r="K57" s="304">
        <v>40</v>
      </c>
      <c r="L57" s="304">
        <v>0.15</v>
      </c>
      <c r="M57" s="333">
        <v>1.3</v>
      </c>
      <c r="N57" s="338">
        <v>0.15</v>
      </c>
      <c r="O57" s="349">
        <v>3.1628157476711105</v>
      </c>
      <c r="P57" s="358">
        <v>11.481141122187134</v>
      </c>
      <c r="Q57" s="361">
        <v>7.7084997153624899</v>
      </c>
      <c r="T57" s="205"/>
    </row>
    <row r="58" spans="1:20" x14ac:dyDescent="0.2">
      <c r="A58" s="3">
        <v>55</v>
      </c>
      <c r="B58" s="304">
        <v>95</v>
      </c>
      <c r="C58" s="304">
        <v>0.01</v>
      </c>
      <c r="D58" s="304">
        <v>1.5</v>
      </c>
      <c r="E58" s="304">
        <v>1.5</v>
      </c>
      <c r="F58" s="304">
        <v>0.75</v>
      </c>
      <c r="G58" s="304">
        <v>10</v>
      </c>
      <c r="H58" s="304">
        <v>0.25</v>
      </c>
      <c r="I58" s="304">
        <v>1</v>
      </c>
      <c r="J58" s="304">
        <v>0.9</v>
      </c>
      <c r="K58" s="304">
        <v>80</v>
      </c>
      <c r="L58" s="304">
        <v>7.0000000000000007E-2</v>
      </c>
      <c r="M58" s="333">
        <v>1.3</v>
      </c>
      <c r="N58" s="338">
        <v>0.15</v>
      </c>
      <c r="O58" s="349">
        <v>28.120119939037256</v>
      </c>
      <c r="P58" s="358">
        <v>36.023751119800664</v>
      </c>
      <c r="Q58" s="361">
        <v>30.06637823184035</v>
      </c>
      <c r="T58" s="205"/>
    </row>
    <row r="59" spans="1:20" x14ac:dyDescent="0.2">
      <c r="A59" s="3">
        <v>56</v>
      </c>
      <c r="B59" s="304">
        <v>65</v>
      </c>
      <c r="C59" s="304">
        <v>0.01</v>
      </c>
      <c r="D59" s="304">
        <v>2.5</v>
      </c>
      <c r="E59" s="304">
        <v>4.5</v>
      </c>
      <c r="F59" s="304">
        <v>0.75</v>
      </c>
      <c r="G59" s="304">
        <v>20</v>
      </c>
      <c r="H59" s="304">
        <v>0.75</v>
      </c>
      <c r="I59" s="304">
        <v>0.5</v>
      </c>
      <c r="J59" s="304">
        <v>0.3</v>
      </c>
      <c r="K59" s="304">
        <v>80</v>
      </c>
      <c r="L59" s="304">
        <v>7.0000000000000007E-2</v>
      </c>
      <c r="M59" s="333">
        <v>1.3</v>
      </c>
      <c r="N59" s="338">
        <v>0.15</v>
      </c>
      <c r="O59" s="349">
        <v>-10.902793783162481</v>
      </c>
      <c r="P59" s="358">
        <v>-1.0262112133897683</v>
      </c>
      <c r="Q59" s="361">
        <v>-9.2075831209484438</v>
      </c>
      <c r="T59" s="205"/>
    </row>
    <row r="60" spans="1:20" x14ac:dyDescent="0.2">
      <c r="A60" s="3">
        <v>57</v>
      </c>
      <c r="B60" s="304">
        <v>95</v>
      </c>
      <c r="C60" s="304">
        <v>-0.01</v>
      </c>
      <c r="D60" s="304">
        <v>3.5</v>
      </c>
      <c r="E60" s="304">
        <v>4.5</v>
      </c>
      <c r="F60" s="304">
        <v>1.5</v>
      </c>
      <c r="G60" s="304">
        <v>15</v>
      </c>
      <c r="H60" s="304">
        <v>0.25</v>
      </c>
      <c r="I60" s="304">
        <v>0.5</v>
      </c>
      <c r="J60" s="304">
        <v>0.9</v>
      </c>
      <c r="K60" s="304">
        <v>80</v>
      </c>
      <c r="L60" s="304">
        <v>7.0000000000000007E-2</v>
      </c>
      <c r="M60" s="333">
        <v>0.7</v>
      </c>
      <c r="N60" s="338">
        <v>0.05</v>
      </c>
      <c r="O60" s="349">
        <v>-53.60591916028018</v>
      </c>
      <c r="P60" s="358">
        <v>-28.329331231098411</v>
      </c>
      <c r="Q60" s="361">
        <v>-51.326844194328331</v>
      </c>
      <c r="T60" s="205"/>
    </row>
    <row r="61" spans="1:20" x14ac:dyDescent="0.2">
      <c r="A61" s="3">
        <v>58</v>
      </c>
      <c r="B61" s="304">
        <v>65</v>
      </c>
      <c r="C61" s="304">
        <v>-0.01</v>
      </c>
      <c r="D61" s="304">
        <v>3.5</v>
      </c>
      <c r="E61" s="304">
        <v>3.5</v>
      </c>
      <c r="F61" s="304">
        <v>0.75</v>
      </c>
      <c r="G61" s="304">
        <v>10</v>
      </c>
      <c r="H61" s="304">
        <v>0.25</v>
      </c>
      <c r="I61" s="304">
        <v>1</v>
      </c>
      <c r="J61" s="304">
        <v>0.6</v>
      </c>
      <c r="K61" s="304">
        <v>80</v>
      </c>
      <c r="L61" s="304">
        <v>7.0000000000000007E-2</v>
      </c>
      <c r="M61" s="333">
        <v>1.3</v>
      </c>
      <c r="N61" s="338">
        <v>0.05</v>
      </c>
      <c r="O61" s="349">
        <v>-18.309320446872192</v>
      </c>
      <c r="P61" s="358">
        <v>5.0140439287837006</v>
      </c>
      <c r="Q61" s="361">
        <v>-15.588544062875066</v>
      </c>
      <c r="T61" s="205"/>
    </row>
    <row r="62" spans="1:20" x14ac:dyDescent="0.2">
      <c r="A62" s="3">
        <v>59</v>
      </c>
      <c r="B62" s="304">
        <v>95</v>
      </c>
      <c r="C62" s="304">
        <v>0</v>
      </c>
      <c r="D62" s="304">
        <v>1.5</v>
      </c>
      <c r="E62" s="304">
        <v>4.5</v>
      </c>
      <c r="F62" s="304">
        <v>2.25</v>
      </c>
      <c r="G62" s="304">
        <v>20</v>
      </c>
      <c r="H62" s="304">
        <v>0.75</v>
      </c>
      <c r="I62" s="304">
        <v>1.5</v>
      </c>
      <c r="J62" s="304">
        <v>0.3</v>
      </c>
      <c r="K62" s="304">
        <v>80</v>
      </c>
      <c r="L62" s="304">
        <v>7.0000000000000007E-2</v>
      </c>
      <c r="M62" s="333">
        <v>1.1000000000000001</v>
      </c>
      <c r="N62" s="338">
        <v>0.15</v>
      </c>
      <c r="O62" s="349">
        <v>-8.5221922173324813</v>
      </c>
      <c r="P62" s="358">
        <v>1.0937712100680546</v>
      </c>
      <c r="Q62" s="361">
        <v>-6.6294994684226589</v>
      </c>
      <c r="T62" s="205"/>
    </row>
    <row r="63" spans="1:20" x14ac:dyDescent="0.2">
      <c r="A63" s="3">
        <v>60</v>
      </c>
      <c r="B63" s="304">
        <v>95</v>
      </c>
      <c r="C63" s="304">
        <v>0</v>
      </c>
      <c r="D63" s="304">
        <v>1.5</v>
      </c>
      <c r="E63" s="304">
        <v>3.5</v>
      </c>
      <c r="F63" s="304">
        <v>2.25</v>
      </c>
      <c r="G63" s="304">
        <v>20</v>
      </c>
      <c r="H63" s="304">
        <v>0.25</v>
      </c>
      <c r="I63" s="304">
        <v>0.5</v>
      </c>
      <c r="J63" s="304">
        <v>0.6</v>
      </c>
      <c r="K63" s="304">
        <v>80</v>
      </c>
      <c r="L63" s="304">
        <v>0.15</v>
      </c>
      <c r="M63" s="333">
        <v>0.7</v>
      </c>
      <c r="N63" s="338">
        <v>0.11666</v>
      </c>
      <c r="O63" s="349">
        <v>-23.452553347849243</v>
      </c>
      <c r="P63" s="358">
        <v>-9.9089858335077228</v>
      </c>
      <c r="Q63" s="361">
        <v>-18.17911403864791</v>
      </c>
      <c r="T63" s="205"/>
    </row>
    <row r="64" spans="1:20" x14ac:dyDescent="0.2">
      <c r="A64" s="3">
        <v>61</v>
      </c>
      <c r="B64" s="304">
        <v>65</v>
      </c>
      <c r="C64" s="304">
        <v>-0.01</v>
      </c>
      <c r="D64" s="304">
        <v>1.5</v>
      </c>
      <c r="E64" s="304">
        <v>1.5</v>
      </c>
      <c r="F64" s="304">
        <v>2.25</v>
      </c>
      <c r="G64" s="304">
        <v>10</v>
      </c>
      <c r="H64" s="304">
        <v>0.75</v>
      </c>
      <c r="I64" s="304">
        <v>1.5</v>
      </c>
      <c r="J64" s="304">
        <v>0.3</v>
      </c>
      <c r="K64" s="304">
        <v>80</v>
      </c>
      <c r="L64" s="304">
        <v>0.15</v>
      </c>
      <c r="M64" s="333">
        <v>1.3</v>
      </c>
      <c r="N64" s="338">
        <v>0.05</v>
      </c>
      <c r="O64" s="349">
        <v>-5.452183922224946</v>
      </c>
      <c r="P64" s="358">
        <v>16.386177813505075</v>
      </c>
      <c r="Q64" s="361">
        <v>2.5650351618844947</v>
      </c>
      <c r="T64" s="205"/>
    </row>
    <row r="65" spans="1:20" x14ac:dyDescent="0.2">
      <c r="A65" s="3">
        <v>62</v>
      </c>
      <c r="B65" s="304">
        <v>75</v>
      </c>
      <c r="C65" s="304">
        <v>0</v>
      </c>
      <c r="D65" s="304">
        <v>3.5</v>
      </c>
      <c r="E65" s="304">
        <v>4.5</v>
      </c>
      <c r="F65" s="304">
        <v>0.75</v>
      </c>
      <c r="G65" s="304">
        <v>20</v>
      </c>
      <c r="H65" s="304">
        <v>0.5</v>
      </c>
      <c r="I65" s="304">
        <v>0.5</v>
      </c>
      <c r="J65" s="304">
        <v>0.9</v>
      </c>
      <c r="K65" s="304">
        <v>80</v>
      </c>
      <c r="L65" s="304">
        <v>7.0000000000000007E-2</v>
      </c>
      <c r="M65" s="333">
        <v>0.7</v>
      </c>
      <c r="N65" s="338">
        <v>0.15</v>
      </c>
      <c r="O65" s="349">
        <v>-26.87475340682164</v>
      </c>
      <c r="P65" s="358">
        <v>-16.336578499137097</v>
      </c>
      <c r="Q65" s="361">
        <v>-25.808766424248695</v>
      </c>
      <c r="T65" s="205"/>
    </row>
    <row r="66" spans="1:20" x14ac:dyDescent="0.2">
      <c r="A66" s="3">
        <v>63</v>
      </c>
      <c r="B66" s="304">
        <v>75</v>
      </c>
      <c r="C66" s="304">
        <v>0.01</v>
      </c>
      <c r="D66" s="304">
        <v>3.5</v>
      </c>
      <c r="E66" s="304">
        <v>1.5</v>
      </c>
      <c r="F66" s="304">
        <v>0.75</v>
      </c>
      <c r="G66" s="304">
        <v>10</v>
      </c>
      <c r="H66" s="304">
        <v>0.25</v>
      </c>
      <c r="I66" s="304">
        <v>0.5</v>
      </c>
      <c r="J66" s="304">
        <v>0.3</v>
      </c>
      <c r="K66" s="304">
        <v>40</v>
      </c>
      <c r="L66" s="304">
        <v>0.15</v>
      </c>
      <c r="M66" s="333">
        <v>0.7</v>
      </c>
      <c r="N66" s="338">
        <v>0.05</v>
      </c>
      <c r="O66" s="349">
        <v>-1.4609716464621538</v>
      </c>
      <c r="P66" s="358">
        <v>18.955598332476093</v>
      </c>
      <c r="Q66" s="361">
        <v>4.2356288964296702</v>
      </c>
      <c r="T66" s="205"/>
    </row>
    <row r="67" spans="1:20" x14ac:dyDescent="0.2">
      <c r="A67" s="3">
        <v>64</v>
      </c>
      <c r="B67" s="304">
        <v>85</v>
      </c>
      <c r="C67" s="304">
        <v>0</v>
      </c>
      <c r="D67" s="304">
        <v>1.5</v>
      </c>
      <c r="E67" s="304">
        <v>2.5</v>
      </c>
      <c r="F67" s="304">
        <v>0.75</v>
      </c>
      <c r="G67" s="304">
        <v>15</v>
      </c>
      <c r="H67" s="304">
        <v>0.5</v>
      </c>
      <c r="I67" s="304">
        <v>0.5</v>
      </c>
      <c r="J67" s="304">
        <v>0.3</v>
      </c>
      <c r="K67" s="304">
        <v>40</v>
      </c>
      <c r="L67" s="304">
        <v>7.0000000000000007E-2</v>
      </c>
      <c r="M67" s="333">
        <v>0.7</v>
      </c>
      <c r="N67" s="338">
        <v>0.11666</v>
      </c>
      <c r="O67" s="349">
        <v>-4.5823235654858303</v>
      </c>
      <c r="P67" s="358">
        <v>7.1422962969479808</v>
      </c>
      <c r="Q67" s="361">
        <v>-3.33636354372269</v>
      </c>
      <c r="T67" s="205"/>
    </row>
    <row r="68" spans="1:20" x14ac:dyDescent="0.2">
      <c r="A68" s="3">
        <v>65</v>
      </c>
      <c r="B68" s="304">
        <v>65</v>
      </c>
      <c r="C68" s="304">
        <v>0.01</v>
      </c>
      <c r="D68" s="304">
        <v>2.5</v>
      </c>
      <c r="E68" s="304">
        <v>4.5</v>
      </c>
      <c r="F68" s="304">
        <v>0.75</v>
      </c>
      <c r="G68" s="304">
        <v>10</v>
      </c>
      <c r="H68" s="304">
        <v>0.5</v>
      </c>
      <c r="I68" s="304">
        <v>1.5</v>
      </c>
      <c r="J68" s="304">
        <v>0.9</v>
      </c>
      <c r="K68" s="304">
        <v>80</v>
      </c>
      <c r="L68" s="304">
        <v>7.0000000000000007E-2</v>
      </c>
      <c r="M68" s="333">
        <v>0.7</v>
      </c>
      <c r="N68" s="338">
        <v>8.3330000000000001E-2</v>
      </c>
      <c r="O68" s="349">
        <v>-46.966813922119989</v>
      </c>
      <c r="P68" s="358">
        <v>-28.853292790006616</v>
      </c>
      <c r="Q68" s="361">
        <v>-45.536958579415753</v>
      </c>
      <c r="T68" s="205"/>
    </row>
    <row r="69" spans="1:20" x14ac:dyDescent="0.2">
      <c r="A69" s="3">
        <v>66</v>
      </c>
      <c r="B69" s="304">
        <v>75</v>
      </c>
      <c r="C69" s="304">
        <v>0.01</v>
      </c>
      <c r="D69" s="304">
        <v>1.5</v>
      </c>
      <c r="E69" s="304">
        <v>1.5</v>
      </c>
      <c r="F69" s="304">
        <v>2.25</v>
      </c>
      <c r="G69" s="304">
        <v>10</v>
      </c>
      <c r="H69" s="304">
        <v>0.25</v>
      </c>
      <c r="I69" s="304">
        <v>1.5</v>
      </c>
      <c r="J69" s="304">
        <v>0.3</v>
      </c>
      <c r="K69" s="304">
        <v>60</v>
      </c>
      <c r="L69" s="304">
        <v>0.11</v>
      </c>
      <c r="M69" s="333">
        <v>0.9</v>
      </c>
      <c r="N69" s="338">
        <v>0.05</v>
      </c>
      <c r="O69" s="349">
        <v>-3.8535902022249888</v>
      </c>
      <c r="P69" s="358">
        <v>17.311285402252079</v>
      </c>
      <c r="Q69" s="361">
        <v>0.98048930757120334</v>
      </c>
      <c r="T69" s="205"/>
    </row>
    <row r="70" spans="1:20" x14ac:dyDescent="0.2">
      <c r="A70" s="3">
        <v>67</v>
      </c>
      <c r="B70" s="304">
        <v>95</v>
      </c>
      <c r="C70" s="304">
        <v>0</v>
      </c>
      <c r="D70" s="304">
        <v>3.5</v>
      </c>
      <c r="E70" s="304">
        <v>1.5</v>
      </c>
      <c r="F70" s="304">
        <v>0.75</v>
      </c>
      <c r="G70" s="304">
        <v>20</v>
      </c>
      <c r="H70" s="304">
        <v>0.25</v>
      </c>
      <c r="I70" s="304">
        <v>0.5</v>
      </c>
      <c r="J70" s="304">
        <v>0.9</v>
      </c>
      <c r="K70" s="304">
        <v>80</v>
      </c>
      <c r="L70" s="304">
        <v>7.0000000000000007E-2</v>
      </c>
      <c r="M70" s="333">
        <v>1.3</v>
      </c>
      <c r="N70" s="338">
        <v>8.3330000000000001E-2</v>
      </c>
      <c r="O70" s="349">
        <v>26.722120532412415</v>
      </c>
      <c r="P70" s="358">
        <v>40.428870186743389</v>
      </c>
      <c r="Q70" s="361">
        <v>29.482569905656074</v>
      </c>
      <c r="T70" s="205"/>
    </row>
    <row r="71" spans="1:20" x14ac:dyDescent="0.2">
      <c r="A71" s="3">
        <v>68</v>
      </c>
      <c r="B71" s="304">
        <v>95</v>
      </c>
      <c r="C71" s="304">
        <v>0.01</v>
      </c>
      <c r="D71" s="304">
        <v>1.5</v>
      </c>
      <c r="E71" s="304">
        <v>3.5</v>
      </c>
      <c r="F71" s="304">
        <v>0.75</v>
      </c>
      <c r="G71" s="304">
        <v>20</v>
      </c>
      <c r="H71" s="304">
        <v>0.25</v>
      </c>
      <c r="I71" s="304">
        <v>0.5</v>
      </c>
      <c r="J71" s="304">
        <v>0.9</v>
      </c>
      <c r="K71" s="304">
        <v>40</v>
      </c>
      <c r="L71" s="304">
        <v>7.0000000000000007E-2</v>
      </c>
      <c r="M71" s="333">
        <v>1.3</v>
      </c>
      <c r="N71" s="338">
        <v>0.15</v>
      </c>
      <c r="O71" s="349">
        <v>12.55901883539228</v>
      </c>
      <c r="P71" s="358">
        <v>20.738573334007381</v>
      </c>
      <c r="Q71" s="361">
        <v>14.579255838488468</v>
      </c>
      <c r="T71" s="205"/>
    </row>
    <row r="72" spans="1:20" x14ac:dyDescent="0.2">
      <c r="A72" s="3">
        <v>69</v>
      </c>
      <c r="B72" s="304">
        <v>75</v>
      </c>
      <c r="C72" s="304">
        <v>-0.01</v>
      </c>
      <c r="D72" s="304">
        <v>2.5</v>
      </c>
      <c r="E72" s="304">
        <v>1.5</v>
      </c>
      <c r="F72" s="304">
        <v>2.25</v>
      </c>
      <c r="G72" s="304">
        <v>10</v>
      </c>
      <c r="H72" s="304">
        <v>0.25</v>
      </c>
      <c r="I72" s="304">
        <v>1.5</v>
      </c>
      <c r="J72" s="304">
        <v>0.6</v>
      </c>
      <c r="K72" s="304">
        <v>60</v>
      </c>
      <c r="L72" s="304">
        <v>7.0000000000000007E-2</v>
      </c>
      <c r="M72" s="333">
        <v>1.3</v>
      </c>
      <c r="N72" s="338">
        <v>0.11666</v>
      </c>
      <c r="O72" s="349">
        <v>9.7118310544768089</v>
      </c>
      <c r="P72" s="358">
        <v>20.612033936414704</v>
      </c>
      <c r="Q72" s="361">
        <v>11.457648411640827</v>
      </c>
      <c r="T72" s="205"/>
    </row>
    <row r="73" spans="1:20" x14ac:dyDescent="0.2">
      <c r="A73" s="3">
        <v>70</v>
      </c>
      <c r="B73" s="304">
        <v>95</v>
      </c>
      <c r="C73" s="304">
        <v>0</v>
      </c>
      <c r="D73" s="304">
        <v>3.5</v>
      </c>
      <c r="E73" s="304">
        <v>2.5</v>
      </c>
      <c r="F73" s="304">
        <v>0.75</v>
      </c>
      <c r="G73" s="304">
        <v>10</v>
      </c>
      <c r="H73" s="304">
        <v>0.75</v>
      </c>
      <c r="I73" s="304">
        <v>1.5</v>
      </c>
      <c r="J73" s="304">
        <v>0.9</v>
      </c>
      <c r="K73" s="304">
        <v>80</v>
      </c>
      <c r="L73" s="304">
        <v>0.11</v>
      </c>
      <c r="M73" s="333">
        <v>1.1000000000000001</v>
      </c>
      <c r="N73" s="338">
        <v>0.15</v>
      </c>
      <c r="O73" s="349">
        <v>9.714435531232299</v>
      </c>
      <c r="P73" s="358">
        <v>18.077447853410103</v>
      </c>
      <c r="Q73" s="361">
        <v>13.347151270364568</v>
      </c>
      <c r="T73" s="205"/>
    </row>
    <row r="74" spans="1:20" x14ac:dyDescent="0.2">
      <c r="A74" s="3">
        <v>71</v>
      </c>
      <c r="B74" s="304">
        <v>95</v>
      </c>
      <c r="C74" s="304">
        <v>0.01</v>
      </c>
      <c r="D74" s="304">
        <v>3.5</v>
      </c>
      <c r="E74" s="304">
        <v>2.5</v>
      </c>
      <c r="F74" s="304">
        <v>2.25</v>
      </c>
      <c r="G74" s="304">
        <v>10</v>
      </c>
      <c r="H74" s="304">
        <v>0.5</v>
      </c>
      <c r="I74" s="304">
        <v>0.5</v>
      </c>
      <c r="J74" s="304">
        <v>0.6</v>
      </c>
      <c r="K74" s="304">
        <v>80</v>
      </c>
      <c r="L74" s="304">
        <v>7.0000000000000007E-2</v>
      </c>
      <c r="M74" s="333">
        <v>1.3</v>
      </c>
      <c r="N74" s="338">
        <v>0.15</v>
      </c>
      <c r="O74" s="349">
        <v>21.843646524338705</v>
      </c>
      <c r="P74" s="358">
        <v>29.793788923839866</v>
      </c>
      <c r="Q74" s="361">
        <v>23.836320628247758</v>
      </c>
      <c r="T74" s="205"/>
    </row>
    <row r="75" spans="1:20" x14ac:dyDescent="0.2">
      <c r="A75" s="3">
        <v>72</v>
      </c>
      <c r="B75" s="304">
        <v>85</v>
      </c>
      <c r="C75" s="304">
        <v>-0.01</v>
      </c>
      <c r="D75" s="304">
        <v>1.5</v>
      </c>
      <c r="E75" s="304">
        <v>4.5</v>
      </c>
      <c r="F75" s="304">
        <v>1.5</v>
      </c>
      <c r="G75" s="304">
        <v>10</v>
      </c>
      <c r="H75" s="304">
        <v>0.5</v>
      </c>
      <c r="I75" s="304">
        <v>1</v>
      </c>
      <c r="J75" s="304">
        <v>0.9</v>
      </c>
      <c r="K75" s="304">
        <v>60</v>
      </c>
      <c r="L75" s="304">
        <v>7.0000000000000007E-2</v>
      </c>
      <c r="M75" s="333">
        <v>0.7</v>
      </c>
      <c r="N75" s="338">
        <v>0.15</v>
      </c>
      <c r="O75" s="349">
        <v>-24.134088791856652</v>
      </c>
      <c r="P75" s="358">
        <v>-13.595913884172115</v>
      </c>
      <c r="Q75" s="361">
        <v>-23.008224187969983</v>
      </c>
      <c r="T75" s="205"/>
    </row>
    <row r="76" spans="1:20" x14ac:dyDescent="0.2">
      <c r="A76" s="3">
        <v>73</v>
      </c>
      <c r="B76" s="304">
        <v>95</v>
      </c>
      <c r="C76" s="304">
        <v>-0.01</v>
      </c>
      <c r="D76" s="304">
        <v>2.5</v>
      </c>
      <c r="E76" s="304">
        <v>1.5</v>
      </c>
      <c r="F76" s="304">
        <v>1.5</v>
      </c>
      <c r="G76" s="304">
        <v>15</v>
      </c>
      <c r="H76" s="304">
        <v>0.25</v>
      </c>
      <c r="I76" s="304">
        <v>1</v>
      </c>
      <c r="J76" s="304">
        <v>0.3</v>
      </c>
      <c r="K76" s="304">
        <v>80</v>
      </c>
      <c r="L76" s="304">
        <v>0.15</v>
      </c>
      <c r="M76" s="333">
        <v>1.3</v>
      </c>
      <c r="N76" s="338">
        <v>0.05</v>
      </c>
      <c r="O76" s="349">
        <v>20.461237456837548</v>
      </c>
      <c r="P76" s="358">
        <v>40.28327657598166</v>
      </c>
      <c r="Q76" s="361">
        <v>31.132887468472362</v>
      </c>
      <c r="T76" s="205"/>
    </row>
    <row r="77" spans="1:20" x14ac:dyDescent="0.2">
      <c r="A77" s="3">
        <v>74</v>
      </c>
      <c r="B77" s="304">
        <v>95</v>
      </c>
      <c r="C77" s="304">
        <v>0.01</v>
      </c>
      <c r="D77" s="304">
        <v>3.5</v>
      </c>
      <c r="E77" s="304">
        <v>1.5</v>
      </c>
      <c r="F77" s="304">
        <v>2.25</v>
      </c>
      <c r="G77" s="304">
        <v>20</v>
      </c>
      <c r="H77" s="304">
        <v>0.75</v>
      </c>
      <c r="I77" s="304">
        <v>1</v>
      </c>
      <c r="J77" s="304">
        <v>0.9</v>
      </c>
      <c r="K77" s="304">
        <v>40</v>
      </c>
      <c r="L77" s="304">
        <v>0.15</v>
      </c>
      <c r="M77" s="333">
        <v>0.7</v>
      </c>
      <c r="N77" s="338">
        <v>0.05</v>
      </c>
      <c r="O77" s="349">
        <v>-14.355063139018711</v>
      </c>
      <c r="P77" s="358">
        <v>8.4760815915823589</v>
      </c>
      <c r="Q77" s="361">
        <v>-6.6493697233109232</v>
      </c>
      <c r="T77" s="205"/>
    </row>
    <row r="78" spans="1:20" x14ac:dyDescent="0.2">
      <c r="A78" s="3">
        <v>75</v>
      </c>
      <c r="B78" s="304">
        <v>85</v>
      </c>
      <c r="C78" s="304">
        <v>0.01</v>
      </c>
      <c r="D78" s="304">
        <v>3.5</v>
      </c>
      <c r="E78" s="304">
        <v>4.5</v>
      </c>
      <c r="F78" s="304">
        <v>2.25</v>
      </c>
      <c r="G78" s="304">
        <v>10</v>
      </c>
      <c r="H78" s="304">
        <v>0.5</v>
      </c>
      <c r="I78" s="304">
        <v>1.5</v>
      </c>
      <c r="J78" s="304">
        <v>0.3</v>
      </c>
      <c r="K78" s="304">
        <v>40</v>
      </c>
      <c r="L78" s="304">
        <v>0.11</v>
      </c>
      <c r="M78" s="333">
        <v>0.9</v>
      </c>
      <c r="N78" s="338">
        <v>0.11666</v>
      </c>
      <c r="O78" s="349">
        <v>-18.671813845096469</v>
      </c>
      <c r="P78" s="358">
        <v>-5.5825096694602436</v>
      </c>
      <c r="Q78" s="361">
        <v>-14.648793215215589</v>
      </c>
      <c r="T78" s="205"/>
    </row>
    <row r="79" spans="1:20" x14ac:dyDescent="0.2">
      <c r="A79" s="3">
        <v>76</v>
      </c>
      <c r="B79" s="304">
        <v>65</v>
      </c>
      <c r="C79" s="304">
        <v>0</v>
      </c>
      <c r="D79" s="304">
        <v>3.5</v>
      </c>
      <c r="E79" s="304">
        <v>4.5</v>
      </c>
      <c r="F79" s="304">
        <v>0.75</v>
      </c>
      <c r="G79" s="304">
        <v>20</v>
      </c>
      <c r="H79" s="304">
        <v>0.25</v>
      </c>
      <c r="I79" s="304">
        <v>0.5</v>
      </c>
      <c r="J79" s="304">
        <v>0.3</v>
      </c>
      <c r="K79" s="304">
        <v>80</v>
      </c>
      <c r="L79" s="304">
        <v>0.15</v>
      </c>
      <c r="M79" s="333">
        <v>0.7</v>
      </c>
      <c r="N79" s="338">
        <v>0.15</v>
      </c>
      <c r="O79" s="349">
        <v>-29.897532360738765</v>
      </c>
      <c r="P79" s="358">
        <v>-19.35935745305423</v>
      </c>
      <c r="Q79" s="361">
        <v>-26.720578339746648</v>
      </c>
      <c r="T79" s="205"/>
    </row>
    <row r="80" spans="1:20" x14ac:dyDescent="0.2">
      <c r="A80" s="3">
        <v>77</v>
      </c>
      <c r="B80" s="304">
        <v>65</v>
      </c>
      <c r="C80" s="304">
        <v>0.01</v>
      </c>
      <c r="D80" s="304">
        <v>1.5</v>
      </c>
      <c r="E80" s="304">
        <v>1.5</v>
      </c>
      <c r="F80" s="304">
        <v>2.25</v>
      </c>
      <c r="G80" s="304">
        <v>10</v>
      </c>
      <c r="H80" s="304">
        <v>0.25</v>
      </c>
      <c r="I80" s="304">
        <v>1.5</v>
      </c>
      <c r="J80" s="304">
        <v>0.9</v>
      </c>
      <c r="K80" s="304">
        <v>80</v>
      </c>
      <c r="L80" s="304">
        <v>0.15</v>
      </c>
      <c r="M80" s="333">
        <v>1.3</v>
      </c>
      <c r="N80" s="338">
        <v>0.15</v>
      </c>
      <c r="O80" s="349">
        <v>2.8181584071468868</v>
      </c>
      <c r="P80" s="358">
        <v>11.285843617965382</v>
      </c>
      <c r="Q80" s="361">
        <v>7.6304262777971559</v>
      </c>
      <c r="T80" s="205"/>
    </row>
    <row r="81" spans="1:20" x14ac:dyDescent="0.2">
      <c r="A81" s="3">
        <v>78</v>
      </c>
      <c r="B81" s="304">
        <v>85</v>
      </c>
      <c r="C81" s="304">
        <v>0.01</v>
      </c>
      <c r="D81" s="304">
        <v>1.5</v>
      </c>
      <c r="E81" s="304">
        <v>2.5</v>
      </c>
      <c r="F81" s="304">
        <v>0.75</v>
      </c>
      <c r="G81" s="304">
        <v>15</v>
      </c>
      <c r="H81" s="304">
        <v>0.5</v>
      </c>
      <c r="I81" s="304">
        <v>1</v>
      </c>
      <c r="J81" s="304">
        <v>0.9</v>
      </c>
      <c r="K81" s="304">
        <v>40</v>
      </c>
      <c r="L81" s="304">
        <v>0.15</v>
      </c>
      <c r="M81" s="333">
        <v>1.1000000000000001</v>
      </c>
      <c r="N81" s="338">
        <v>0.05</v>
      </c>
      <c r="O81" s="349">
        <v>-0.78745215752971487</v>
      </c>
      <c r="P81" s="358">
        <v>20.420978412426866</v>
      </c>
      <c r="Q81" s="361">
        <v>9.0618188445417793</v>
      </c>
      <c r="T81" s="205"/>
    </row>
    <row r="82" spans="1:20" x14ac:dyDescent="0.2">
      <c r="A82" s="3">
        <v>79</v>
      </c>
      <c r="B82" s="304">
        <v>95</v>
      </c>
      <c r="C82" s="304">
        <v>0.01</v>
      </c>
      <c r="D82" s="304">
        <v>1.5</v>
      </c>
      <c r="E82" s="304">
        <v>4.5</v>
      </c>
      <c r="F82" s="304">
        <v>0.75</v>
      </c>
      <c r="G82" s="304">
        <v>20</v>
      </c>
      <c r="H82" s="304">
        <v>0.25</v>
      </c>
      <c r="I82" s="304">
        <v>1.5</v>
      </c>
      <c r="J82" s="304">
        <v>0.3</v>
      </c>
      <c r="K82" s="304">
        <v>40</v>
      </c>
      <c r="L82" s="304">
        <v>7.0000000000000007E-2</v>
      </c>
      <c r="M82" s="333">
        <v>1.3</v>
      </c>
      <c r="N82" s="338">
        <v>0.05</v>
      </c>
      <c r="O82" s="349">
        <v>0.31122341106267859</v>
      </c>
      <c r="P82" s="358">
        <v>21.931534886694099</v>
      </c>
      <c r="Q82" s="361">
        <v>4.4533400577254323</v>
      </c>
      <c r="T82" s="205"/>
    </row>
    <row r="83" spans="1:20" x14ac:dyDescent="0.2">
      <c r="A83" s="3">
        <v>80</v>
      </c>
      <c r="B83" s="304">
        <v>65</v>
      </c>
      <c r="C83" s="304">
        <v>-0.01</v>
      </c>
      <c r="D83" s="304">
        <v>1.5</v>
      </c>
      <c r="E83" s="304">
        <v>1.5</v>
      </c>
      <c r="F83" s="304">
        <v>2.25</v>
      </c>
      <c r="G83" s="304">
        <v>20</v>
      </c>
      <c r="H83" s="304">
        <v>0.25</v>
      </c>
      <c r="I83" s="304">
        <v>1.5</v>
      </c>
      <c r="J83" s="304">
        <v>0.3</v>
      </c>
      <c r="K83" s="304">
        <v>40</v>
      </c>
      <c r="L83" s="304">
        <v>7.0000000000000007E-2</v>
      </c>
      <c r="M83" s="333">
        <v>1.3</v>
      </c>
      <c r="N83" s="338">
        <v>0.15</v>
      </c>
      <c r="O83" s="349">
        <v>5.0669962354105015E-2</v>
      </c>
      <c r="P83" s="358">
        <v>8.7829922722024651</v>
      </c>
      <c r="Q83" s="361">
        <v>1.3957007434886008</v>
      </c>
      <c r="T83" s="205"/>
    </row>
    <row r="84" spans="1:20" x14ac:dyDescent="0.2">
      <c r="A84" s="3">
        <v>81</v>
      </c>
      <c r="B84" s="304">
        <v>95</v>
      </c>
      <c r="C84" s="304">
        <v>0</v>
      </c>
      <c r="D84" s="304">
        <v>3.5</v>
      </c>
      <c r="E84" s="304">
        <v>2.5</v>
      </c>
      <c r="F84" s="304">
        <v>0.75</v>
      </c>
      <c r="G84" s="304">
        <v>20</v>
      </c>
      <c r="H84" s="304">
        <v>0.75</v>
      </c>
      <c r="I84" s="304">
        <v>0.5</v>
      </c>
      <c r="J84" s="304">
        <v>0.9</v>
      </c>
      <c r="K84" s="304">
        <v>60</v>
      </c>
      <c r="L84" s="304">
        <v>0.15</v>
      </c>
      <c r="M84" s="333">
        <v>0.7</v>
      </c>
      <c r="N84" s="338">
        <v>0.11666</v>
      </c>
      <c r="O84" s="349">
        <v>-9.8805440594999823</v>
      </c>
      <c r="P84" s="358">
        <v>2.5517328917954507</v>
      </c>
      <c r="Q84" s="361">
        <v>-5.0380682926240485</v>
      </c>
      <c r="T84" s="205"/>
    </row>
    <row r="85" spans="1:20" x14ac:dyDescent="0.2">
      <c r="A85" s="3">
        <v>82</v>
      </c>
      <c r="B85" s="304">
        <v>85</v>
      </c>
      <c r="C85" s="304">
        <v>0.01</v>
      </c>
      <c r="D85" s="304">
        <v>2.5</v>
      </c>
      <c r="E85" s="304">
        <v>1.5</v>
      </c>
      <c r="F85" s="304">
        <v>2.25</v>
      </c>
      <c r="G85" s="304">
        <v>10</v>
      </c>
      <c r="H85" s="304">
        <v>0.75</v>
      </c>
      <c r="I85" s="304">
        <v>0.5</v>
      </c>
      <c r="J85" s="304">
        <v>0.9</v>
      </c>
      <c r="K85" s="304">
        <v>80</v>
      </c>
      <c r="L85" s="304">
        <v>0.15</v>
      </c>
      <c r="M85" s="333">
        <v>1.3</v>
      </c>
      <c r="N85" s="338">
        <v>0.05</v>
      </c>
      <c r="O85" s="349">
        <v>21.30145563261388</v>
      </c>
      <c r="P85" s="358">
        <v>40.706699658572468</v>
      </c>
      <c r="Q85" s="361">
        <v>32.267200059202743</v>
      </c>
      <c r="T85" s="205"/>
    </row>
    <row r="86" spans="1:20" x14ac:dyDescent="0.2">
      <c r="A86" s="3">
        <v>83</v>
      </c>
      <c r="B86" s="304">
        <v>65</v>
      </c>
      <c r="C86" s="304">
        <v>-0.01</v>
      </c>
      <c r="D86" s="304">
        <v>3.5</v>
      </c>
      <c r="E86" s="304">
        <v>4.5</v>
      </c>
      <c r="F86" s="304">
        <v>0.75</v>
      </c>
      <c r="G86" s="304">
        <v>20</v>
      </c>
      <c r="H86" s="304">
        <v>0.75</v>
      </c>
      <c r="I86" s="304">
        <v>1.5</v>
      </c>
      <c r="J86" s="304">
        <v>0.9</v>
      </c>
      <c r="K86" s="304">
        <v>80</v>
      </c>
      <c r="L86" s="304">
        <v>0.15</v>
      </c>
      <c r="M86" s="333">
        <v>1.1000000000000001</v>
      </c>
      <c r="N86" s="338">
        <v>0.15</v>
      </c>
      <c r="O86" s="349">
        <v>-28.753466999648314</v>
      </c>
      <c r="P86" s="358">
        <v>-18.215292091963772</v>
      </c>
      <c r="Q86" s="361">
        <v>-23.944604296076257</v>
      </c>
      <c r="T86" s="205"/>
    </row>
    <row r="87" spans="1:20" x14ac:dyDescent="0.2">
      <c r="A87" s="3">
        <v>84</v>
      </c>
      <c r="B87" s="304">
        <v>95</v>
      </c>
      <c r="C87" s="304">
        <v>-0.01</v>
      </c>
      <c r="D87" s="304">
        <v>1.5</v>
      </c>
      <c r="E87" s="304">
        <v>2.5</v>
      </c>
      <c r="F87" s="304">
        <v>2.25</v>
      </c>
      <c r="G87" s="304">
        <v>15</v>
      </c>
      <c r="H87" s="304">
        <v>0.75</v>
      </c>
      <c r="I87" s="304">
        <v>1.5</v>
      </c>
      <c r="J87" s="304">
        <v>0.3</v>
      </c>
      <c r="K87" s="304">
        <v>40</v>
      </c>
      <c r="L87" s="304">
        <v>7.0000000000000007E-2</v>
      </c>
      <c r="M87" s="333">
        <v>0.7</v>
      </c>
      <c r="N87" s="338">
        <v>0.05</v>
      </c>
      <c r="O87" s="349">
        <v>-25.833578528582926</v>
      </c>
      <c r="P87" s="358">
        <v>-1.7939361054141527</v>
      </c>
      <c r="Q87" s="361">
        <v>-23.721820013958382</v>
      </c>
      <c r="T87" s="205"/>
    </row>
    <row r="88" spans="1:20" x14ac:dyDescent="0.2">
      <c r="A88" s="3">
        <v>85</v>
      </c>
      <c r="B88" s="304">
        <v>65</v>
      </c>
      <c r="C88" s="304">
        <v>0.01</v>
      </c>
      <c r="D88" s="304">
        <v>1.5</v>
      </c>
      <c r="E88" s="304">
        <v>4.5</v>
      </c>
      <c r="F88" s="304">
        <v>2.25</v>
      </c>
      <c r="G88" s="304">
        <v>10</v>
      </c>
      <c r="H88" s="304">
        <v>0.75</v>
      </c>
      <c r="I88" s="304">
        <v>1</v>
      </c>
      <c r="J88" s="304">
        <v>0.6</v>
      </c>
      <c r="K88" s="304">
        <v>40</v>
      </c>
      <c r="L88" s="304">
        <v>7.0000000000000007E-2</v>
      </c>
      <c r="M88" s="333">
        <v>1.1000000000000001</v>
      </c>
      <c r="N88" s="338">
        <v>0.05</v>
      </c>
      <c r="O88" s="349">
        <v>-43.152333384970682</v>
      </c>
      <c r="P88" s="358">
        <v>-18.057920359113325</v>
      </c>
      <c r="Q88" s="361">
        <v>-40.296301703867222</v>
      </c>
      <c r="T88" s="205"/>
    </row>
    <row r="89" spans="1:20" x14ac:dyDescent="0.2">
      <c r="A89" s="3">
        <v>86</v>
      </c>
      <c r="B89" s="304">
        <v>65</v>
      </c>
      <c r="C89" s="304">
        <v>0.01</v>
      </c>
      <c r="D89" s="304">
        <v>1.5</v>
      </c>
      <c r="E89" s="304">
        <v>4.5</v>
      </c>
      <c r="F89" s="304">
        <v>0.75</v>
      </c>
      <c r="G89" s="304">
        <v>10</v>
      </c>
      <c r="H89" s="304">
        <v>0.5</v>
      </c>
      <c r="I89" s="304">
        <v>1</v>
      </c>
      <c r="J89" s="304">
        <v>0.3</v>
      </c>
      <c r="K89" s="304">
        <v>60</v>
      </c>
      <c r="L89" s="304">
        <v>0.11</v>
      </c>
      <c r="M89" s="333">
        <v>0.7</v>
      </c>
      <c r="N89" s="338">
        <v>0.05</v>
      </c>
      <c r="O89" s="349">
        <v>-55.627712036660057</v>
      </c>
      <c r="P89" s="358">
        <v>-30.321574454626269</v>
      </c>
      <c r="Q89" s="361">
        <v>-51.811984327688265</v>
      </c>
      <c r="T89" s="205"/>
    </row>
    <row r="90" spans="1:20" x14ac:dyDescent="0.2">
      <c r="A90" s="3">
        <v>87</v>
      </c>
      <c r="B90" s="304">
        <v>95</v>
      </c>
      <c r="C90" s="304">
        <v>-0.01</v>
      </c>
      <c r="D90" s="304">
        <v>2.5</v>
      </c>
      <c r="E90" s="304">
        <v>1.5</v>
      </c>
      <c r="F90" s="304">
        <v>1.5</v>
      </c>
      <c r="G90" s="304">
        <v>20</v>
      </c>
      <c r="H90" s="304">
        <v>0.75</v>
      </c>
      <c r="I90" s="304">
        <v>0.5</v>
      </c>
      <c r="J90" s="304">
        <v>0.3</v>
      </c>
      <c r="K90" s="304">
        <v>80</v>
      </c>
      <c r="L90" s="304">
        <v>7.0000000000000007E-2</v>
      </c>
      <c r="M90" s="333">
        <v>1.1000000000000001</v>
      </c>
      <c r="N90" s="338">
        <v>0.15</v>
      </c>
      <c r="O90" s="349">
        <v>13.479318960256473</v>
      </c>
      <c r="P90" s="358">
        <v>21.578038973713355</v>
      </c>
      <c r="Q90" s="361">
        <v>15.011037043019293</v>
      </c>
      <c r="T90" s="205"/>
    </row>
    <row r="91" spans="1:20" x14ac:dyDescent="0.2">
      <c r="A91" s="3">
        <v>88</v>
      </c>
      <c r="B91" s="304">
        <v>95</v>
      </c>
      <c r="C91" s="304">
        <v>0.01</v>
      </c>
      <c r="D91" s="304">
        <v>1.5</v>
      </c>
      <c r="E91" s="304">
        <v>4.5</v>
      </c>
      <c r="F91" s="304">
        <v>2.25</v>
      </c>
      <c r="G91" s="304">
        <v>20</v>
      </c>
      <c r="H91" s="304">
        <v>0.25</v>
      </c>
      <c r="I91" s="304">
        <v>1.5</v>
      </c>
      <c r="J91" s="304">
        <v>0.9</v>
      </c>
      <c r="K91" s="304">
        <v>80</v>
      </c>
      <c r="L91" s="304">
        <v>7.0000000000000007E-2</v>
      </c>
      <c r="M91" s="333">
        <v>1.1000000000000001</v>
      </c>
      <c r="N91" s="338">
        <v>0.05</v>
      </c>
      <c r="O91" s="349">
        <v>-29.986584264022056</v>
      </c>
      <c r="P91" s="358">
        <v>-5.9451752153588648</v>
      </c>
      <c r="Q91" s="361">
        <v>-26.060720792706238</v>
      </c>
      <c r="T91" s="205"/>
    </row>
    <row r="92" spans="1:20" x14ac:dyDescent="0.2">
      <c r="A92" s="3">
        <v>89</v>
      </c>
      <c r="B92" s="304">
        <v>65</v>
      </c>
      <c r="C92" s="304">
        <v>0</v>
      </c>
      <c r="D92" s="304">
        <v>1.5</v>
      </c>
      <c r="E92" s="304">
        <v>2.5</v>
      </c>
      <c r="F92" s="304">
        <v>1.5</v>
      </c>
      <c r="G92" s="304">
        <v>10</v>
      </c>
      <c r="H92" s="304">
        <v>0.25</v>
      </c>
      <c r="I92" s="304">
        <v>0.5</v>
      </c>
      <c r="J92" s="304">
        <v>0.3</v>
      </c>
      <c r="K92" s="304">
        <v>80</v>
      </c>
      <c r="L92" s="304">
        <v>0.11</v>
      </c>
      <c r="M92" s="333">
        <v>1.1000000000000001</v>
      </c>
      <c r="N92" s="338">
        <v>0.11666</v>
      </c>
      <c r="O92" s="349">
        <v>-3.1899634786543194</v>
      </c>
      <c r="P92" s="358">
        <v>8.4543036490720578</v>
      </c>
      <c r="Q92" s="361">
        <v>-1.9038815426404333E-2</v>
      </c>
      <c r="T92" s="205"/>
    </row>
    <row r="93" spans="1:20" x14ac:dyDescent="0.2">
      <c r="A93" s="3">
        <v>90</v>
      </c>
      <c r="B93" s="304">
        <v>95</v>
      </c>
      <c r="C93" s="304">
        <v>0.01</v>
      </c>
      <c r="D93" s="304">
        <v>1.5</v>
      </c>
      <c r="E93" s="304">
        <v>4.5</v>
      </c>
      <c r="F93" s="304">
        <v>2.25</v>
      </c>
      <c r="G93" s="304">
        <v>20</v>
      </c>
      <c r="H93" s="304">
        <v>0.5</v>
      </c>
      <c r="I93" s="304">
        <v>0.5</v>
      </c>
      <c r="J93" s="304">
        <v>0.6</v>
      </c>
      <c r="K93" s="304">
        <v>80</v>
      </c>
      <c r="L93" s="304">
        <v>7.0000000000000007E-2</v>
      </c>
      <c r="M93" s="333">
        <v>0.7</v>
      </c>
      <c r="N93" s="338">
        <v>0.15</v>
      </c>
      <c r="O93" s="349">
        <v>-20.890536553137579</v>
      </c>
      <c r="P93" s="358">
        <v>-10.352361645453042</v>
      </c>
      <c r="Q93" s="361">
        <v>-19.493222879565497</v>
      </c>
      <c r="T93" s="205"/>
    </row>
    <row r="94" spans="1:20" x14ac:dyDescent="0.2">
      <c r="A94" s="3">
        <v>91</v>
      </c>
      <c r="B94" s="304">
        <v>75</v>
      </c>
      <c r="C94" s="304">
        <v>-0.01</v>
      </c>
      <c r="D94" s="304">
        <v>1.5</v>
      </c>
      <c r="E94" s="304">
        <v>1.5</v>
      </c>
      <c r="F94" s="304">
        <v>0.75</v>
      </c>
      <c r="G94" s="304">
        <v>10</v>
      </c>
      <c r="H94" s="304">
        <v>0.75</v>
      </c>
      <c r="I94" s="304">
        <v>0.5</v>
      </c>
      <c r="J94" s="304">
        <v>0.6</v>
      </c>
      <c r="K94" s="304">
        <v>80</v>
      </c>
      <c r="L94" s="304">
        <v>0.15</v>
      </c>
      <c r="M94" s="333">
        <v>0.7</v>
      </c>
      <c r="N94" s="338">
        <v>0.11666</v>
      </c>
      <c r="O94" s="349">
        <v>-4.9569382167255105</v>
      </c>
      <c r="P94" s="358">
        <v>6.8255932974563294</v>
      </c>
      <c r="Q94" s="361">
        <v>-1.4854727599635427</v>
      </c>
      <c r="T94" s="205"/>
    </row>
    <row r="95" spans="1:20" x14ac:dyDescent="0.2">
      <c r="A95" s="3">
        <v>92</v>
      </c>
      <c r="B95" s="304">
        <v>95</v>
      </c>
      <c r="C95" s="304">
        <v>-0.01</v>
      </c>
      <c r="D95" s="304">
        <v>2.5</v>
      </c>
      <c r="E95" s="304">
        <v>1.5</v>
      </c>
      <c r="F95" s="304">
        <v>0.75</v>
      </c>
      <c r="G95" s="304">
        <v>20</v>
      </c>
      <c r="H95" s="304">
        <v>0.25</v>
      </c>
      <c r="I95" s="304">
        <v>0.5</v>
      </c>
      <c r="J95" s="304">
        <v>0.9</v>
      </c>
      <c r="K95" s="304">
        <v>60</v>
      </c>
      <c r="L95" s="304">
        <v>0.15</v>
      </c>
      <c r="M95" s="333">
        <v>0.9</v>
      </c>
      <c r="N95" s="338">
        <v>0.05</v>
      </c>
      <c r="O95" s="349">
        <v>-1.9848348717487689</v>
      </c>
      <c r="P95" s="358">
        <v>19.511013068582653</v>
      </c>
      <c r="Q95" s="361">
        <v>5.8293298609767117</v>
      </c>
      <c r="T95" s="205"/>
    </row>
    <row r="96" spans="1:20" x14ac:dyDescent="0.2">
      <c r="A96" s="3">
        <v>93</v>
      </c>
      <c r="B96" s="304">
        <v>95</v>
      </c>
      <c r="C96" s="304">
        <v>0.01</v>
      </c>
      <c r="D96" s="304">
        <v>1.5</v>
      </c>
      <c r="E96" s="304">
        <v>3.5</v>
      </c>
      <c r="F96" s="304">
        <v>0.75</v>
      </c>
      <c r="G96" s="304">
        <v>10</v>
      </c>
      <c r="H96" s="304">
        <v>0.25</v>
      </c>
      <c r="I96" s="304">
        <v>1.5</v>
      </c>
      <c r="J96" s="304">
        <v>0.3</v>
      </c>
      <c r="K96" s="304">
        <v>80</v>
      </c>
      <c r="L96" s="304">
        <v>0.15</v>
      </c>
      <c r="M96" s="333">
        <v>0.7</v>
      </c>
      <c r="N96" s="338">
        <v>0.15</v>
      </c>
      <c r="O96" s="349">
        <v>-9.5926553495313964</v>
      </c>
      <c r="P96" s="358">
        <v>0.15131905161888518</v>
      </c>
      <c r="Q96" s="361">
        <v>-5.2310127465454466</v>
      </c>
      <c r="T96" s="205"/>
    </row>
    <row r="97" spans="1:20" x14ac:dyDescent="0.2">
      <c r="A97" s="3">
        <v>94</v>
      </c>
      <c r="B97" s="304">
        <v>95</v>
      </c>
      <c r="C97" s="304">
        <v>0</v>
      </c>
      <c r="D97" s="304">
        <v>3.5</v>
      </c>
      <c r="E97" s="304">
        <v>1.5</v>
      </c>
      <c r="F97" s="304">
        <v>2.25</v>
      </c>
      <c r="G97" s="304">
        <v>10</v>
      </c>
      <c r="H97" s="304">
        <v>0.75</v>
      </c>
      <c r="I97" s="304">
        <v>0.5</v>
      </c>
      <c r="J97" s="304">
        <v>0.3</v>
      </c>
      <c r="K97" s="304">
        <v>40</v>
      </c>
      <c r="L97" s="304">
        <v>0.15</v>
      </c>
      <c r="M97" s="333">
        <v>0.7</v>
      </c>
      <c r="N97" s="338">
        <v>0.15</v>
      </c>
      <c r="O97" s="349">
        <v>2.5811297239831621</v>
      </c>
      <c r="P97" s="358">
        <v>10.980610435073821</v>
      </c>
      <c r="Q97" s="361">
        <v>6.2046959807961004</v>
      </c>
      <c r="T97" s="205"/>
    </row>
    <row r="98" spans="1:20" x14ac:dyDescent="0.2">
      <c r="A98" s="3">
        <v>95</v>
      </c>
      <c r="B98" s="304">
        <v>95</v>
      </c>
      <c r="C98" s="304">
        <v>-0.01</v>
      </c>
      <c r="D98" s="304">
        <v>1.5</v>
      </c>
      <c r="E98" s="304">
        <v>1.5</v>
      </c>
      <c r="F98" s="304">
        <v>2.25</v>
      </c>
      <c r="G98" s="304">
        <v>10</v>
      </c>
      <c r="H98" s="304">
        <v>0.25</v>
      </c>
      <c r="I98" s="304">
        <v>0.5</v>
      </c>
      <c r="J98" s="304">
        <v>0.3</v>
      </c>
      <c r="K98" s="304">
        <v>40</v>
      </c>
      <c r="L98" s="304">
        <v>0.11</v>
      </c>
      <c r="M98" s="333">
        <v>0.7</v>
      </c>
      <c r="N98" s="338">
        <v>8.3330000000000001E-2</v>
      </c>
      <c r="O98" s="349">
        <v>-0.91399244623474418</v>
      </c>
      <c r="P98" s="358">
        <v>14.272165598561967</v>
      </c>
      <c r="Q98" s="361">
        <v>2.2727677377613418</v>
      </c>
      <c r="T98" s="205"/>
    </row>
    <row r="99" spans="1:20" x14ac:dyDescent="0.2">
      <c r="A99" s="3">
        <v>96</v>
      </c>
      <c r="B99" s="304">
        <v>65</v>
      </c>
      <c r="C99" s="304">
        <v>0.01</v>
      </c>
      <c r="D99" s="304">
        <v>1.5</v>
      </c>
      <c r="E99" s="304">
        <v>3.5</v>
      </c>
      <c r="F99" s="304">
        <v>2.25</v>
      </c>
      <c r="G99" s="304">
        <v>20</v>
      </c>
      <c r="H99" s="304">
        <v>0.25</v>
      </c>
      <c r="I99" s="304">
        <v>1.5</v>
      </c>
      <c r="J99" s="304">
        <v>0.3</v>
      </c>
      <c r="K99" s="304">
        <v>80</v>
      </c>
      <c r="L99" s="304">
        <v>0.15</v>
      </c>
      <c r="M99" s="333">
        <v>0.7</v>
      </c>
      <c r="N99" s="338">
        <v>0.05</v>
      </c>
      <c r="O99" s="349">
        <v>-62.367016290427578</v>
      </c>
      <c r="P99" s="358">
        <v>-37.060878708393773</v>
      </c>
      <c r="Q99" s="361">
        <v>-56.553035136092966</v>
      </c>
      <c r="T99" s="205"/>
    </row>
    <row r="100" spans="1:20" x14ac:dyDescent="0.2">
      <c r="A100" s="3">
        <v>97</v>
      </c>
      <c r="B100" s="304">
        <v>75</v>
      </c>
      <c r="C100" s="304">
        <v>-0.01</v>
      </c>
      <c r="D100" s="304">
        <v>1.5</v>
      </c>
      <c r="E100" s="304">
        <v>4.5</v>
      </c>
      <c r="F100" s="304">
        <v>2.25</v>
      </c>
      <c r="G100" s="304">
        <v>10</v>
      </c>
      <c r="H100" s="304">
        <v>0.5</v>
      </c>
      <c r="I100" s="304">
        <v>1</v>
      </c>
      <c r="J100" s="304">
        <v>0.6</v>
      </c>
      <c r="K100" s="304">
        <v>80</v>
      </c>
      <c r="L100" s="304">
        <v>0.15</v>
      </c>
      <c r="M100" s="333">
        <v>0.7</v>
      </c>
      <c r="N100" s="338">
        <v>0.05</v>
      </c>
      <c r="O100" s="349">
        <v>-71.322216769604452</v>
      </c>
      <c r="P100" s="358">
        <v>-46.016079187570661</v>
      </c>
      <c r="Q100" s="361">
        <v>-65.539220431498151</v>
      </c>
      <c r="T100" s="205"/>
    </row>
    <row r="101" spans="1:20" x14ac:dyDescent="0.2">
      <c r="A101" s="3">
        <v>98</v>
      </c>
      <c r="B101" s="304">
        <v>85</v>
      </c>
      <c r="C101" s="304">
        <v>-0.01</v>
      </c>
      <c r="D101" s="304">
        <v>3.5</v>
      </c>
      <c r="E101" s="304">
        <v>1.5</v>
      </c>
      <c r="F101" s="304">
        <v>2.25</v>
      </c>
      <c r="G101" s="304">
        <v>20</v>
      </c>
      <c r="H101" s="304">
        <v>0.5</v>
      </c>
      <c r="I101" s="304">
        <v>1.5</v>
      </c>
      <c r="J101" s="304">
        <v>0.3</v>
      </c>
      <c r="K101" s="304">
        <v>80</v>
      </c>
      <c r="L101" s="304">
        <v>0.15</v>
      </c>
      <c r="M101" s="333">
        <v>0.7</v>
      </c>
      <c r="N101" s="338">
        <v>0.11666</v>
      </c>
      <c r="O101" s="349">
        <v>-12.225934303492595</v>
      </c>
      <c r="P101" s="358">
        <v>0.48047104347685715</v>
      </c>
      <c r="Q101" s="361">
        <v>-8.0171968281017421</v>
      </c>
      <c r="T101" s="205"/>
    </row>
    <row r="102" spans="1:20" x14ac:dyDescent="0.2">
      <c r="A102" s="3">
        <v>99</v>
      </c>
      <c r="B102" s="304">
        <v>65</v>
      </c>
      <c r="C102" s="304">
        <v>-0.01</v>
      </c>
      <c r="D102" s="304">
        <v>2.5</v>
      </c>
      <c r="E102" s="304">
        <v>3.5</v>
      </c>
      <c r="F102" s="304">
        <v>2.25</v>
      </c>
      <c r="G102" s="304">
        <v>10</v>
      </c>
      <c r="H102" s="304">
        <v>0.25</v>
      </c>
      <c r="I102" s="304">
        <v>0.5</v>
      </c>
      <c r="J102" s="304">
        <v>0.6</v>
      </c>
      <c r="K102" s="304">
        <v>40</v>
      </c>
      <c r="L102" s="304">
        <v>0.15</v>
      </c>
      <c r="M102" s="333">
        <v>1.1000000000000001</v>
      </c>
      <c r="N102" s="338">
        <v>0.05</v>
      </c>
      <c r="O102" s="349">
        <v>-37.560905347020743</v>
      </c>
      <c r="P102" s="358">
        <v>-12.761452253999861</v>
      </c>
      <c r="Q102" s="361">
        <v>-29.779018829146498</v>
      </c>
      <c r="T102" s="205"/>
    </row>
    <row r="103" spans="1:20" x14ac:dyDescent="0.2">
      <c r="A103" s="3">
        <v>100</v>
      </c>
      <c r="B103" s="304">
        <v>85</v>
      </c>
      <c r="C103" s="304">
        <v>0.01</v>
      </c>
      <c r="D103" s="304">
        <v>3.5</v>
      </c>
      <c r="E103" s="304">
        <v>2.5</v>
      </c>
      <c r="F103" s="304">
        <v>0.75</v>
      </c>
      <c r="G103" s="304">
        <v>15</v>
      </c>
      <c r="H103" s="304">
        <v>0.5</v>
      </c>
      <c r="I103" s="304">
        <v>0.5</v>
      </c>
      <c r="J103" s="304">
        <v>0.6</v>
      </c>
      <c r="K103" s="304">
        <v>80</v>
      </c>
      <c r="L103" s="304">
        <v>0.15</v>
      </c>
      <c r="M103" s="333">
        <v>1.3</v>
      </c>
      <c r="N103" s="338">
        <v>0.05</v>
      </c>
      <c r="O103" s="349">
        <v>14.747545095405671</v>
      </c>
      <c r="P103" s="358">
        <v>34.479161380434221</v>
      </c>
      <c r="Q103" s="361">
        <v>25.963662419117149</v>
      </c>
      <c r="T103" s="205"/>
    </row>
    <row r="104" spans="1:20" x14ac:dyDescent="0.2">
      <c r="A104" s="3">
        <v>101</v>
      </c>
      <c r="B104" s="304">
        <v>65</v>
      </c>
      <c r="C104" s="304">
        <v>-0.01</v>
      </c>
      <c r="D104" s="304">
        <v>3.5</v>
      </c>
      <c r="E104" s="304">
        <v>1.5</v>
      </c>
      <c r="F104" s="304">
        <v>1.5</v>
      </c>
      <c r="G104" s="304">
        <v>15</v>
      </c>
      <c r="H104" s="304">
        <v>0.5</v>
      </c>
      <c r="I104" s="304">
        <v>0.5</v>
      </c>
      <c r="J104" s="304">
        <v>0.9</v>
      </c>
      <c r="K104" s="304">
        <v>60</v>
      </c>
      <c r="L104" s="304">
        <v>0.11</v>
      </c>
      <c r="M104" s="333">
        <v>1.3</v>
      </c>
      <c r="N104" s="338">
        <v>0.11666</v>
      </c>
      <c r="O104" s="349">
        <v>2.6603296872065245</v>
      </c>
      <c r="P104" s="358">
        <v>13.788888212013216</v>
      </c>
      <c r="Q104" s="361">
        <v>6.1195376063974809</v>
      </c>
      <c r="T104" s="205"/>
    </row>
    <row r="105" spans="1:20" x14ac:dyDescent="0.2">
      <c r="A105" s="3">
        <v>102</v>
      </c>
      <c r="B105" s="304">
        <v>75</v>
      </c>
      <c r="C105" s="304">
        <v>0.01</v>
      </c>
      <c r="D105" s="304">
        <v>2.5</v>
      </c>
      <c r="E105" s="304">
        <v>4.5</v>
      </c>
      <c r="F105" s="304">
        <v>2.25</v>
      </c>
      <c r="G105" s="304">
        <v>20</v>
      </c>
      <c r="H105" s="304">
        <v>0.75</v>
      </c>
      <c r="I105" s="304">
        <v>1</v>
      </c>
      <c r="J105" s="304">
        <v>0.6</v>
      </c>
      <c r="K105" s="304">
        <v>40</v>
      </c>
      <c r="L105" s="304">
        <v>7.0000000000000007E-2</v>
      </c>
      <c r="M105" s="333">
        <v>1.3</v>
      </c>
      <c r="N105" s="338">
        <v>0.11666</v>
      </c>
      <c r="O105" s="349">
        <v>-14.250027784225111</v>
      </c>
      <c r="P105" s="358">
        <v>-1.5496176409145777</v>
      </c>
      <c r="Q105" s="361">
        <v>-11.948897528934811</v>
      </c>
      <c r="T105" s="205"/>
    </row>
    <row r="106" spans="1:20" x14ac:dyDescent="0.2">
      <c r="A106" s="3">
        <v>103</v>
      </c>
      <c r="B106" s="304">
        <v>95</v>
      </c>
      <c r="C106" s="304">
        <v>-0.01</v>
      </c>
      <c r="D106" s="304">
        <v>2.5</v>
      </c>
      <c r="E106" s="304">
        <v>4.5</v>
      </c>
      <c r="F106" s="304">
        <v>2.25</v>
      </c>
      <c r="G106" s="304">
        <v>10</v>
      </c>
      <c r="H106" s="304">
        <v>0.75</v>
      </c>
      <c r="I106" s="304">
        <v>0.5</v>
      </c>
      <c r="J106" s="304">
        <v>0.3</v>
      </c>
      <c r="K106" s="304">
        <v>80</v>
      </c>
      <c r="L106" s="304">
        <v>0.15</v>
      </c>
      <c r="M106" s="333">
        <v>0.7</v>
      </c>
      <c r="N106" s="338">
        <v>0.15</v>
      </c>
      <c r="O106" s="349">
        <v>-21.51249718404523</v>
      </c>
      <c r="P106" s="358">
        <v>-10.974322276360688</v>
      </c>
      <c r="Q106" s="361">
        <v>-17.162448377885426</v>
      </c>
      <c r="T106" s="205"/>
    </row>
    <row r="107" spans="1:20" x14ac:dyDescent="0.2">
      <c r="A107" s="3">
        <v>104</v>
      </c>
      <c r="B107" s="304">
        <v>85</v>
      </c>
      <c r="C107" s="304">
        <v>0</v>
      </c>
      <c r="D107" s="304">
        <v>2.5</v>
      </c>
      <c r="E107" s="304">
        <v>2.5</v>
      </c>
      <c r="F107" s="304">
        <v>1.5</v>
      </c>
      <c r="G107" s="304">
        <v>15</v>
      </c>
      <c r="H107" s="304">
        <v>0.5</v>
      </c>
      <c r="I107" s="304">
        <v>1</v>
      </c>
      <c r="J107" s="304">
        <v>0.6</v>
      </c>
      <c r="K107" s="304">
        <v>60</v>
      </c>
      <c r="L107" s="304">
        <v>0.11</v>
      </c>
      <c r="M107" s="333">
        <v>0.9</v>
      </c>
      <c r="N107" s="338">
        <v>8.3330000000000001E-2</v>
      </c>
      <c r="O107" s="349">
        <v>-8.6321519361183014</v>
      </c>
      <c r="P107" s="358">
        <v>7.5417278365382181</v>
      </c>
      <c r="Q107" s="361">
        <v>-4.4155064718749513</v>
      </c>
      <c r="T107" s="205"/>
    </row>
    <row r="108" spans="1:20" x14ac:dyDescent="0.2">
      <c r="A108" s="3">
        <v>105</v>
      </c>
      <c r="B108" s="304">
        <v>85</v>
      </c>
      <c r="C108" s="304">
        <v>0</v>
      </c>
      <c r="D108" s="304">
        <v>2.5</v>
      </c>
      <c r="E108" s="304">
        <v>3.5</v>
      </c>
      <c r="F108" s="304">
        <v>1.5</v>
      </c>
      <c r="G108" s="304">
        <v>15</v>
      </c>
      <c r="H108" s="304">
        <v>0.5</v>
      </c>
      <c r="I108" s="304">
        <v>1.5</v>
      </c>
      <c r="J108" s="304">
        <v>0.6</v>
      </c>
      <c r="K108" s="304">
        <v>60</v>
      </c>
      <c r="L108" s="304">
        <v>0.11</v>
      </c>
      <c r="M108" s="333">
        <v>1.1000000000000001</v>
      </c>
      <c r="N108" s="338">
        <v>0.11666</v>
      </c>
      <c r="O108" s="349">
        <v>-7.5249447592117882</v>
      </c>
      <c r="P108" s="358">
        <v>4.6343009212810102</v>
      </c>
      <c r="Q108" s="361">
        <v>-3.2530977851441056</v>
      </c>
      <c r="T108" s="205"/>
    </row>
    <row r="109" spans="1:20" x14ac:dyDescent="0.2">
      <c r="A109" s="3">
        <v>106</v>
      </c>
      <c r="B109" s="304">
        <v>95</v>
      </c>
      <c r="C109" s="304">
        <v>0.01</v>
      </c>
      <c r="D109" s="304">
        <v>3.5</v>
      </c>
      <c r="E109" s="304">
        <v>1.5</v>
      </c>
      <c r="F109" s="304">
        <v>2.25</v>
      </c>
      <c r="G109" s="304">
        <v>20</v>
      </c>
      <c r="H109" s="304">
        <v>0.75</v>
      </c>
      <c r="I109" s="304">
        <v>0.5</v>
      </c>
      <c r="J109" s="304">
        <v>0.9</v>
      </c>
      <c r="K109" s="304">
        <v>80</v>
      </c>
      <c r="L109" s="304">
        <v>7.0000000000000007E-2</v>
      </c>
      <c r="M109" s="333">
        <v>0.7</v>
      </c>
      <c r="N109" s="338">
        <v>0.15</v>
      </c>
      <c r="O109" s="349">
        <v>-6.9970653457921472E-2</v>
      </c>
      <c r="P109" s="358">
        <v>8.5853378766955046</v>
      </c>
      <c r="Q109" s="361">
        <v>1.1332929297157071</v>
      </c>
      <c r="T109" s="205"/>
    </row>
    <row r="110" spans="1:20" x14ac:dyDescent="0.2">
      <c r="A110" s="3">
        <v>107</v>
      </c>
      <c r="B110" s="304">
        <v>95</v>
      </c>
      <c r="C110" s="304">
        <v>0.01</v>
      </c>
      <c r="D110" s="304">
        <v>3.5</v>
      </c>
      <c r="E110" s="304">
        <v>4.5</v>
      </c>
      <c r="F110" s="304">
        <v>1.5</v>
      </c>
      <c r="G110" s="304">
        <v>20</v>
      </c>
      <c r="H110" s="304">
        <v>0.75</v>
      </c>
      <c r="I110" s="304">
        <v>1.5</v>
      </c>
      <c r="J110" s="304">
        <v>0.3</v>
      </c>
      <c r="K110" s="304">
        <v>80</v>
      </c>
      <c r="L110" s="304">
        <v>0.15</v>
      </c>
      <c r="M110" s="333">
        <v>1.3</v>
      </c>
      <c r="N110" s="338">
        <v>0.15</v>
      </c>
      <c r="O110" s="349">
        <v>-0.96987794684639561</v>
      </c>
      <c r="P110" s="358">
        <v>8.0254055120267722</v>
      </c>
      <c r="Q110" s="361">
        <v>6.3511797977708975</v>
      </c>
      <c r="T110" s="205"/>
    </row>
    <row r="111" spans="1:20" x14ac:dyDescent="0.2">
      <c r="A111" s="3">
        <v>108</v>
      </c>
      <c r="B111" s="304">
        <v>95</v>
      </c>
      <c r="C111" s="304">
        <v>0.01</v>
      </c>
      <c r="D111" s="304">
        <v>3.5</v>
      </c>
      <c r="E111" s="304">
        <v>2.5</v>
      </c>
      <c r="F111" s="304">
        <v>0.75</v>
      </c>
      <c r="G111" s="304">
        <v>20</v>
      </c>
      <c r="H111" s="304">
        <v>0.25</v>
      </c>
      <c r="I111" s="304">
        <v>0.5</v>
      </c>
      <c r="J111" s="304">
        <v>0.3</v>
      </c>
      <c r="K111" s="304">
        <v>40</v>
      </c>
      <c r="L111" s="304">
        <v>7.0000000000000007E-2</v>
      </c>
      <c r="M111" s="333">
        <v>0.9</v>
      </c>
      <c r="N111" s="338">
        <v>0.05</v>
      </c>
      <c r="O111" s="349">
        <v>7.7398203904442147</v>
      </c>
      <c r="P111" s="358">
        <v>27.738924091192626</v>
      </c>
      <c r="Q111" s="361">
        <v>10.55328751527567</v>
      </c>
      <c r="T111" s="205"/>
    </row>
    <row r="112" spans="1:20" x14ac:dyDescent="0.2">
      <c r="A112" s="3">
        <v>109</v>
      </c>
      <c r="B112" s="304">
        <v>95</v>
      </c>
      <c r="C112" s="304">
        <v>0.01</v>
      </c>
      <c r="D112" s="304">
        <v>1.5</v>
      </c>
      <c r="E112" s="304">
        <v>1.5</v>
      </c>
      <c r="F112" s="304">
        <v>0.75</v>
      </c>
      <c r="G112" s="304">
        <v>10</v>
      </c>
      <c r="H112" s="304">
        <v>0.75</v>
      </c>
      <c r="I112" s="304">
        <v>1.5</v>
      </c>
      <c r="J112" s="304">
        <v>0.3</v>
      </c>
      <c r="K112" s="304">
        <v>80</v>
      </c>
      <c r="L112" s="304">
        <v>7.0000000000000007E-2</v>
      </c>
      <c r="M112" s="333">
        <v>1.3</v>
      </c>
      <c r="N112" s="338">
        <v>0.15</v>
      </c>
      <c r="O112" s="349">
        <v>29.030503920828622</v>
      </c>
      <c r="P112" s="358">
        <v>36.934135101592034</v>
      </c>
      <c r="Q112" s="361">
        <v>30.976762213631716</v>
      </c>
      <c r="T112" s="205"/>
    </row>
    <row r="113" spans="1:20" x14ac:dyDescent="0.2">
      <c r="A113" s="3">
        <v>110</v>
      </c>
      <c r="B113" s="304">
        <v>65</v>
      </c>
      <c r="C113" s="304">
        <v>-0.01</v>
      </c>
      <c r="D113" s="304">
        <v>3.5</v>
      </c>
      <c r="E113" s="304">
        <v>4.5</v>
      </c>
      <c r="F113" s="304">
        <v>0.75</v>
      </c>
      <c r="G113" s="304">
        <v>20</v>
      </c>
      <c r="H113" s="304">
        <v>0.25</v>
      </c>
      <c r="I113" s="304">
        <v>0.5</v>
      </c>
      <c r="J113" s="304">
        <v>0.9</v>
      </c>
      <c r="K113" s="304">
        <v>80</v>
      </c>
      <c r="L113" s="304">
        <v>0.15</v>
      </c>
      <c r="M113" s="333">
        <v>1.3</v>
      </c>
      <c r="N113" s="338">
        <v>8.3330000000000001E-2</v>
      </c>
      <c r="O113" s="349">
        <v>-37.162513472004349</v>
      </c>
      <c r="P113" s="358">
        <v>-19.048992339890955</v>
      </c>
      <c r="Q113" s="361">
        <v>-29.313715556006375</v>
      </c>
      <c r="T113" s="205"/>
    </row>
    <row r="114" spans="1:20" x14ac:dyDescent="0.2">
      <c r="A114" s="3">
        <v>111</v>
      </c>
      <c r="B114" s="304">
        <v>65</v>
      </c>
      <c r="C114" s="304">
        <v>-0.01</v>
      </c>
      <c r="D114" s="304">
        <v>1.5</v>
      </c>
      <c r="E114" s="304">
        <v>3.5</v>
      </c>
      <c r="F114" s="304">
        <v>0.75</v>
      </c>
      <c r="G114" s="304">
        <v>20</v>
      </c>
      <c r="H114" s="304">
        <v>0.75</v>
      </c>
      <c r="I114" s="304">
        <v>0.5</v>
      </c>
      <c r="J114" s="304">
        <v>0.3</v>
      </c>
      <c r="K114" s="304">
        <v>80</v>
      </c>
      <c r="L114" s="304">
        <v>0.11</v>
      </c>
      <c r="M114" s="333">
        <v>1.3</v>
      </c>
      <c r="N114" s="338">
        <v>8.3330000000000001E-2</v>
      </c>
      <c r="O114" s="349">
        <v>-19.287874298016796</v>
      </c>
      <c r="P114" s="358">
        <v>-1.9956754867812483</v>
      </c>
      <c r="Q114" s="361">
        <v>-14.596163619796311</v>
      </c>
      <c r="T114" s="205"/>
    </row>
    <row r="115" spans="1:20" x14ac:dyDescent="0.2">
      <c r="A115" s="3">
        <v>112</v>
      </c>
      <c r="B115" s="304">
        <v>65</v>
      </c>
      <c r="C115" s="304">
        <v>-0.01</v>
      </c>
      <c r="D115" s="304">
        <v>2.5</v>
      </c>
      <c r="E115" s="304">
        <v>1.5</v>
      </c>
      <c r="F115" s="304">
        <v>1.5</v>
      </c>
      <c r="G115" s="304">
        <v>20</v>
      </c>
      <c r="H115" s="304">
        <v>0.25</v>
      </c>
      <c r="I115" s="304">
        <v>0.5</v>
      </c>
      <c r="J115" s="304">
        <v>0.6</v>
      </c>
      <c r="K115" s="304">
        <v>80</v>
      </c>
      <c r="L115" s="304">
        <v>0.11</v>
      </c>
      <c r="M115" s="333">
        <v>0.9</v>
      </c>
      <c r="N115" s="338">
        <v>0.15</v>
      </c>
      <c r="O115" s="349">
        <v>-6.5147374941537892</v>
      </c>
      <c r="P115" s="358">
        <v>2.9862633887945593</v>
      </c>
      <c r="Q115" s="361">
        <v>-4.222916904164931</v>
      </c>
      <c r="T115" s="205"/>
    </row>
    <row r="116" spans="1:20" x14ac:dyDescent="0.2">
      <c r="A116" s="3">
        <v>113</v>
      </c>
      <c r="B116" s="304">
        <v>65</v>
      </c>
      <c r="C116" s="304">
        <v>0.01</v>
      </c>
      <c r="D116" s="304">
        <v>3.5</v>
      </c>
      <c r="E116" s="304">
        <v>1.5</v>
      </c>
      <c r="F116" s="304">
        <v>0.75</v>
      </c>
      <c r="G116" s="304">
        <v>20</v>
      </c>
      <c r="H116" s="304">
        <v>0.75</v>
      </c>
      <c r="I116" s="304">
        <v>0.5</v>
      </c>
      <c r="J116" s="304">
        <v>0.9</v>
      </c>
      <c r="K116" s="304">
        <v>40</v>
      </c>
      <c r="L116" s="304">
        <v>7.0000000000000007E-2</v>
      </c>
      <c r="M116" s="333">
        <v>0.7</v>
      </c>
      <c r="N116" s="338">
        <v>0.15</v>
      </c>
      <c r="O116" s="349">
        <v>-5.7898480246489026</v>
      </c>
      <c r="P116" s="358">
        <v>3.4712073351385624</v>
      </c>
      <c r="Q116" s="361">
        <v>-4.8718000454883255</v>
      </c>
      <c r="T116" s="205"/>
    </row>
    <row r="117" spans="1:20" x14ac:dyDescent="0.2">
      <c r="A117" s="3">
        <v>114</v>
      </c>
      <c r="B117" s="304">
        <v>65</v>
      </c>
      <c r="C117" s="304">
        <v>-0.01</v>
      </c>
      <c r="D117" s="304">
        <v>3.5</v>
      </c>
      <c r="E117" s="304">
        <v>2.5</v>
      </c>
      <c r="F117" s="304">
        <v>1.5</v>
      </c>
      <c r="G117" s="304">
        <v>20</v>
      </c>
      <c r="H117" s="304">
        <v>0.25</v>
      </c>
      <c r="I117" s="304">
        <v>1.5</v>
      </c>
      <c r="J117" s="304">
        <v>0.3</v>
      </c>
      <c r="K117" s="304">
        <v>60</v>
      </c>
      <c r="L117" s="304">
        <v>7.0000000000000007E-2</v>
      </c>
      <c r="M117" s="333">
        <v>0.7</v>
      </c>
      <c r="N117" s="338">
        <v>0.11666</v>
      </c>
      <c r="O117" s="349">
        <v>-22.99113702075671</v>
      </c>
      <c r="P117" s="358">
        <v>-9.4399132721481038</v>
      </c>
      <c r="Q117" s="361">
        <v>-21.938213684392352</v>
      </c>
      <c r="T117" s="205"/>
    </row>
    <row r="118" spans="1:20" x14ac:dyDescent="0.2">
      <c r="A118" s="3">
        <v>115</v>
      </c>
      <c r="B118" s="304">
        <v>65</v>
      </c>
      <c r="C118" s="304">
        <v>-0.01</v>
      </c>
      <c r="D118" s="304">
        <v>1.5</v>
      </c>
      <c r="E118" s="304">
        <v>1.5</v>
      </c>
      <c r="F118" s="304">
        <v>0.75</v>
      </c>
      <c r="G118" s="304">
        <v>10</v>
      </c>
      <c r="H118" s="304">
        <v>0.25</v>
      </c>
      <c r="I118" s="304">
        <v>1.5</v>
      </c>
      <c r="J118" s="304">
        <v>0.9</v>
      </c>
      <c r="K118" s="304">
        <v>40</v>
      </c>
      <c r="L118" s="304">
        <v>0.11</v>
      </c>
      <c r="M118" s="333">
        <v>0.9</v>
      </c>
      <c r="N118" s="338">
        <v>8.3330000000000001E-2</v>
      </c>
      <c r="O118" s="349">
        <v>-8.8912527816936482</v>
      </c>
      <c r="P118" s="358">
        <v>7.3292881045123028</v>
      </c>
      <c r="Q118" s="361">
        <v>-5.771680136960498</v>
      </c>
      <c r="T118" s="205"/>
    </row>
    <row r="119" spans="1:20" x14ac:dyDescent="0.2">
      <c r="A119" s="3">
        <v>116</v>
      </c>
      <c r="B119" s="304">
        <v>95</v>
      </c>
      <c r="C119" s="304">
        <v>-0.01</v>
      </c>
      <c r="D119" s="304">
        <v>3.5</v>
      </c>
      <c r="E119" s="304">
        <v>4.5</v>
      </c>
      <c r="F119" s="304">
        <v>1.5</v>
      </c>
      <c r="G119" s="304">
        <v>20</v>
      </c>
      <c r="H119" s="304">
        <v>0.25</v>
      </c>
      <c r="I119" s="304">
        <v>0.5</v>
      </c>
      <c r="J119" s="304">
        <v>0.3</v>
      </c>
      <c r="K119" s="304">
        <v>40</v>
      </c>
      <c r="L119" s="304">
        <v>7.0000000000000007E-2</v>
      </c>
      <c r="M119" s="333">
        <v>1.3</v>
      </c>
      <c r="N119" s="338">
        <v>0.15</v>
      </c>
      <c r="O119" s="349">
        <v>2.3202224085536565</v>
      </c>
      <c r="P119" s="358">
        <v>11.231995762913638</v>
      </c>
      <c r="Q119" s="361">
        <v>4.2424033547146411</v>
      </c>
      <c r="T119" s="205"/>
    </row>
    <row r="120" spans="1:20" x14ac:dyDescent="0.2">
      <c r="A120" s="3">
        <v>117</v>
      </c>
      <c r="B120" s="304">
        <v>65</v>
      </c>
      <c r="C120" s="304">
        <v>-0.01</v>
      </c>
      <c r="D120" s="304">
        <v>2.5</v>
      </c>
      <c r="E120" s="304">
        <v>4.5</v>
      </c>
      <c r="F120" s="304">
        <v>0.75</v>
      </c>
      <c r="G120" s="304">
        <v>20</v>
      </c>
      <c r="H120" s="304">
        <v>0.5</v>
      </c>
      <c r="I120" s="304">
        <v>1</v>
      </c>
      <c r="J120" s="304">
        <v>0.6</v>
      </c>
      <c r="K120" s="304">
        <v>40</v>
      </c>
      <c r="L120" s="304">
        <v>7.0000000000000007E-2</v>
      </c>
      <c r="M120" s="333">
        <v>1.3</v>
      </c>
      <c r="N120" s="338">
        <v>8.3330000000000001E-2</v>
      </c>
      <c r="O120" s="349">
        <v>-30.730106263084444</v>
      </c>
      <c r="P120" s="358">
        <v>-12.887837784161274</v>
      </c>
      <c r="Q120" s="361">
        <v>-28.378192943091275</v>
      </c>
      <c r="T120" s="205"/>
    </row>
    <row r="121" spans="1:20" x14ac:dyDescent="0.2">
      <c r="A121" s="3">
        <v>118</v>
      </c>
      <c r="B121" s="304">
        <v>95</v>
      </c>
      <c r="C121" s="304">
        <v>-0.01</v>
      </c>
      <c r="D121" s="304">
        <v>1.5</v>
      </c>
      <c r="E121" s="304">
        <v>3.5</v>
      </c>
      <c r="F121" s="304">
        <v>1.5</v>
      </c>
      <c r="G121" s="304">
        <v>20</v>
      </c>
      <c r="H121" s="304">
        <v>0.25</v>
      </c>
      <c r="I121" s="304">
        <v>1</v>
      </c>
      <c r="J121" s="304">
        <v>0.3</v>
      </c>
      <c r="K121" s="304">
        <v>40</v>
      </c>
      <c r="L121" s="304">
        <v>7.0000000000000007E-2</v>
      </c>
      <c r="M121" s="333">
        <v>0.7</v>
      </c>
      <c r="N121" s="338">
        <v>0.05</v>
      </c>
      <c r="O121" s="349">
        <v>-36.531153449600843</v>
      </c>
      <c r="P121" s="358">
        <v>-11.729239065685436</v>
      </c>
      <c r="Q121" s="361">
        <v>-34.335518372377905</v>
      </c>
      <c r="T121" s="205"/>
    </row>
    <row r="122" spans="1:20" x14ac:dyDescent="0.2">
      <c r="A122" s="3">
        <v>119</v>
      </c>
      <c r="B122" s="304">
        <v>65</v>
      </c>
      <c r="C122" s="304">
        <v>0</v>
      </c>
      <c r="D122" s="304">
        <v>3.5</v>
      </c>
      <c r="E122" s="304">
        <v>2.5</v>
      </c>
      <c r="F122" s="304">
        <v>2.25</v>
      </c>
      <c r="G122" s="304">
        <v>10</v>
      </c>
      <c r="H122" s="304">
        <v>0.75</v>
      </c>
      <c r="I122" s="304">
        <v>1.5</v>
      </c>
      <c r="J122" s="304">
        <v>0.9</v>
      </c>
      <c r="K122" s="304">
        <v>40</v>
      </c>
      <c r="L122" s="304">
        <v>0.15</v>
      </c>
      <c r="M122" s="333">
        <v>0.7</v>
      </c>
      <c r="N122" s="338">
        <v>0.05</v>
      </c>
      <c r="O122" s="349">
        <v>-47.39922368308941</v>
      </c>
      <c r="P122" s="358">
        <v>-22.093086101055611</v>
      </c>
      <c r="Q122" s="361">
        <v>-41.899043216849918</v>
      </c>
      <c r="T122" s="205"/>
    </row>
    <row r="123" spans="1:20" x14ac:dyDescent="0.2">
      <c r="A123" s="3">
        <v>120</v>
      </c>
      <c r="B123" s="304">
        <v>95</v>
      </c>
      <c r="C123" s="304">
        <v>-0.01</v>
      </c>
      <c r="D123" s="304">
        <v>3.5</v>
      </c>
      <c r="E123" s="304">
        <v>2.5</v>
      </c>
      <c r="F123" s="304">
        <v>0.75</v>
      </c>
      <c r="G123" s="304">
        <v>20</v>
      </c>
      <c r="H123" s="304">
        <v>0.25</v>
      </c>
      <c r="I123" s="304">
        <v>1.5</v>
      </c>
      <c r="J123" s="304">
        <v>0.3</v>
      </c>
      <c r="K123" s="304">
        <v>40</v>
      </c>
      <c r="L123" s="304">
        <v>0.15</v>
      </c>
      <c r="M123" s="333">
        <v>1.1000000000000001</v>
      </c>
      <c r="N123" s="338">
        <v>0.05</v>
      </c>
      <c r="O123" s="349">
        <v>-3.7398480340361893</v>
      </c>
      <c r="P123" s="358">
        <v>18.201288413848062</v>
      </c>
      <c r="Q123" s="361">
        <v>5.8868524448504873</v>
      </c>
      <c r="T123" s="205"/>
    </row>
    <row r="124" spans="1:20" x14ac:dyDescent="0.2">
      <c r="A124" s="3">
        <v>121</v>
      </c>
      <c r="B124" s="304">
        <v>65</v>
      </c>
      <c r="C124" s="304">
        <v>0.01</v>
      </c>
      <c r="D124" s="304">
        <v>1.5</v>
      </c>
      <c r="E124" s="304">
        <v>4.5</v>
      </c>
      <c r="F124" s="304">
        <v>0.75</v>
      </c>
      <c r="G124" s="304">
        <v>10</v>
      </c>
      <c r="H124" s="304">
        <v>0.25</v>
      </c>
      <c r="I124" s="304">
        <v>1.5</v>
      </c>
      <c r="J124" s="304">
        <v>0.6</v>
      </c>
      <c r="K124" s="304">
        <v>40</v>
      </c>
      <c r="L124" s="304">
        <v>0.11</v>
      </c>
      <c r="M124" s="333">
        <v>1.3</v>
      </c>
      <c r="N124" s="338">
        <v>0.15</v>
      </c>
      <c r="O124" s="349">
        <v>-9.4329568619355211</v>
      </c>
      <c r="P124" s="358">
        <v>0.25373721690832601</v>
      </c>
      <c r="Q124" s="361">
        <v>-5.8559980122997093</v>
      </c>
      <c r="T124" s="205"/>
    </row>
    <row r="125" spans="1:20" x14ac:dyDescent="0.2">
      <c r="A125" s="3">
        <v>122</v>
      </c>
      <c r="B125" s="304">
        <v>65</v>
      </c>
      <c r="C125" s="304">
        <v>-0.01</v>
      </c>
      <c r="D125" s="304">
        <v>2.5</v>
      </c>
      <c r="E125" s="304">
        <v>4.5</v>
      </c>
      <c r="F125" s="304">
        <v>2.25</v>
      </c>
      <c r="G125" s="304">
        <v>10</v>
      </c>
      <c r="H125" s="304">
        <v>0.25</v>
      </c>
      <c r="I125" s="304">
        <v>1.5</v>
      </c>
      <c r="J125" s="304">
        <v>0.6</v>
      </c>
      <c r="K125" s="304">
        <v>60</v>
      </c>
      <c r="L125" s="304">
        <v>0.15</v>
      </c>
      <c r="M125" s="333">
        <v>0.7</v>
      </c>
      <c r="N125" s="338">
        <v>0.15</v>
      </c>
      <c r="O125" s="349">
        <v>-35.527730310767744</v>
      </c>
      <c r="P125" s="358">
        <v>-24.989555403083198</v>
      </c>
      <c r="Q125" s="361">
        <v>-32.496328383366993</v>
      </c>
      <c r="T125" s="205"/>
    </row>
    <row r="126" spans="1:20" x14ac:dyDescent="0.2">
      <c r="A126" s="3">
        <v>123</v>
      </c>
      <c r="B126" s="304">
        <v>95</v>
      </c>
      <c r="C126" s="304">
        <v>0</v>
      </c>
      <c r="D126" s="304">
        <v>1.5</v>
      </c>
      <c r="E126" s="304">
        <v>4.5</v>
      </c>
      <c r="F126" s="304">
        <v>2.25</v>
      </c>
      <c r="G126" s="304">
        <v>15</v>
      </c>
      <c r="H126" s="304">
        <v>0.25</v>
      </c>
      <c r="I126" s="304">
        <v>1</v>
      </c>
      <c r="J126" s="304">
        <v>0.3</v>
      </c>
      <c r="K126" s="304">
        <v>40</v>
      </c>
      <c r="L126" s="304">
        <v>0.15</v>
      </c>
      <c r="M126" s="333">
        <v>0.7</v>
      </c>
      <c r="N126" s="338">
        <v>0.05</v>
      </c>
      <c r="O126" s="349">
        <v>-54.32680750525931</v>
      </c>
      <c r="P126" s="358">
        <v>-29.020669923225508</v>
      </c>
      <c r="Q126" s="361">
        <v>-46.490472088598402</v>
      </c>
      <c r="T126" s="205"/>
    </row>
    <row r="127" spans="1:20" x14ac:dyDescent="0.2">
      <c r="A127" s="3">
        <v>124</v>
      </c>
      <c r="B127" s="304">
        <v>65</v>
      </c>
      <c r="C127" s="304">
        <v>-0.01</v>
      </c>
      <c r="D127" s="304">
        <v>3.5</v>
      </c>
      <c r="E127" s="304">
        <v>1.5</v>
      </c>
      <c r="F127" s="304">
        <v>0.75</v>
      </c>
      <c r="G127" s="304">
        <v>10</v>
      </c>
      <c r="H127" s="304">
        <v>0.25</v>
      </c>
      <c r="I127" s="304">
        <v>0.5</v>
      </c>
      <c r="J127" s="304">
        <v>0.3</v>
      </c>
      <c r="K127" s="304">
        <v>60</v>
      </c>
      <c r="L127" s="304">
        <v>7.0000000000000007E-2</v>
      </c>
      <c r="M127" s="333">
        <v>0.7</v>
      </c>
      <c r="N127" s="338">
        <v>0.11666</v>
      </c>
      <c r="O127" s="349">
        <v>-2.9815607596369413</v>
      </c>
      <c r="P127" s="358">
        <v>8.3920858067734603</v>
      </c>
      <c r="Q127" s="361">
        <v>-2.0533098950871373</v>
      </c>
      <c r="T127" s="205"/>
    </row>
    <row r="128" spans="1:20" x14ac:dyDescent="0.2">
      <c r="A128" s="3">
        <v>125</v>
      </c>
      <c r="B128" s="304">
        <v>85</v>
      </c>
      <c r="C128" s="304">
        <v>0</v>
      </c>
      <c r="D128" s="304">
        <v>2.5</v>
      </c>
      <c r="E128" s="304">
        <v>4.5</v>
      </c>
      <c r="F128" s="304">
        <v>0.75</v>
      </c>
      <c r="G128" s="304">
        <v>10</v>
      </c>
      <c r="H128" s="304">
        <v>0.25</v>
      </c>
      <c r="I128" s="304">
        <v>1.5</v>
      </c>
      <c r="J128" s="304">
        <v>0.9</v>
      </c>
      <c r="K128" s="304">
        <v>40</v>
      </c>
      <c r="L128" s="304">
        <v>7.0000000000000007E-2</v>
      </c>
      <c r="M128" s="333">
        <v>1.3</v>
      </c>
      <c r="N128" s="338">
        <v>0.05</v>
      </c>
      <c r="O128" s="349">
        <v>-12.674302497797219</v>
      </c>
      <c r="P128" s="358">
        <v>10.099148932134806</v>
      </c>
      <c r="Q128" s="361">
        <v>-9.1362513350198071</v>
      </c>
      <c r="T128" s="205"/>
    </row>
    <row r="129" spans="1:20" x14ac:dyDescent="0.2">
      <c r="A129" s="3">
        <v>126</v>
      </c>
      <c r="B129" s="304">
        <v>95</v>
      </c>
      <c r="C129" s="304">
        <v>0</v>
      </c>
      <c r="D129" s="304">
        <v>1.5</v>
      </c>
      <c r="E129" s="304">
        <v>1.5</v>
      </c>
      <c r="F129" s="304">
        <v>0.75</v>
      </c>
      <c r="G129" s="304">
        <v>10</v>
      </c>
      <c r="H129" s="304">
        <v>0.5</v>
      </c>
      <c r="I129" s="304">
        <v>1.5</v>
      </c>
      <c r="J129" s="304">
        <v>0.3</v>
      </c>
      <c r="K129" s="304">
        <v>40</v>
      </c>
      <c r="L129" s="304">
        <v>0.15</v>
      </c>
      <c r="M129" s="333">
        <v>1.3</v>
      </c>
      <c r="N129" s="338">
        <v>8.3330000000000001E-2</v>
      </c>
      <c r="O129" s="349">
        <v>29.016233696226784</v>
      </c>
      <c r="P129" s="358">
        <v>42.635387276744297</v>
      </c>
      <c r="Q129" s="361">
        <v>37.847952921677631</v>
      </c>
      <c r="T129" s="205"/>
    </row>
    <row r="130" spans="1:20" x14ac:dyDescent="0.2">
      <c r="A130" s="3">
        <v>127</v>
      </c>
      <c r="B130" s="304">
        <v>95</v>
      </c>
      <c r="C130" s="304">
        <v>0.01</v>
      </c>
      <c r="D130" s="304">
        <v>3.5</v>
      </c>
      <c r="E130" s="304">
        <v>1.5</v>
      </c>
      <c r="F130" s="304">
        <v>0.75</v>
      </c>
      <c r="G130" s="304">
        <v>15</v>
      </c>
      <c r="H130" s="304">
        <v>0.5</v>
      </c>
      <c r="I130" s="304">
        <v>1</v>
      </c>
      <c r="J130" s="304">
        <v>0.6</v>
      </c>
      <c r="K130" s="304">
        <v>40</v>
      </c>
      <c r="L130" s="304">
        <v>0.11</v>
      </c>
      <c r="M130" s="333">
        <v>1.1000000000000001</v>
      </c>
      <c r="N130" s="338">
        <v>0.15</v>
      </c>
      <c r="O130" s="349">
        <v>18.594648458014579</v>
      </c>
      <c r="P130" s="358">
        <v>26.501945622426973</v>
      </c>
      <c r="Q130" s="361">
        <v>22.2668596427675</v>
      </c>
      <c r="T130" s="205"/>
    </row>
    <row r="131" spans="1:20" x14ac:dyDescent="0.2">
      <c r="A131" s="3">
        <v>128</v>
      </c>
      <c r="B131" s="304">
        <v>65</v>
      </c>
      <c r="C131" s="304">
        <v>0.01</v>
      </c>
      <c r="D131" s="304">
        <v>3.5</v>
      </c>
      <c r="E131" s="304">
        <v>1.5</v>
      </c>
      <c r="F131" s="304">
        <v>2.25</v>
      </c>
      <c r="G131" s="304">
        <v>20</v>
      </c>
      <c r="H131" s="304">
        <v>0.75</v>
      </c>
      <c r="I131" s="304">
        <v>1.5</v>
      </c>
      <c r="J131" s="304">
        <v>0.9</v>
      </c>
      <c r="K131" s="304">
        <v>80</v>
      </c>
      <c r="L131" s="304">
        <v>7.0000000000000007E-2</v>
      </c>
      <c r="M131" s="333">
        <v>1.1000000000000001</v>
      </c>
      <c r="N131" s="338">
        <v>0.05</v>
      </c>
      <c r="O131" s="349">
        <v>-15.642417815389555</v>
      </c>
      <c r="P131" s="358">
        <v>7.3595221768515087</v>
      </c>
      <c r="Q131" s="361">
        <v>-12.938741488955158</v>
      </c>
      <c r="T131" s="205"/>
    </row>
    <row r="132" spans="1:20" x14ac:dyDescent="0.2">
      <c r="A132" s="3">
        <v>129</v>
      </c>
      <c r="B132" s="304">
        <v>95</v>
      </c>
      <c r="C132" s="304">
        <v>0.01</v>
      </c>
      <c r="D132" s="304">
        <v>3.5</v>
      </c>
      <c r="E132" s="304">
        <v>1.5</v>
      </c>
      <c r="F132" s="304">
        <v>2.25</v>
      </c>
      <c r="G132" s="304">
        <v>20</v>
      </c>
      <c r="H132" s="304">
        <v>0.25</v>
      </c>
      <c r="I132" s="304">
        <v>1.5</v>
      </c>
      <c r="J132" s="304">
        <v>0.6</v>
      </c>
      <c r="K132" s="304">
        <v>80</v>
      </c>
      <c r="L132" s="304">
        <v>0.15</v>
      </c>
      <c r="M132" s="333">
        <v>1.1000000000000001</v>
      </c>
      <c r="N132" s="338">
        <v>0.05</v>
      </c>
      <c r="O132" s="349">
        <v>8.2420404236983718</v>
      </c>
      <c r="P132" s="358">
        <v>28.368006901784348</v>
      </c>
      <c r="Q132" s="361">
        <v>19.00337498434024</v>
      </c>
      <c r="T132" s="205"/>
    </row>
    <row r="133" spans="1:20" x14ac:dyDescent="0.2">
      <c r="A133" s="3">
        <v>130</v>
      </c>
      <c r="B133" s="304">
        <v>95</v>
      </c>
      <c r="C133" s="304">
        <v>0</v>
      </c>
      <c r="D133" s="304">
        <v>2.5</v>
      </c>
      <c r="E133" s="304">
        <v>3.5</v>
      </c>
      <c r="F133" s="304">
        <v>0.75</v>
      </c>
      <c r="G133" s="304">
        <v>10</v>
      </c>
      <c r="H133" s="304">
        <v>0.25</v>
      </c>
      <c r="I133" s="304">
        <v>0.5</v>
      </c>
      <c r="J133" s="304">
        <v>0.6</v>
      </c>
      <c r="K133" s="304">
        <v>60</v>
      </c>
      <c r="L133" s="304">
        <v>0.11</v>
      </c>
      <c r="M133" s="333">
        <v>0.9</v>
      </c>
      <c r="N133" s="338">
        <v>0.05</v>
      </c>
      <c r="O133" s="349">
        <v>-11.085336952807253</v>
      </c>
      <c r="P133" s="358">
        <v>11.508825226359749</v>
      </c>
      <c r="Q133" s="361">
        <v>-5.3723714366653539</v>
      </c>
      <c r="T133" s="205"/>
    </row>
    <row r="134" spans="1:20" x14ac:dyDescent="0.2">
      <c r="A134" s="3">
        <v>131</v>
      </c>
      <c r="B134" s="304">
        <v>65</v>
      </c>
      <c r="C134" s="304">
        <v>-0.01</v>
      </c>
      <c r="D134" s="304">
        <v>1.5</v>
      </c>
      <c r="E134" s="304">
        <v>2.5</v>
      </c>
      <c r="F134" s="304">
        <v>2.25</v>
      </c>
      <c r="G134" s="304">
        <v>10</v>
      </c>
      <c r="H134" s="304">
        <v>0.75</v>
      </c>
      <c r="I134" s="304">
        <v>0.5</v>
      </c>
      <c r="J134" s="304">
        <v>0.3</v>
      </c>
      <c r="K134" s="304">
        <v>80</v>
      </c>
      <c r="L134" s="304">
        <v>7.0000000000000007E-2</v>
      </c>
      <c r="M134" s="333">
        <v>0.7</v>
      </c>
      <c r="N134" s="338">
        <v>0.15</v>
      </c>
      <c r="O134" s="349">
        <v>-14.292021503816581</v>
      </c>
      <c r="P134" s="358">
        <v>-3.8727627823413457</v>
      </c>
      <c r="Q134" s="361">
        <v>-13.417584325569154</v>
      </c>
      <c r="T134" s="205"/>
    </row>
    <row r="135" spans="1:20" x14ac:dyDescent="0.2">
      <c r="A135" s="3">
        <v>132</v>
      </c>
      <c r="B135" s="304">
        <v>75</v>
      </c>
      <c r="C135" s="304">
        <v>-0.01</v>
      </c>
      <c r="D135" s="304">
        <v>1.5</v>
      </c>
      <c r="E135" s="304">
        <v>4.5</v>
      </c>
      <c r="F135" s="304">
        <v>2.25</v>
      </c>
      <c r="G135" s="304">
        <v>20</v>
      </c>
      <c r="H135" s="304">
        <v>0.75</v>
      </c>
      <c r="I135" s="304">
        <v>1</v>
      </c>
      <c r="J135" s="304">
        <v>0.3</v>
      </c>
      <c r="K135" s="304">
        <v>60</v>
      </c>
      <c r="L135" s="304">
        <v>0.15</v>
      </c>
      <c r="M135" s="333">
        <v>0.9</v>
      </c>
      <c r="N135" s="338">
        <v>0.11666</v>
      </c>
      <c r="O135" s="349">
        <v>-36.26901174991751</v>
      </c>
      <c r="P135" s="358">
        <v>-22.71778800130889</v>
      </c>
      <c r="Q135" s="361">
        <v>-31.174259112371203</v>
      </c>
      <c r="T135" s="205"/>
    </row>
    <row r="136" spans="1:20" x14ac:dyDescent="0.2">
      <c r="A136" s="3">
        <v>133</v>
      </c>
      <c r="B136" s="304">
        <v>95</v>
      </c>
      <c r="C136" s="304">
        <v>-0.01</v>
      </c>
      <c r="D136" s="304">
        <v>1.5</v>
      </c>
      <c r="E136" s="304">
        <v>2.5</v>
      </c>
      <c r="F136" s="304">
        <v>0.75</v>
      </c>
      <c r="G136" s="304">
        <v>20</v>
      </c>
      <c r="H136" s="304">
        <v>0.25</v>
      </c>
      <c r="I136" s="304">
        <v>1</v>
      </c>
      <c r="J136" s="304">
        <v>0.6</v>
      </c>
      <c r="K136" s="304">
        <v>60</v>
      </c>
      <c r="L136" s="304">
        <v>0.11</v>
      </c>
      <c r="M136" s="333">
        <v>1.3</v>
      </c>
      <c r="N136" s="338">
        <v>0.15</v>
      </c>
      <c r="O136" s="349">
        <v>10.790703888581263</v>
      </c>
      <c r="P136" s="358">
        <v>19.175358966328059</v>
      </c>
      <c r="Q136" s="361">
        <v>14.817511168553223</v>
      </c>
      <c r="T136" s="205"/>
    </row>
    <row r="137" spans="1:20" x14ac:dyDescent="0.2">
      <c r="A137" s="3">
        <v>134</v>
      </c>
      <c r="B137" s="304">
        <v>65</v>
      </c>
      <c r="C137" s="304">
        <v>0.01</v>
      </c>
      <c r="D137" s="304">
        <v>2.5</v>
      </c>
      <c r="E137" s="304">
        <v>1.5</v>
      </c>
      <c r="F137" s="304">
        <v>0.75</v>
      </c>
      <c r="G137" s="304">
        <v>10</v>
      </c>
      <c r="H137" s="304">
        <v>0.75</v>
      </c>
      <c r="I137" s="304">
        <v>0.5</v>
      </c>
      <c r="J137" s="304">
        <v>0.9</v>
      </c>
      <c r="K137" s="304">
        <v>40</v>
      </c>
      <c r="L137" s="304">
        <v>0.11</v>
      </c>
      <c r="M137" s="333">
        <v>1.3</v>
      </c>
      <c r="N137" s="338">
        <v>0.11666</v>
      </c>
      <c r="O137" s="349">
        <v>12.582157007636612</v>
      </c>
      <c r="P137" s="358">
        <v>22.89196950282847</v>
      </c>
      <c r="Q137" s="361">
        <v>16.172198181933915</v>
      </c>
      <c r="T137" s="205"/>
    </row>
    <row r="138" spans="1:20" x14ac:dyDescent="0.2">
      <c r="A138" s="3">
        <v>135</v>
      </c>
      <c r="B138" s="304">
        <v>95</v>
      </c>
      <c r="C138" s="304">
        <v>0</v>
      </c>
      <c r="D138" s="304">
        <v>1.5</v>
      </c>
      <c r="E138" s="304">
        <v>4.5</v>
      </c>
      <c r="F138" s="304">
        <v>0.75</v>
      </c>
      <c r="G138" s="304">
        <v>10</v>
      </c>
      <c r="H138" s="304">
        <v>0.75</v>
      </c>
      <c r="I138" s="304">
        <v>1.5</v>
      </c>
      <c r="J138" s="304">
        <v>0.6</v>
      </c>
      <c r="K138" s="304">
        <v>40</v>
      </c>
      <c r="L138" s="304">
        <v>7.0000000000000007E-2</v>
      </c>
      <c r="M138" s="333">
        <v>0.7</v>
      </c>
      <c r="N138" s="338">
        <v>0.05</v>
      </c>
      <c r="O138" s="349">
        <v>-42.980969001304224</v>
      </c>
      <c r="P138" s="358">
        <v>-17.977674300205699</v>
      </c>
      <c r="Q138" s="361">
        <v>-40.548947921197204</v>
      </c>
      <c r="T138" s="205"/>
    </row>
    <row r="139" spans="1:20" x14ac:dyDescent="0.2">
      <c r="A139" s="3">
        <v>136</v>
      </c>
      <c r="B139" s="304">
        <v>85</v>
      </c>
      <c r="C139" s="304">
        <v>0</v>
      </c>
      <c r="D139" s="304">
        <v>1.5</v>
      </c>
      <c r="E139" s="304">
        <v>3.5</v>
      </c>
      <c r="F139" s="304">
        <v>2.25</v>
      </c>
      <c r="G139" s="304">
        <v>10</v>
      </c>
      <c r="H139" s="304">
        <v>0.5</v>
      </c>
      <c r="I139" s="304">
        <v>0.5</v>
      </c>
      <c r="J139" s="304">
        <v>0.9</v>
      </c>
      <c r="K139" s="304">
        <v>40</v>
      </c>
      <c r="L139" s="304">
        <v>0.15</v>
      </c>
      <c r="M139" s="333">
        <v>1.3</v>
      </c>
      <c r="N139" s="338">
        <v>0.15</v>
      </c>
      <c r="O139" s="349">
        <v>2.1908331150761251</v>
      </c>
      <c r="P139" s="358">
        <v>11.028237272752987</v>
      </c>
      <c r="Q139" s="361">
        <v>8.2182648257173838</v>
      </c>
      <c r="T139" s="205"/>
    </row>
    <row r="140" spans="1:20" x14ac:dyDescent="0.2">
      <c r="A140" s="3">
        <v>137</v>
      </c>
      <c r="B140" s="304">
        <v>95</v>
      </c>
      <c r="C140" s="304">
        <v>-0.01</v>
      </c>
      <c r="D140" s="304">
        <v>1.5</v>
      </c>
      <c r="E140" s="304">
        <v>1.5</v>
      </c>
      <c r="F140" s="304">
        <v>2.25</v>
      </c>
      <c r="G140" s="304">
        <v>20</v>
      </c>
      <c r="H140" s="304">
        <v>0.25</v>
      </c>
      <c r="I140" s="304">
        <v>1.5</v>
      </c>
      <c r="J140" s="304">
        <v>0.9</v>
      </c>
      <c r="K140" s="304">
        <v>80</v>
      </c>
      <c r="L140" s="304">
        <v>0.15</v>
      </c>
      <c r="M140" s="333">
        <v>1.1000000000000001</v>
      </c>
      <c r="N140" s="338">
        <v>0.05</v>
      </c>
      <c r="O140" s="349">
        <v>-7.3920563761110936</v>
      </c>
      <c r="P140" s="358">
        <v>14.97687248715928</v>
      </c>
      <c r="Q140" s="361">
        <v>2.2110922183905677</v>
      </c>
      <c r="T140" s="205"/>
    </row>
    <row r="141" spans="1:20" x14ac:dyDescent="0.2">
      <c r="A141" s="3">
        <v>138</v>
      </c>
      <c r="B141" s="304">
        <v>85</v>
      </c>
      <c r="C141" s="304">
        <v>-0.01</v>
      </c>
      <c r="D141" s="304">
        <v>2.5</v>
      </c>
      <c r="E141" s="304">
        <v>1.5</v>
      </c>
      <c r="F141" s="304">
        <v>1.5</v>
      </c>
      <c r="G141" s="304">
        <v>10</v>
      </c>
      <c r="H141" s="304">
        <v>0.25</v>
      </c>
      <c r="I141" s="304">
        <v>1</v>
      </c>
      <c r="J141" s="304">
        <v>0.9</v>
      </c>
      <c r="K141" s="304">
        <v>80</v>
      </c>
      <c r="L141" s="304">
        <v>0.15</v>
      </c>
      <c r="M141" s="333">
        <v>0.7</v>
      </c>
      <c r="N141" s="338">
        <v>0.15</v>
      </c>
      <c r="O141" s="349">
        <v>-4.6992560088407611</v>
      </c>
      <c r="P141" s="358">
        <v>4.6230284221801217</v>
      </c>
      <c r="Q141" s="361">
        <v>-1.2690147602637858</v>
      </c>
      <c r="T141" s="205"/>
    </row>
    <row r="142" spans="1:20" x14ac:dyDescent="0.2">
      <c r="A142" s="3">
        <v>139</v>
      </c>
      <c r="B142" s="304">
        <v>95</v>
      </c>
      <c r="C142" s="304">
        <v>0</v>
      </c>
      <c r="D142" s="304">
        <v>1.5</v>
      </c>
      <c r="E142" s="304">
        <v>4.5</v>
      </c>
      <c r="F142" s="304">
        <v>1.5</v>
      </c>
      <c r="G142" s="304">
        <v>10</v>
      </c>
      <c r="H142" s="304">
        <v>0.25</v>
      </c>
      <c r="I142" s="304">
        <v>1.5</v>
      </c>
      <c r="J142" s="304">
        <v>0.6</v>
      </c>
      <c r="K142" s="304">
        <v>80</v>
      </c>
      <c r="L142" s="304">
        <v>7.0000000000000007E-2</v>
      </c>
      <c r="M142" s="333">
        <v>0.9</v>
      </c>
      <c r="N142" s="338">
        <v>0.05</v>
      </c>
      <c r="O142" s="349">
        <v>-33.883164103509365</v>
      </c>
      <c r="P142" s="358">
        <v>-9.5980945176202326</v>
      </c>
      <c r="Q142" s="361">
        <v>-30.934221276186936</v>
      </c>
      <c r="T142" s="205"/>
    </row>
    <row r="143" spans="1:20" x14ac:dyDescent="0.2">
      <c r="A143" s="3">
        <v>140</v>
      </c>
      <c r="B143" s="304">
        <v>95</v>
      </c>
      <c r="C143" s="304">
        <v>0</v>
      </c>
      <c r="D143" s="304">
        <v>3.5</v>
      </c>
      <c r="E143" s="304">
        <v>1.5</v>
      </c>
      <c r="F143" s="304">
        <v>2.25</v>
      </c>
      <c r="G143" s="304">
        <v>10</v>
      </c>
      <c r="H143" s="304">
        <v>0.75</v>
      </c>
      <c r="I143" s="304">
        <v>0.5</v>
      </c>
      <c r="J143" s="304">
        <v>0.9</v>
      </c>
      <c r="K143" s="304">
        <v>80</v>
      </c>
      <c r="L143" s="304">
        <v>7.0000000000000007E-2</v>
      </c>
      <c r="M143" s="333">
        <v>0.7</v>
      </c>
      <c r="N143" s="338">
        <v>0.05</v>
      </c>
      <c r="O143" s="349">
        <v>-6.3724801312361672</v>
      </c>
      <c r="P143" s="358">
        <v>15.593812254958454</v>
      </c>
      <c r="Q143" s="361">
        <v>-4.2351560471620795</v>
      </c>
      <c r="T143" s="205"/>
    </row>
    <row r="144" spans="1:20" x14ac:dyDescent="0.2">
      <c r="A144" s="3">
        <v>141</v>
      </c>
      <c r="B144" s="304">
        <v>65</v>
      </c>
      <c r="C144" s="304">
        <v>0.01</v>
      </c>
      <c r="D144" s="304">
        <v>1.5</v>
      </c>
      <c r="E144" s="304">
        <v>4.5</v>
      </c>
      <c r="F144" s="304">
        <v>0.75</v>
      </c>
      <c r="G144" s="304">
        <v>10</v>
      </c>
      <c r="H144" s="304">
        <v>0.75</v>
      </c>
      <c r="I144" s="304">
        <v>0.5</v>
      </c>
      <c r="J144" s="304">
        <v>0.9</v>
      </c>
      <c r="K144" s="304">
        <v>40</v>
      </c>
      <c r="L144" s="304">
        <v>7.0000000000000007E-2</v>
      </c>
      <c r="M144" s="304">
        <v>0.7</v>
      </c>
      <c r="N144" s="338">
        <v>0.15</v>
      </c>
      <c r="O144" s="349">
        <v>-24.900368776803013</v>
      </c>
      <c r="P144" s="358">
        <v>-14.362193869118473</v>
      </c>
      <c r="Q144" s="361">
        <v>-23.938169265965527</v>
      </c>
      <c r="T144" s="205"/>
    </row>
    <row r="145" spans="1:17" x14ac:dyDescent="0.2">
      <c r="A145" s="3">
        <v>142</v>
      </c>
      <c r="B145" s="304">
        <v>95</v>
      </c>
      <c r="C145" s="304">
        <v>0</v>
      </c>
      <c r="D145" s="304">
        <v>2.5</v>
      </c>
      <c r="E145" s="304">
        <v>1.5</v>
      </c>
      <c r="F145" s="304">
        <v>1.5</v>
      </c>
      <c r="G145" s="304">
        <v>10</v>
      </c>
      <c r="H145" s="304">
        <v>0.25</v>
      </c>
      <c r="I145" s="304">
        <v>1.5</v>
      </c>
      <c r="J145" s="304">
        <v>0.9</v>
      </c>
      <c r="K145" s="304">
        <v>40</v>
      </c>
      <c r="L145" s="304">
        <v>0.15</v>
      </c>
      <c r="M145" s="304">
        <v>1.3</v>
      </c>
      <c r="N145" s="338">
        <v>0.15</v>
      </c>
      <c r="O145" s="349">
        <v>19.270081015884159</v>
      </c>
      <c r="P145" s="358">
        <v>27.279694760605171</v>
      </c>
      <c r="Q145" s="361">
        <v>25.690457328399443</v>
      </c>
    </row>
    <row r="146" spans="1:17" x14ac:dyDescent="0.2">
      <c r="A146" s="3">
        <v>143</v>
      </c>
      <c r="B146" s="304">
        <v>65</v>
      </c>
      <c r="C146" s="304">
        <v>0</v>
      </c>
      <c r="D146" s="304">
        <v>2.5</v>
      </c>
      <c r="E146" s="304">
        <v>3.5</v>
      </c>
      <c r="F146" s="304">
        <v>2.25</v>
      </c>
      <c r="G146" s="304">
        <v>20</v>
      </c>
      <c r="H146" s="304">
        <v>0.75</v>
      </c>
      <c r="I146" s="304">
        <v>0.5</v>
      </c>
      <c r="J146" s="304">
        <v>0.9</v>
      </c>
      <c r="K146" s="304">
        <v>40</v>
      </c>
      <c r="L146" s="304">
        <v>0.15</v>
      </c>
      <c r="M146" s="304">
        <v>0.9</v>
      </c>
      <c r="N146" s="338">
        <v>0.15</v>
      </c>
      <c r="O146" s="349">
        <v>-24.822611020330392</v>
      </c>
      <c r="P146" s="358">
        <v>-14.284436112645857</v>
      </c>
      <c r="Q146" s="361">
        <v>-20.774963002889706</v>
      </c>
    </row>
    <row r="147" spans="1:17" x14ac:dyDescent="0.2">
      <c r="A147" s="3">
        <v>144</v>
      </c>
      <c r="B147" s="304">
        <v>75</v>
      </c>
      <c r="C147" s="304">
        <v>0</v>
      </c>
      <c r="D147" s="304">
        <v>1.5</v>
      </c>
      <c r="E147" s="304">
        <v>1.5</v>
      </c>
      <c r="F147" s="304">
        <v>0.75</v>
      </c>
      <c r="G147" s="304">
        <v>20</v>
      </c>
      <c r="H147" s="304">
        <v>0.25</v>
      </c>
      <c r="I147" s="304">
        <v>0.5</v>
      </c>
      <c r="J147" s="304">
        <v>0.9</v>
      </c>
      <c r="K147" s="304">
        <v>40</v>
      </c>
      <c r="L147" s="304">
        <v>0.15</v>
      </c>
      <c r="M147" s="304">
        <v>0.7</v>
      </c>
      <c r="N147" s="338">
        <v>0.15</v>
      </c>
      <c r="O147" s="349">
        <v>-6.0661922235705239</v>
      </c>
      <c r="P147" s="358">
        <v>3.3196293419097995</v>
      </c>
      <c r="Q147" s="361">
        <v>-2.8147987400867174</v>
      </c>
    </row>
    <row r="148" spans="1:17" x14ac:dyDescent="0.2">
      <c r="A148" s="3">
        <v>145</v>
      </c>
      <c r="B148" s="304">
        <v>95</v>
      </c>
      <c r="C148" s="304">
        <v>-0.01</v>
      </c>
      <c r="D148" s="304">
        <v>1.5</v>
      </c>
      <c r="E148" s="304">
        <v>1.5</v>
      </c>
      <c r="F148" s="304">
        <v>2.25</v>
      </c>
      <c r="G148" s="304">
        <v>10</v>
      </c>
      <c r="H148" s="304">
        <v>0.5</v>
      </c>
      <c r="I148" s="304">
        <v>1.5</v>
      </c>
      <c r="J148" s="304">
        <v>0.9</v>
      </c>
      <c r="K148" s="304">
        <v>40</v>
      </c>
      <c r="L148" s="304">
        <v>0.15</v>
      </c>
      <c r="M148" s="304">
        <v>0.7</v>
      </c>
      <c r="N148" s="338">
        <v>0.11666</v>
      </c>
      <c r="O148" s="349">
        <v>-7.2650891626810772</v>
      </c>
      <c r="P148" s="358">
        <v>4.9096082199783657</v>
      </c>
      <c r="Q148" s="361">
        <v>-2.8867193670027529</v>
      </c>
    </row>
    <row r="149" spans="1:17" x14ac:dyDescent="0.2">
      <c r="A149" s="3">
        <v>146</v>
      </c>
      <c r="B149" s="304">
        <v>75</v>
      </c>
      <c r="C149" s="304">
        <v>0.01</v>
      </c>
      <c r="D149" s="304">
        <v>1.5</v>
      </c>
      <c r="E149" s="304">
        <v>4.5</v>
      </c>
      <c r="F149" s="304">
        <v>2.25</v>
      </c>
      <c r="G149" s="304">
        <v>10</v>
      </c>
      <c r="H149" s="304">
        <v>0.25</v>
      </c>
      <c r="I149" s="304">
        <v>0.5</v>
      </c>
      <c r="J149" s="304">
        <v>0.9</v>
      </c>
      <c r="K149" s="304">
        <v>80</v>
      </c>
      <c r="L149" s="304">
        <v>0.11</v>
      </c>
      <c r="M149" s="304">
        <v>0.7</v>
      </c>
      <c r="N149" s="338">
        <v>8.3330000000000001E-2</v>
      </c>
      <c r="O149" s="349">
        <v>-45.696486758875565</v>
      </c>
      <c r="P149" s="358">
        <v>-27.582965626762199</v>
      </c>
      <c r="Q149" s="361">
        <v>-42.21254776880992</v>
      </c>
    </row>
    <row r="150" spans="1:17" x14ac:dyDescent="0.2">
      <c r="A150" s="3">
        <v>147</v>
      </c>
      <c r="B150" s="304">
        <v>65</v>
      </c>
      <c r="C150" s="304">
        <v>-0.01</v>
      </c>
      <c r="D150" s="304">
        <v>3.5</v>
      </c>
      <c r="E150" s="304">
        <v>4.5</v>
      </c>
      <c r="F150" s="304">
        <v>0.75</v>
      </c>
      <c r="G150" s="304">
        <v>15</v>
      </c>
      <c r="H150" s="304">
        <v>0.75</v>
      </c>
      <c r="I150" s="304">
        <v>0.5</v>
      </c>
      <c r="J150" s="304">
        <v>0.6</v>
      </c>
      <c r="K150" s="304">
        <v>80</v>
      </c>
      <c r="L150" s="304">
        <v>0.15</v>
      </c>
      <c r="M150" s="304">
        <v>0.7</v>
      </c>
      <c r="N150" s="338">
        <v>8.3330000000000001E-2</v>
      </c>
      <c r="O150" s="349">
        <v>-48.999848175730058</v>
      </c>
      <c r="P150" s="358">
        <v>-30.886327043616674</v>
      </c>
      <c r="Q150" s="361">
        <v>-44.76221860634336</v>
      </c>
    </row>
    <row r="151" spans="1:17" x14ac:dyDescent="0.2">
      <c r="A151" s="3">
        <v>148</v>
      </c>
      <c r="B151" s="304">
        <v>65</v>
      </c>
      <c r="C151" s="304">
        <v>0.01</v>
      </c>
      <c r="D151" s="304">
        <v>3.5</v>
      </c>
      <c r="E151" s="304">
        <v>1.5</v>
      </c>
      <c r="F151" s="304">
        <v>0.75</v>
      </c>
      <c r="G151" s="304">
        <v>10</v>
      </c>
      <c r="H151" s="304">
        <v>0.75</v>
      </c>
      <c r="I151" s="304">
        <v>0.5</v>
      </c>
      <c r="J151" s="304">
        <v>0.3</v>
      </c>
      <c r="K151" s="304">
        <v>40</v>
      </c>
      <c r="L151" s="304">
        <v>7.0000000000000007E-2</v>
      </c>
      <c r="M151" s="304">
        <v>1.3</v>
      </c>
      <c r="N151" s="338">
        <v>0.05</v>
      </c>
      <c r="O151" s="349">
        <v>23.744293427432385</v>
      </c>
      <c r="P151" s="358">
        <v>42.737550733488241</v>
      </c>
      <c r="Q151" s="361">
        <v>26.333455912049004</v>
      </c>
    </row>
    <row r="152" spans="1:17" x14ac:dyDescent="0.2">
      <c r="A152" s="3">
        <v>149</v>
      </c>
      <c r="B152" s="304">
        <v>65</v>
      </c>
      <c r="C152" s="304">
        <v>-0.01</v>
      </c>
      <c r="D152" s="304">
        <v>1.5</v>
      </c>
      <c r="E152" s="304">
        <v>3.5</v>
      </c>
      <c r="F152" s="304">
        <v>0.75</v>
      </c>
      <c r="G152" s="304">
        <v>10</v>
      </c>
      <c r="H152" s="304">
        <v>0.75</v>
      </c>
      <c r="I152" s="304">
        <v>1.5</v>
      </c>
      <c r="J152" s="304">
        <v>0.3</v>
      </c>
      <c r="K152" s="304">
        <v>60</v>
      </c>
      <c r="L152" s="304">
        <v>7.0000000000000007E-2</v>
      </c>
      <c r="M152" s="304">
        <v>1.3</v>
      </c>
      <c r="N152" s="338">
        <v>0.15</v>
      </c>
      <c r="O152" s="349">
        <v>-3.4875488469450238</v>
      </c>
      <c r="P152" s="358">
        <v>5.7727159546396898</v>
      </c>
      <c r="Q152" s="361">
        <v>-2.064129211258114</v>
      </c>
    </row>
    <row r="153" spans="1:17" x14ac:dyDescent="0.2">
      <c r="A153" s="3">
        <v>150</v>
      </c>
      <c r="B153" s="304">
        <v>75</v>
      </c>
      <c r="C153" s="304">
        <v>-0.01</v>
      </c>
      <c r="D153" s="304">
        <v>2.5</v>
      </c>
      <c r="E153" s="304">
        <v>2.5</v>
      </c>
      <c r="F153" s="304">
        <v>2.25</v>
      </c>
      <c r="G153" s="304">
        <v>10</v>
      </c>
      <c r="H153" s="304">
        <v>0.75</v>
      </c>
      <c r="I153" s="304">
        <v>1</v>
      </c>
      <c r="J153" s="304">
        <v>0.9</v>
      </c>
      <c r="K153" s="304">
        <v>60</v>
      </c>
      <c r="L153" s="304">
        <v>7.0000000000000007E-2</v>
      </c>
      <c r="M153" s="304">
        <v>1.1000000000000001</v>
      </c>
      <c r="N153" s="338">
        <v>0.11666</v>
      </c>
      <c r="O153" s="349">
        <v>-4.8464624006836372</v>
      </c>
      <c r="P153" s="358">
        <v>7.0800189852202369</v>
      </c>
      <c r="Q153" s="361">
        <v>-3.2551062681686544</v>
      </c>
    </row>
    <row r="154" spans="1:17" x14ac:dyDescent="0.2">
      <c r="A154" s="3">
        <v>151</v>
      </c>
      <c r="B154" s="304">
        <v>65</v>
      </c>
      <c r="C154" s="304">
        <v>0.01</v>
      </c>
      <c r="D154" s="304">
        <v>1.5</v>
      </c>
      <c r="E154" s="304">
        <v>3.5</v>
      </c>
      <c r="F154" s="304">
        <v>0.75</v>
      </c>
      <c r="G154" s="304">
        <v>10</v>
      </c>
      <c r="H154" s="304">
        <v>0.75</v>
      </c>
      <c r="I154" s="304">
        <v>1.5</v>
      </c>
      <c r="J154" s="304">
        <v>0.3</v>
      </c>
      <c r="K154" s="304">
        <v>80</v>
      </c>
      <c r="L154" s="304">
        <v>0.15</v>
      </c>
      <c r="M154" s="304">
        <v>1.3</v>
      </c>
      <c r="N154" s="338">
        <v>8.3330000000000001E-2</v>
      </c>
      <c r="O154" s="349">
        <v>-10.278635436191063</v>
      </c>
      <c r="P154" s="358">
        <v>5.9670096771929115</v>
      </c>
      <c r="Q154" s="361">
        <v>-2.6919821543527083</v>
      </c>
    </row>
    <row r="155" spans="1:17" x14ac:dyDescent="0.2">
      <c r="A155" s="3">
        <v>152</v>
      </c>
      <c r="B155" s="304">
        <v>65</v>
      </c>
      <c r="C155" s="304">
        <v>0.01</v>
      </c>
      <c r="D155" s="304">
        <v>3.5</v>
      </c>
      <c r="E155" s="304">
        <v>1.5</v>
      </c>
      <c r="F155" s="304">
        <v>0.75</v>
      </c>
      <c r="G155" s="304">
        <v>15</v>
      </c>
      <c r="H155" s="304">
        <v>0.25</v>
      </c>
      <c r="I155" s="304">
        <v>1.5</v>
      </c>
      <c r="J155" s="304">
        <v>0.3</v>
      </c>
      <c r="K155" s="304">
        <v>80</v>
      </c>
      <c r="L155" s="304">
        <v>0.15</v>
      </c>
      <c r="M155" s="304">
        <v>1.3</v>
      </c>
      <c r="N155" s="338">
        <v>8.3330000000000001E-2</v>
      </c>
      <c r="O155" s="349">
        <v>6.9966238145389807</v>
      </c>
      <c r="P155" s="358">
        <v>21.042592839854354</v>
      </c>
      <c r="Q155" s="361">
        <v>13.874572956116092</v>
      </c>
    </row>
    <row r="156" spans="1:17" x14ac:dyDescent="0.2">
      <c r="A156" s="3">
        <v>153</v>
      </c>
      <c r="B156" s="304">
        <v>95</v>
      </c>
      <c r="C156" s="304">
        <v>0.01</v>
      </c>
      <c r="D156" s="304">
        <v>1.5</v>
      </c>
      <c r="E156" s="304">
        <v>4.5</v>
      </c>
      <c r="F156" s="304">
        <v>2.25</v>
      </c>
      <c r="G156" s="304">
        <v>15</v>
      </c>
      <c r="H156" s="304">
        <v>0.25</v>
      </c>
      <c r="I156" s="304">
        <v>1</v>
      </c>
      <c r="J156" s="304">
        <v>0.6</v>
      </c>
      <c r="K156" s="304">
        <v>40</v>
      </c>
      <c r="L156" s="304">
        <v>0.11</v>
      </c>
      <c r="M156" s="304">
        <v>1.3</v>
      </c>
      <c r="N156" s="338">
        <v>0.11666</v>
      </c>
      <c r="O156" s="349">
        <v>1.5752312936001942</v>
      </c>
      <c r="P156" s="358">
        <v>13.01960474780766</v>
      </c>
      <c r="Q156" s="361">
        <v>7.0419146031810813</v>
      </c>
    </row>
    <row r="157" spans="1:17" x14ac:dyDescent="0.2">
      <c r="A157" s="3">
        <v>154</v>
      </c>
      <c r="B157" s="304">
        <v>95</v>
      </c>
      <c r="C157" s="304">
        <v>-0.01</v>
      </c>
      <c r="D157" s="304">
        <v>3.5</v>
      </c>
      <c r="E157" s="304">
        <v>1.5</v>
      </c>
      <c r="F157" s="304">
        <v>1.5</v>
      </c>
      <c r="G157" s="304">
        <v>10</v>
      </c>
      <c r="H157" s="304">
        <v>0.75</v>
      </c>
      <c r="I157" s="304">
        <v>0.5</v>
      </c>
      <c r="J157" s="304">
        <v>0.6</v>
      </c>
      <c r="K157" s="304">
        <v>40</v>
      </c>
      <c r="L157" s="304">
        <v>0.15</v>
      </c>
      <c r="M157" s="304">
        <v>1.1000000000000001</v>
      </c>
      <c r="N157" s="338">
        <v>0.05</v>
      </c>
      <c r="O157" s="349">
        <v>16.390247978547173</v>
      </c>
      <c r="P157" s="358">
        <v>36.418522744733451</v>
      </c>
      <c r="Q157" s="361">
        <v>25.56336979804497</v>
      </c>
    </row>
    <row r="158" spans="1:17" x14ac:dyDescent="0.2">
      <c r="A158" s="3">
        <v>155</v>
      </c>
      <c r="B158" s="304">
        <v>65</v>
      </c>
      <c r="C158" s="304">
        <v>0.01</v>
      </c>
      <c r="D158" s="304">
        <v>1.5</v>
      </c>
      <c r="E158" s="304">
        <v>4.5</v>
      </c>
      <c r="F158" s="304">
        <v>0.75</v>
      </c>
      <c r="G158" s="304">
        <v>20</v>
      </c>
      <c r="H158" s="304">
        <v>0.25</v>
      </c>
      <c r="I158" s="304">
        <v>0.5</v>
      </c>
      <c r="J158" s="304">
        <v>0.6</v>
      </c>
      <c r="K158" s="304">
        <v>80</v>
      </c>
      <c r="L158" s="304">
        <v>0.11</v>
      </c>
      <c r="M158" s="304">
        <v>1.3</v>
      </c>
      <c r="N158" s="338">
        <v>0.05</v>
      </c>
      <c r="O158" s="349">
        <v>-37.962028292736854</v>
      </c>
      <c r="P158" s="358">
        <v>-12.922515674036658</v>
      </c>
      <c r="Q158" s="361">
        <v>-30.973601751230444</v>
      </c>
    </row>
    <row r="159" spans="1:17" x14ac:dyDescent="0.2">
      <c r="A159" s="3">
        <v>156</v>
      </c>
      <c r="B159" s="304">
        <v>75</v>
      </c>
      <c r="C159" s="304">
        <v>0</v>
      </c>
      <c r="D159" s="304">
        <v>2.5</v>
      </c>
      <c r="E159" s="304">
        <v>3.5</v>
      </c>
      <c r="F159" s="304">
        <v>1.5</v>
      </c>
      <c r="G159" s="304">
        <v>15</v>
      </c>
      <c r="H159" s="304">
        <v>0.25</v>
      </c>
      <c r="I159" s="304">
        <v>1</v>
      </c>
      <c r="J159" s="304">
        <v>0.6</v>
      </c>
      <c r="K159" s="304">
        <v>40</v>
      </c>
      <c r="L159" s="304">
        <v>7.0000000000000007E-2</v>
      </c>
      <c r="M159" s="304">
        <v>0.9</v>
      </c>
      <c r="N159" s="338">
        <v>0.11666</v>
      </c>
      <c r="O159" s="349">
        <v>-16.208039085083829</v>
      </c>
      <c r="P159" s="358">
        <v>-3.2418089776495069</v>
      </c>
      <c r="Q159" s="361">
        <v>-14.684314781010583</v>
      </c>
    </row>
    <row r="160" spans="1:17" x14ac:dyDescent="0.2">
      <c r="A160" s="3">
        <v>157</v>
      </c>
      <c r="B160" s="304">
        <v>95</v>
      </c>
      <c r="C160" s="304">
        <v>0.01</v>
      </c>
      <c r="D160" s="304">
        <v>2.5</v>
      </c>
      <c r="E160" s="304">
        <v>1.5</v>
      </c>
      <c r="F160" s="304">
        <v>2.25</v>
      </c>
      <c r="G160" s="304">
        <v>15</v>
      </c>
      <c r="H160" s="304">
        <v>0.25</v>
      </c>
      <c r="I160" s="304">
        <v>0.5</v>
      </c>
      <c r="J160" s="304">
        <v>0.3</v>
      </c>
      <c r="K160" s="304">
        <v>60</v>
      </c>
      <c r="L160" s="304">
        <v>0.15</v>
      </c>
      <c r="M160" s="304">
        <v>1.1000000000000001</v>
      </c>
      <c r="N160" s="338">
        <v>0.15</v>
      </c>
      <c r="O160" s="349">
        <v>14.922305781684306</v>
      </c>
      <c r="P160" s="358">
        <v>22.855462376164027</v>
      </c>
      <c r="Q160" s="361">
        <v>20.588142712965791</v>
      </c>
    </row>
    <row r="161" spans="1:17" x14ac:dyDescent="0.2">
      <c r="A161" s="3">
        <v>158</v>
      </c>
      <c r="B161" s="304">
        <v>65</v>
      </c>
      <c r="C161" s="304">
        <v>-0.01</v>
      </c>
      <c r="D161" s="304">
        <v>1.5</v>
      </c>
      <c r="E161" s="304">
        <v>4.5</v>
      </c>
      <c r="F161" s="304">
        <v>2.25</v>
      </c>
      <c r="G161" s="304">
        <v>20</v>
      </c>
      <c r="H161" s="304">
        <v>0.25</v>
      </c>
      <c r="I161" s="304">
        <v>0.5</v>
      </c>
      <c r="J161" s="304">
        <v>0.9</v>
      </c>
      <c r="K161" s="304">
        <v>80</v>
      </c>
      <c r="L161" s="304">
        <v>7.0000000000000007E-2</v>
      </c>
      <c r="M161" s="304">
        <v>1.3</v>
      </c>
      <c r="N161" s="338">
        <v>0.15</v>
      </c>
      <c r="O161" s="349">
        <v>-22.5920102338848</v>
      </c>
      <c r="P161" s="358">
        <v>-12.053835326200261</v>
      </c>
      <c r="Q161" s="361">
        <v>-20.968055506192954</v>
      </c>
    </row>
    <row r="162" spans="1:17" x14ac:dyDescent="0.2">
      <c r="A162" s="3">
        <v>159</v>
      </c>
      <c r="B162" s="304">
        <v>65</v>
      </c>
      <c r="C162" s="304">
        <v>0</v>
      </c>
      <c r="D162" s="304">
        <v>1.5</v>
      </c>
      <c r="E162" s="304">
        <v>3.5</v>
      </c>
      <c r="F162" s="304">
        <v>1.5</v>
      </c>
      <c r="G162" s="304">
        <v>10</v>
      </c>
      <c r="H162" s="304">
        <v>0.25</v>
      </c>
      <c r="I162" s="304">
        <v>1.5</v>
      </c>
      <c r="J162" s="304">
        <v>0.9</v>
      </c>
      <c r="K162" s="304">
        <v>80</v>
      </c>
      <c r="L162" s="304">
        <v>0.11</v>
      </c>
      <c r="M162" s="304">
        <v>0.7</v>
      </c>
      <c r="N162" s="338">
        <v>0.15</v>
      </c>
      <c r="O162" s="349">
        <v>-25.914613428734519</v>
      </c>
      <c r="P162" s="358">
        <v>-15.376438521049982</v>
      </c>
      <c r="Q162" s="361">
        <v>-23.899177059572413</v>
      </c>
    </row>
    <row r="163" spans="1:17" x14ac:dyDescent="0.2">
      <c r="A163" s="3">
        <v>160</v>
      </c>
      <c r="B163" s="304">
        <v>65</v>
      </c>
      <c r="C163" s="304">
        <v>0.01</v>
      </c>
      <c r="D163" s="304">
        <v>2.5</v>
      </c>
      <c r="E163" s="304">
        <v>1.5</v>
      </c>
      <c r="F163" s="304">
        <v>0.75</v>
      </c>
      <c r="G163" s="304">
        <v>20</v>
      </c>
      <c r="H163" s="304">
        <v>0.25</v>
      </c>
      <c r="I163" s="304">
        <v>1.5</v>
      </c>
      <c r="J163" s="304">
        <v>0.9</v>
      </c>
      <c r="K163" s="304">
        <v>60</v>
      </c>
      <c r="L163" s="304">
        <v>0.11</v>
      </c>
      <c r="M163" s="304">
        <v>1.3</v>
      </c>
      <c r="N163" s="338">
        <v>0.05</v>
      </c>
      <c r="O163" s="349">
        <v>-1.558208319502191</v>
      </c>
      <c r="P163" s="358">
        <v>19.280924558373552</v>
      </c>
      <c r="Q163" s="361">
        <v>4.4210315480312108</v>
      </c>
    </row>
    <row r="164" spans="1:17" x14ac:dyDescent="0.2">
      <c r="A164" s="3">
        <v>161</v>
      </c>
      <c r="B164" s="304">
        <v>65</v>
      </c>
      <c r="C164" s="304">
        <v>0</v>
      </c>
      <c r="D164" s="304">
        <v>2.5</v>
      </c>
      <c r="E164" s="304">
        <v>3.5</v>
      </c>
      <c r="F164" s="304">
        <v>1.5</v>
      </c>
      <c r="G164" s="304">
        <v>10</v>
      </c>
      <c r="H164" s="304">
        <v>0.25</v>
      </c>
      <c r="I164" s="304">
        <v>1.5</v>
      </c>
      <c r="J164" s="304">
        <v>0.6</v>
      </c>
      <c r="K164" s="304">
        <v>40</v>
      </c>
      <c r="L164" s="304">
        <v>0.15</v>
      </c>
      <c r="M164" s="304">
        <v>0.7</v>
      </c>
      <c r="N164" s="338">
        <v>0.05</v>
      </c>
      <c r="O164" s="349">
        <v>-54.847940815261161</v>
      </c>
      <c r="P164" s="358">
        <v>-29.541803233227366</v>
      </c>
      <c r="Q164" s="361">
        <v>-49.397767251244893</v>
      </c>
    </row>
    <row r="165" spans="1:17" x14ac:dyDescent="0.2">
      <c r="A165" s="3">
        <v>162</v>
      </c>
      <c r="B165" s="304">
        <v>75</v>
      </c>
      <c r="C165" s="304">
        <v>-0.01</v>
      </c>
      <c r="D165" s="304">
        <v>1.5</v>
      </c>
      <c r="E165" s="304">
        <v>4.5</v>
      </c>
      <c r="F165" s="304">
        <v>0.75</v>
      </c>
      <c r="G165" s="304">
        <v>10</v>
      </c>
      <c r="H165" s="304">
        <v>0.75</v>
      </c>
      <c r="I165" s="304">
        <v>1</v>
      </c>
      <c r="J165" s="304">
        <v>0.9</v>
      </c>
      <c r="K165" s="304">
        <v>40</v>
      </c>
      <c r="L165" s="304">
        <v>0.11</v>
      </c>
      <c r="M165" s="304">
        <v>1.3</v>
      </c>
      <c r="N165" s="338">
        <v>0.15</v>
      </c>
      <c r="O165" s="349">
        <v>-7.6430045400190387</v>
      </c>
      <c r="P165" s="358">
        <v>1.9652465357282263</v>
      </c>
      <c r="Q165" s="361">
        <v>-4.0057341021079154</v>
      </c>
    </row>
    <row r="166" spans="1:17" x14ac:dyDescent="0.2">
      <c r="A166" s="3">
        <v>163</v>
      </c>
      <c r="B166" s="304">
        <v>65</v>
      </c>
      <c r="C166" s="304">
        <v>0</v>
      </c>
      <c r="D166" s="304">
        <v>1.5</v>
      </c>
      <c r="E166" s="304">
        <v>3.5</v>
      </c>
      <c r="F166" s="304">
        <v>1.5</v>
      </c>
      <c r="G166" s="304">
        <v>20</v>
      </c>
      <c r="H166" s="304">
        <v>0.5</v>
      </c>
      <c r="I166" s="304">
        <v>1.5</v>
      </c>
      <c r="J166" s="304">
        <v>0.6</v>
      </c>
      <c r="K166" s="304">
        <v>60</v>
      </c>
      <c r="L166" s="304">
        <v>0.15</v>
      </c>
      <c r="M166" s="304">
        <v>1.3</v>
      </c>
      <c r="N166" s="338">
        <v>0.05</v>
      </c>
      <c r="O166" s="349">
        <v>-41.585973136236071</v>
      </c>
      <c r="P166" s="358">
        <v>-16.420610623536302</v>
      </c>
      <c r="Q166" s="361">
        <v>-31.738835167821914</v>
      </c>
    </row>
    <row r="167" spans="1:17" x14ac:dyDescent="0.2">
      <c r="A167" s="3">
        <v>164</v>
      </c>
      <c r="B167" s="304">
        <v>75</v>
      </c>
      <c r="C167" s="304">
        <v>0</v>
      </c>
      <c r="D167" s="304">
        <v>2.5</v>
      </c>
      <c r="E167" s="304">
        <v>3.5</v>
      </c>
      <c r="F167" s="304">
        <v>1.5</v>
      </c>
      <c r="G167" s="304">
        <v>15</v>
      </c>
      <c r="H167" s="304">
        <v>0.5</v>
      </c>
      <c r="I167" s="304">
        <v>1</v>
      </c>
      <c r="J167" s="304">
        <v>0.6</v>
      </c>
      <c r="K167" s="304">
        <v>60</v>
      </c>
      <c r="L167" s="304">
        <v>0.11</v>
      </c>
      <c r="M167" s="304">
        <v>1.1000000000000001</v>
      </c>
      <c r="N167" s="338">
        <v>8.3330000000000001E-2</v>
      </c>
      <c r="O167" s="349">
        <v>-17.648757981961957</v>
      </c>
      <c r="P167" s="358">
        <v>-0.64253864935307425</v>
      </c>
      <c r="Q167" s="361">
        <v>-12.881555575580581</v>
      </c>
    </row>
    <row r="168" spans="1:17" x14ac:dyDescent="0.2">
      <c r="A168" s="3">
        <v>165</v>
      </c>
      <c r="B168" s="304">
        <v>95</v>
      </c>
      <c r="C168" s="304">
        <v>-0.01</v>
      </c>
      <c r="D168" s="304">
        <v>3.5</v>
      </c>
      <c r="E168" s="304">
        <v>4.5</v>
      </c>
      <c r="F168" s="304">
        <v>2.25</v>
      </c>
      <c r="G168" s="304">
        <v>20</v>
      </c>
      <c r="H168" s="304">
        <v>0.5</v>
      </c>
      <c r="I168" s="304">
        <v>1.5</v>
      </c>
      <c r="J168" s="304">
        <v>0.9</v>
      </c>
      <c r="K168" s="304">
        <v>60</v>
      </c>
      <c r="L168" s="304">
        <v>7.0000000000000007E-2</v>
      </c>
      <c r="M168" s="304">
        <v>0.9</v>
      </c>
      <c r="N168" s="338">
        <v>8.3330000000000001E-2</v>
      </c>
      <c r="O168" s="349">
        <v>-37.138012834685064</v>
      </c>
      <c r="P168" s="358">
        <v>-19.236466886648472</v>
      </c>
      <c r="Q168" s="361">
        <v>-34.804335875633946</v>
      </c>
    </row>
    <row r="169" spans="1:17" x14ac:dyDescent="0.2">
      <c r="A169" s="3">
        <v>166</v>
      </c>
      <c r="B169" s="304">
        <v>85</v>
      </c>
      <c r="C169" s="304">
        <v>0.01</v>
      </c>
      <c r="D169" s="304">
        <v>3.5</v>
      </c>
      <c r="E169" s="304">
        <v>1.5</v>
      </c>
      <c r="F169" s="304">
        <v>2.25</v>
      </c>
      <c r="G169" s="304">
        <v>20</v>
      </c>
      <c r="H169" s="304">
        <v>0.75</v>
      </c>
      <c r="I169" s="304">
        <v>1</v>
      </c>
      <c r="J169" s="304">
        <v>0.3</v>
      </c>
      <c r="K169" s="304">
        <v>40</v>
      </c>
      <c r="L169" s="304">
        <v>7.0000000000000007E-2</v>
      </c>
      <c r="M169" s="304">
        <v>0.7</v>
      </c>
      <c r="N169" s="338">
        <v>0.11666</v>
      </c>
      <c r="O169" s="349">
        <v>-2.6234284453350147</v>
      </c>
      <c r="P169" s="358">
        <v>8.6525272043646044</v>
      </c>
      <c r="Q169" s="361">
        <v>-1.3057578027725893</v>
      </c>
    </row>
    <row r="170" spans="1:17" x14ac:dyDescent="0.2">
      <c r="A170" s="3">
        <v>167</v>
      </c>
      <c r="B170" s="304">
        <v>65</v>
      </c>
      <c r="C170" s="304">
        <v>0.01</v>
      </c>
      <c r="D170" s="304">
        <v>1.5</v>
      </c>
      <c r="E170" s="304">
        <v>4.5</v>
      </c>
      <c r="F170" s="304">
        <v>2.25</v>
      </c>
      <c r="G170" s="304">
        <v>20</v>
      </c>
      <c r="H170" s="304">
        <v>0.5</v>
      </c>
      <c r="I170" s="304">
        <v>1.5</v>
      </c>
      <c r="J170" s="304">
        <v>0.9</v>
      </c>
      <c r="K170" s="304">
        <v>80</v>
      </c>
      <c r="L170" s="304">
        <v>0.15</v>
      </c>
      <c r="M170" s="304">
        <v>1.1000000000000001</v>
      </c>
      <c r="N170" s="338">
        <v>0.15</v>
      </c>
      <c r="O170" s="349">
        <v>-30.8266536035546</v>
      </c>
      <c r="P170" s="358">
        <v>-20.288478695870058</v>
      </c>
      <c r="Q170" s="361">
        <v>-25.683101511465438</v>
      </c>
    </row>
    <row r="171" spans="1:17" x14ac:dyDescent="0.2">
      <c r="A171" s="3">
        <v>168</v>
      </c>
      <c r="B171" s="304">
        <v>95</v>
      </c>
      <c r="C171" s="304">
        <v>-0.01</v>
      </c>
      <c r="D171" s="304">
        <v>1.5</v>
      </c>
      <c r="E171" s="304">
        <v>4.5</v>
      </c>
      <c r="F171" s="304">
        <v>0.75</v>
      </c>
      <c r="G171" s="304">
        <v>15</v>
      </c>
      <c r="H171" s="304">
        <v>0.75</v>
      </c>
      <c r="I171" s="304">
        <v>0.5</v>
      </c>
      <c r="J171" s="304">
        <v>0.9</v>
      </c>
      <c r="K171" s="304">
        <v>80</v>
      </c>
      <c r="L171" s="304">
        <v>0.15</v>
      </c>
      <c r="M171" s="304">
        <v>1.3</v>
      </c>
      <c r="N171" s="338">
        <v>0.11666</v>
      </c>
      <c r="O171" s="349">
        <v>-4.9860487885856255</v>
      </c>
      <c r="P171" s="358">
        <v>7.0013353147998583</v>
      </c>
      <c r="Q171" s="361">
        <v>2.682974619788463</v>
      </c>
    </row>
    <row r="172" spans="1:17" x14ac:dyDescent="0.2">
      <c r="A172" s="3">
        <v>169</v>
      </c>
      <c r="B172" s="304">
        <v>95</v>
      </c>
      <c r="C172" s="304">
        <v>0</v>
      </c>
      <c r="D172" s="304">
        <v>3.5</v>
      </c>
      <c r="E172" s="304">
        <v>1.5</v>
      </c>
      <c r="F172" s="304">
        <v>2.25</v>
      </c>
      <c r="G172" s="304">
        <v>20</v>
      </c>
      <c r="H172" s="304">
        <v>0.25</v>
      </c>
      <c r="I172" s="304">
        <v>0.5</v>
      </c>
      <c r="J172" s="304">
        <v>0.6</v>
      </c>
      <c r="K172" s="304">
        <v>40</v>
      </c>
      <c r="L172" s="304">
        <v>7.0000000000000007E-2</v>
      </c>
      <c r="M172" s="304">
        <v>1.3</v>
      </c>
      <c r="N172" s="338">
        <v>8.3330000000000001E-2</v>
      </c>
      <c r="O172" s="349">
        <v>24.445870868724285</v>
      </c>
      <c r="P172" s="358">
        <v>38.234729969232603</v>
      </c>
      <c r="Q172" s="361">
        <v>27.226436031745255</v>
      </c>
    </row>
    <row r="173" spans="1:17" x14ac:dyDescent="0.2">
      <c r="A173" s="3">
        <v>170</v>
      </c>
      <c r="B173" s="304">
        <v>65</v>
      </c>
      <c r="C173" s="304">
        <v>0</v>
      </c>
      <c r="D173" s="304">
        <v>3.5</v>
      </c>
      <c r="E173" s="304">
        <v>1.5</v>
      </c>
      <c r="F173" s="304">
        <v>0.75</v>
      </c>
      <c r="G173" s="304">
        <v>15</v>
      </c>
      <c r="H173" s="304">
        <v>0.75</v>
      </c>
      <c r="I173" s="304">
        <v>1.5</v>
      </c>
      <c r="J173" s="304">
        <v>0.9</v>
      </c>
      <c r="K173" s="304">
        <v>40</v>
      </c>
      <c r="L173" s="304">
        <v>0.15</v>
      </c>
      <c r="M173" s="304">
        <v>0.7</v>
      </c>
      <c r="N173" s="338">
        <v>0.15</v>
      </c>
      <c r="O173" s="349">
        <v>-10.230264129854513</v>
      </c>
      <c r="P173" s="358">
        <v>-0.20598286701457494</v>
      </c>
      <c r="Q173" s="361">
        <v>-7.165024097991104</v>
      </c>
    </row>
    <row r="174" spans="1:17" x14ac:dyDescent="0.2">
      <c r="A174" s="3">
        <v>171</v>
      </c>
      <c r="B174" s="304">
        <v>95</v>
      </c>
      <c r="C174" s="304">
        <v>0.01</v>
      </c>
      <c r="D174" s="304">
        <v>1.5</v>
      </c>
      <c r="E174" s="304">
        <v>4.5</v>
      </c>
      <c r="F174" s="304">
        <v>2.25</v>
      </c>
      <c r="G174" s="304">
        <v>10</v>
      </c>
      <c r="H174" s="304">
        <v>0.75</v>
      </c>
      <c r="I174" s="304">
        <v>1.5</v>
      </c>
      <c r="J174" s="304">
        <v>0.9</v>
      </c>
      <c r="K174" s="304">
        <v>80</v>
      </c>
      <c r="L174" s="304">
        <v>0.15</v>
      </c>
      <c r="M174" s="304">
        <v>0.9</v>
      </c>
      <c r="N174" s="338">
        <v>8.3330000000000001E-2</v>
      </c>
      <c r="O174" s="349">
        <v>-29.618736251968954</v>
      </c>
      <c r="P174" s="358">
        <v>-11.902824335090699</v>
      </c>
      <c r="Q174" s="361">
        <v>-21.360852811732062</v>
      </c>
    </row>
    <row r="175" spans="1:17" x14ac:dyDescent="0.2">
      <c r="A175" s="3">
        <v>172</v>
      </c>
      <c r="B175" s="304">
        <v>65</v>
      </c>
      <c r="C175" s="304">
        <v>-0.01</v>
      </c>
      <c r="D175" s="304">
        <v>3.5</v>
      </c>
      <c r="E175" s="304">
        <v>3.5</v>
      </c>
      <c r="F175" s="304">
        <v>1.5</v>
      </c>
      <c r="G175" s="304">
        <v>15</v>
      </c>
      <c r="H175" s="304">
        <v>0.75</v>
      </c>
      <c r="I175" s="304">
        <v>1.5</v>
      </c>
      <c r="J175" s="304">
        <v>0.6</v>
      </c>
      <c r="K175" s="304">
        <v>80</v>
      </c>
      <c r="L175" s="304">
        <v>7.0000000000000007E-2</v>
      </c>
      <c r="M175" s="304">
        <v>0.7</v>
      </c>
      <c r="N175" s="338">
        <v>8.3330000000000001E-2</v>
      </c>
      <c r="O175" s="349">
        <v>-42.555717801324235</v>
      </c>
      <c r="P175" s="358">
        <v>-24.442196669210851</v>
      </c>
      <c r="Q175" s="361">
        <v>-41.274048001984674</v>
      </c>
    </row>
    <row r="176" spans="1:17" x14ac:dyDescent="0.2">
      <c r="A176" s="3">
        <v>173</v>
      </c>
      <c r="B176" s="304">
        <v>75</v>
      </c>
      <c r="C176" s="304">
        <v>-0.01</v>
      </c>
      <c r="D176" s="304">
        <v>1.5</v>
      </c>
      <c r="E176" s="304">
        <v>4.5</v>
      </c>
      <c r="F176" s="304">
        <v>0.75</v>
      </c>
      <c r="G176" s="304">
        <v>20</v>
      </c>
      <c r="H176" s="304">
        <v>0.25</v>
      </c>
      <c r="I176" s="304">
        <v>1.5</v>
      </c>
      <c r="J176" s="304">
        <v>0.3</v>
      </c>
      <c r="K176" s="304">
        <v>80</v>
      </c>
      <c r="L176" s="304">
        <v>7.0000000000000007E-2</v>
      </c>
      <c r="M176" s="304">
        <v>0.7</v>
      </c>
      <c r="N176" s="338">
        <v>0.05</v>
      </c>
      <c r="O176" s="349">
        <v>-64.518554010238844</v>
      </c>
      <c r="P176" s="358">
        <v>-39.212416428205039</v>
      </c>
      <c r="Q176" s="361">
        <v>-62.736526177858607</v>
      </c>
    </row>
    <row r="177" spans="1:17" x14ac:dyDescent="0.2">
      <c r="A177" s="3">
        <v>174</v>
      </c>
      <c r="B177" s="304">
        <v>95</v>
      </c>
      <c r="C177" s="304">
        <v>0.01</v>
      </c>
      <c r="D177" s="304">
        <v>3.5</v>
      </c>
      <c r="E177" s="304">
        <v>4.5</v>
      </c>
      <c r="F177" s="304">
        <v>0.75</v>
      </c>
      <c r="G177" s="304">
        <v>20</v>
      </c>
      <c r="H177" s="304">
        <v>0.25</v>
      </c>
      <c r="I177" s="304">
        <v>1.5</v>
      </c>
      <c r="J177" s="304">
        <v>0.9</v>
      </c>
      <c r="K177" s="304">
        <v>80</v>
      </c>
      <c r="L177" s="304">
        <v>0.11</v>
      </c>
      <c r="M177" s="304">
        <v>0.7</v>
      </c>
      <c r="N177" s="338">
        <v>0.05</v>
      </c>
      <c r="O177" s="349">
        <v>-52.745169159696488</v>
      </c>
      <c r="P177" s="358">
        <v>-27.439031577662689</v>
      </c>
      <c r="Q177" s="361">
        <v>-47.137327607791114</v>
      </c>
    </row>
    <row r="178" spans="1:17" x14ac:dyDescent="0.2">
      <c r="A178" s="3">
        <v>175</v>
      </c>
      <c r="B178" s="304">
        <v>65</v>
      </c>
      <c r="C178" s="304">
        <v>-0.01</v>
      </c>
      <c r="D178" s="304">
        <v>3.5</v>
      </c>
      <c r="E178" s="304">
        <v>1.5</v>
      </c>
      <c r="F178" s="304">
        <v>2.25</v>
      </c>
      <c r="G178" s="304">
        <v>10</v>
      </c>
      <c r="H178" s="304">
        <v>0.75</v>
      </c>
      <c r="I178" s="304">
        <v>1</v>
      </c>
      <c r="J178" s="304">
        <v>0.3</v>
      </c>
      <c r="K178" s="304">
        <v>40</v>
      </c>
      <c r="L178" s="304">
        <v>7.0000000000000007E-2</v>
      </c>
      <c r="M178" s="304">
        <v>0.9</v>
      </c>
      <c r="N178" s="338">
        <v>0.05</v>
      </c>
      <c r="O178" s="349">
        <v>-11.128623021255702</v>
      </c>
      <c r="P178" s="358">
        <v>11.327390755699794</v>
      </c>
      <c r="Q178" s="361">
        <v>-9.2393576629844869</v>
      </c>
    </row>
    <row r="179" spans="1:17" x14ac:dyDescent="0.2">
      <c r="A179" s="3">
        <v>176</v>
      </c>
      <c r="B179" s="304">
        <v>95</v>
      </c>
      <c r="C179" s="304">
        <v>-0.01</v>
      </c>
      <c r="D179" s="304">
        <v>1.5</v>
      </c>
      <c r="E179" s="304">
        <v>4.5</v>
      </c>
      <c r="F179" s="304">
        <v>2.25</v>
      </c>
      <c r="G179" s="304">
        <v>10</v>
      </c>
      <c r="H179" s="304">
        <v>0.25</v>
      </c>
      <c r="I179" s="304">
        <v>1.5</v>
      </c>
      <c r="J179" s="304">
        <v>0.3</v>
      </c>
      <c r="K179" s="304">
        <v>80</v>
      </c>
      <c r="L179" s="304">
        <v>0.11</v>
      </c>
      <c r="M179" s="304">
        <v>1.3</v>
      </c>
      <c r="N179" s="338">
        <v>0.11666</v>
      </c>
      <c r="O179" s="349">
        <v>-2.9364739431003937</v>
      </c>
      <c r="P179" s="358">
        <v>8.9219285062344316</v>
      </c>
      <c r="Q179" s="361">
        <v>2.0188797652797255</v>
      </c>
    </row>
    <row r="180" spans="1:17" x14ac:dyDescent="0.2">
      <c r="A180" s="3">
        <v>177</v>
      </c>
      <c r="B180" s="304">
        <v>95</v>
      </c>
      <c r="C180" s="304">
        <v>-0.01</v>
      </c>
      <c r="D180" s="304">
        <v>3.5</v>
      </c>
      <c r="E180" s="304">
        <v>4.5</v>
      </c>
      <c r="F180" s="304">
        <v>0.75</v>
      </c>
      <c r="G180" s="304">
        <v>10</v>
      </c>
      <c r="H180" s="304">
        <v>0.25</v>
      </c>
      <c r="I180" s="304">
        <v>0.5</v>
      </c>
      <c r="J180" s="304">
        <v>0.9</v>
      </c>
      <c r="K180" s="304">
        <v>40</v>
      </c>
      <c r="L180" s="304">
        <v>0.15</v>
      </c>
      <c r="M180" s="304">
        <v>0.7</v>
      </c>
      <c r="N180" s="338">
        <v>0.11666</v>
      </c>
      <c r="O180" s="349">
        <v>-24.555266640333244</v>
      </c>
      <c r="P180" s="358">
        <v>-11.12740069497692</v>
      </c>
      <c r="Q180" s="361">
        <v>-19.565740097088863</v>
      </c>
    </row>
    <row r="181" spans="1:17" x14ac:dyDescent="0.2">
      <c r="A181" s="3">
        <v>178</v>
      </c>
      <c r="B181" s="304">
        <v>75</v>
      </c>
      <c r="C181" s="304">
        <v>0</v>
      </c>
      <c r="D181" s="304">
        <v>3.5</v>
      </c>
      <c r="E181" s="304">
        <v>4.5</v>
      </c>
      <c r="F181" s="304">
        <v>1.5</v>
      </c>
      <c r="G181" s="304">
        <v>10</v>
      </c>
      <c r="H181" s="304">
        <v>0.75</v>
      </c>
      <c r="I181" s="304">
        <v>0.5</v>
      </c>
      <c r="J181" s="304">
        <v>0.3</v>
      </c>
      <c r="K181" s="304">
        <v>80</v>
      </c>
      <c r="L181" s="304">
        <v>7.0000000000000007E-2</v>
      </c>
      <c r="M181" s="304">
        <v>0.9</v>
      </c>
      <c r="N181" s="338">
        <v>0.15</v>
      </c>
      <c r="O181" s="349">
        <v>-14.692229647674543</v>
      </c>
      <c r="P181" s="358">
        <v>-4.5095672239694471</v>
      </c>
      <c r="Q181" s="361">
        <v>-13.339813741104102</v>
      </c>
    </row>
    <row r="182" spans="1:17" x14ac:dyDescent="0.2">
      <c r="A182" s="3">
        <v>179</v>
      </c>
      <c r="B182" s="304">
        <v>75</v>
      </c>
      <c r="C182" s="304">
        <v>0.01</v>
      </c>
      <c r="D182" s="304">
        <v>3.5</v>
      </c>
      <c r="E182" s="304">
        <v>4.5</v>
      </c>
      <c r="F182" s="304">
        <v>1.5</v>
      </c>
      <c r="G182" s="304">
        <v>15</v>
      </c>
      <c r="H182" s="304">
        <v>0.75</v>
      </c>
      <c r="I182" s="304">
        <v>1</v>
      </c>
      <c r="J182" s="304">
        <v>0.6</v>
      </c>
      <c r="K182" s="304">
        <v>60</v>
      </c>
      <c r="L182" s="304">
        <v>0.15</v>
      </c>
      <c r="M182" s="304">
        <v>0.7</v>
      </c>
      <c r="N182" s="338">
        <v>0.15</v>
      </c>
      <c r="O182" s="349">
        <v>-28.006317516852004</v>
      </c>
      <c r="P182" s="358">
        <v>-17.468142609167458</v>
      </c>
      <c r="Q182" s="361">
        <v>-24.18194655215985</v>
      </c>
    </row>
    <row r="183" spans="1:17" x14ac:dyDescent="0.2">
      <c r="A183" s="3">
        <v>180</v>
      </c>
      <c r="B183" s="304">
        <v>65</v>
      </c>
      <c r="C183" s="304">
        <v>-0.01</v>
      </c>
      <c r="D183" s="304">
        <v>1.5</v>
      </c>
      <c r="E183" s="304">
        <v>4.5</v>
      </c>
      <c r="F183" s="304">
        <v>0.75</v>
      </c>
      <c r="G183" s="304">
        <v>15</v>
      </c>
      <c r="H183" s="304">
        <v>0.25</v>
      </c>
      <c r="I183" s="304">
        <v>0.5</v>
      </c>
      <c r="J183" s="304">
        <v>0.3</v>
      </c>
      <c r="K183" s="304">
        <v>40</v>
      </c>
      <c r="L183" s="304">
        <v>0.15</v>
      </c>
      <c r="M183" s="304">
        <v>1.3</v>
      </c>
      <c r="N183" s="338">
        <v>0.05</v>
      </c>
      <c r="O183" s="349">
        <v>-38.575614692950971</v>
      </c>
      <c r="P183" s="358">
        <v>-13.753521462765621</v>
      </c>
      <c r="Q183" s="361">
        <v>-29.487279554222734</v>
      </c>
    </row>
    <row r="184" spans="1:17" x14ac:dyDescent="0.2">
      <c r="A184" s="3">
        <v>181</v>
      </c>
      <c r="B184" s="304">
        <v>95</v>
      </c>
      <c r="C184" s="304">
        <v>0.01</v>
      </c>
      <c r="D184" s="304">
        <v>2.5</v>
      </c>
      <c r="E184" s="304">
        <v>2.5</v>
      </c>
      <c r="F184" s="304">
        <v>1.5</v>
      </c>
      <c r="G184" s="304">
        <v>15</v>
      </c>
      <c r="H184" s="304">
        <v>0.25</v>
      </c>
      <c r="I184" s="304">
        <v>1.5</v>
      </c>
      <c r="J184" s="304">
        <v>0.3</v>
      </c>
      <c r="K184" s="304">
        <v>40</v>
      </c>
      <c r="L184" s="304">
        <v>0.15</v>
      </c>
      <c r="M184" s="304">
        <v>1.1000000000000001</v>
      </c>
      <c r="N184" s="338">
        <v>0.05</v>
      </c>
      <c r="O184" s="349">
        <v>7.759568779729646</v>
      </c>
      <c r="P184" s="358">
        <v>28.063968269760966</v>
      </c>
      <c r="Q184" s="361">
        <v>18.503870969952285</v>
      </c>
    </row>
    <row r="185" spans="1:17" x14ac:dyDescent="0.2">
      <c r="A185" s="3">
        <v>182</v>
      </c>
      <c r="B185" s="304">
        <v>65</v>
      </c>
      <c r="C185" s="304">
        <v>0</v>
      </c>
      <c r="D185" s="304">
        <v>1.5</v>
      </c>
      <c r="E185" s="304">
        <v>4.5</v>
      </c>
      <c r="F185" s="304">
        <v>0.75</v>
      </c>
      <c r="G185" s="304">
        <v>20</v>
      </c>
      <c r="H185" s="304">
        <v>0.75</v>
      </c>
      <c r="I185" s="304">
        <v>1.5</v>
      </c>
      <c r="J185" s="304">
        <v>0.6</v>
      </c>
      <c r="K185" s="304">
        <v>60</v>
      </c>
      <c r="L185" s="304">
        <v>7.0000000000000007E-2</v>
      </c>
      <c r="M185" s="304">
        <v>0.9</v>
      </c>
      <c r="N185" s="338">
        <v>0.15</v>
      </c>
      <c r="O185" s="349">
        <v>-27.523014609833837</v>
      </c>
      <c r="P185" s="358">
        <v>-16.984839702149301</v>
      </c>
      <c r="Q185" s="361">
        <v>-26.350774438146448</v>
      </c>
    </row>
    <row r="186" spans="1:17" x14ac:dyDescent="0.2">
      <c r="A186" s="3">
        <v>183</v>
      </c>
      <c r="B186" s="304">
        <v>85</v>
      </c>
      <c r="C186" s="304">
        <v>0</v>
      </c>
      <c r="D186" s="304">
        <v>1.5</v>
      </c>
      <c r="E186" s="304">
        <v>4.5</v>
      </c>
      <c r="F186" s="304">
        <v>0.75</v>
      </c>
      <c r="G186" s="304">
        <v>20</v>
      </c>
      <c r="H186" s="304">
        <v>0.25</v>
      </c>
      <c r="I186" s="304">
        <v>1.5</v>
      </c>
      <c r="J186" s="304">
        <v>0.9</v>
      </c>
      <c r="K186" s="304">
        <v>40</v>
      </c>
      <c r="L186" s="304">
        <v>0.15</v>
      </c>
      <c r="M186" s="304">
        <v>1.1000000000000001</v>
      </c>
      <c r="N186" s="338">
        <v>0.15</v>
      </c>
      <c r="O186" s="349">
        <v>-15.801148251472929</v>
      </c>
      <c r="P186" s="358">
        <v>-5.6166877810893325</v>
      </c>
      <c r="Q186" s="361">
        <v>-9.8285088047765168</v>
      </c>
    </row>
    <row r="187" spans="1:17" x14ac:dyDescent="0.2">
      <c r="A187" s="3">
        <v>184</v>
      </c>
      <c r="B187" s="304">
        <v>65</v>
      </c>
      <c r="C187" s="304">
        <v>-0.01</v>
      </c>
      <c r="D187" s="304">
        <v>1.5</v>
      </c>
      <c r="E187" s="304">
        <v>1.5</v>
      </c>
      <c r="F187" s="304">
        <v>2.25</v>
      </c>
      <c r="G187" s="304">
        <v>20</v>
      </c>
      <c r="H187" s="304">
        <v>0.25</v>
      </c>
      <c r="I187" s="304">
        <v>1.5</v>
      </c>
      <c r="J187" s="304">
        <v>0.3</v>
      </c>
      <c r="K187" s="304">
        <v>60</v>
      </c>
      <c r="L187" s="304">
        <v>0.11</v>
      </c>
      <c r="M187" s="304">
        <v>0.9</v>
      </c>
      <c r="N187" s="338">
        <v>0.05</v>
      </c>
      <c r="O187" s="349">
        <v>-26.287727485029642</v>
      </c>
      <c r="P187" s="358">
        <v>-1.7556643616509444</v>
      </c>
      <c r="Q187" s="361">
        <v>-22.1080028570073</v>
      </c>
    </row>
    <row r="188" spans="1:17" x14ac:dyDescent="0.2">
      <c r="A188" s="3">
        <v>185</v>
      </c>
      <c r="B188" s="304">
        <v>95</v>
      </c>
      <c r="C188" s="304">
        <v>0.01</v>
      </c>
      <c r="D188" s="304">
        <v>1.5</v>
      </c>
      <c r="E188" s="304">
        <v>1.5</v>
      </c>
      <c r="F188" s="304">
        <v>1.5</v>
      </c>
      <c r="G188" s="304">
        <v>20</v>
      </c>
      <c r="H188" s="304">
        <v>0.25</v>
      </c>
      <c r="I188" s="304">
        <v>1.5</v>
      </c>
      <c r="J188" s="304">
        <v>0.6</v>
      </c>
      <c r="K188" s="304">
        <v>40</v>
      </c>
      <c r="L188" s="304">
        <v>7.0000000000000007E-2</v>
      </c>
      <c r="M188" s="304">
        <v>0.7</v>
      </c>
      <c r="N188" s="338">
        <v>0.05</v>
      </c>
      <c r="O188" s="349">
        <v>-4.877695810167535</v>
      </c>
      <c r="P188" s="358">
        <v>16.396008796772925</v>
      </c>
      <c r="Q188" s="361">
        <v>-2.5617181454966107</v>
      </c>
    </row>
    <row r="189" spans="1:17" x14ac:dyDescent="0.2">
      <c r="A189" s="3">
        <v>186</v>
      </c>
      <c r="B189" s="304">
        <v>95</v>
      </c>
      <c r="C189" s="304">
        <v>0.01</v>
      </c>
      <c r="D189" s="304">
        <v>2.5</v>
      </c>
      <c r="E189" s="304">
        <v>4.5</v>
      </c>
      <c r="F189" s="304">
        <v>0.75</v>
      </c>
      <c r="G189" s="304">
        <v>10</v>
      </c>
      <c r="H189" s="304">
        <v>0.75</v>
      </c>
      <c r="I189" s="304">
        <v>0.5</v>
      </c>
      <c r="J189" s="304">
        <v>0.3</v>
      </c>
      <c r="K189" s="304">
        <v>40</v>
      </c>
      <c r="L189" s="304">
        <v>0.15</v>
      </c>
      <c r="M189" s="304">
        <v>1.3</v>
      </c>
      <c r="N189" s="338">
        <v>0.11666</v>
      </c>
      <c r="O189" s="349">
        <v>10.1853873680472</v>
      </c>
      <c r="P189" s="358">
        <v>21.030381865421937</v>
      </c>
      <c r="Q189" s="361">
        <v>18.354763822393583</v>
      </c>
    </row>
    <row r="190" spans="1:17" x14ac:dyDescent="0.2">
      <c r="A190" s="3">
        <v>187</v>
      </c>
      <c r="B190" s="304">
        <v>65</v>
      </c>
      <c r="C190" s="304">
        <v>0.01</v>
      </c>
      <c r="D190" s="304">
        <v>2.5</v>
      </c>
      <c r="E190" s="304">
        <v>2.5</v>
      </c>
      <c r="F190" s="304">
        <v>1.5</v>
      </c>
      <c r="G190" s="304">
        <v>20</v>
      </c>
      <c r="H190" s="304">
        <v>0.5</v>
      </c>
      <c r="I190" s="304">
        <v>1.5</v>
      </c>
      <c r="J190" s="304">
        <v>0.3</v>
      </c>
      <c r="K190" s="304">
        <v>40</v>
      </c>
      <c r="L190" s="304">
        <v>7.0000000000000007E-2</v>
      </c>
      <c r="M190" s="304">
        <v>1.3</v>
      </c>
      <c r="N190" s="338">
        <v>0.15</v>
      </c>
      <c r="O190" s="349">
        <v>-0.82832387600061541</v>
      </c>
      <c r="P190" s="358">
        <v>7.9178970541138218</v>
      </c>
      <c r="Q190" s="361">
        <v>0.70328307572206339</v>
      </c>
    </row>
    <row r="191" spans="1:17" x14ac:dyDescent="0.2">
      <c r="A191" s="3">
        <v>188</v>
      </c>
      <c r="B191" s="304">
        <v>95</v>
      </c>
      <c r="C191" s="304">
        <v>-0.01</v>
      </c>
      <c r="D191" s="304">
        <v>2.5</v>
      </c>
      <c r="E191" s="304">
        <v>1.5</v>
      </c>
      <c r="F191" s="304">
        <v>0.75</v>
      </c>
      <c r="G191" s="304">
        <v>10</v>
      </c>
      <c r="H191" s="304">
        <v>0.75</v>
      </c>
      <c r="I191" s="304">
        <v>0.5</v>
      </c>
      <c r="J191" s="304">
        <v>0.6</v>
      </c>
      <c r="K191" s="304">
        <v>80</v>
      </c>
      <c r="L191" s="304">
        <v>0.11</v>
      </c>
      <c r="M191" s="304">
        <v>1.3</v>
      </c>
      <c r="N191" s="338">
        <v>0.15</v>
      </c>
      <c r="O191" s="349">
        <v>23.696461761065482</v>
      </c>
      <c r="P191" s="358">
        <v>31.650806449081426</v>
      </c>
      <c r="Q191" s="361">
        <v>27.635411072719702</v>
      </c>
    </row>
    <row r="192" spans="1:17" x14ac:dyDescent="0.2">
      <c r="A192" s="3">
        <v>189</v>
      </c>
      <c r="B192" s="304">
        <v>95</v>
      </c>
      <c r="C192" s="304">
        <v>0</v>
      </c>
      <c r="D192" s="304">
        <v>1.5</v>
      </c>
      <c r="E192" s="304">
        <v>2.5</v>
      </c>
      <c r="F192" s="304">
        <v>0.75</v>
      </c>
      <c r="G192" s="304">
        <v>20</v>
      </c>
      <c r="H192" s="304">
        <v>0.75</v>
      </c>
      <c r="I192" s="304">
        <v>0.5</v>
      </c>
      <c r="J192" s="304">
        <v>0.6</v>
      </c>
      <c r="K192" s="304">
        <v>80</v>
      </c>
      <c r="L192" s="304">
        <v>0.11</v>
      </c>
      <c r="M192" s="304">
        <v>0.7</v>
      </c>
      <c r="N192" s="338">
        <v>0.15</v>
      </c>
      <c r="O192" s="349">
        <v>-4.9272186918862717</v>
      </c>
      <c r="P192" s="358">
        <v>4.359938472700966</v>
      </c>
      <c r="Q192" s="361">
        <v>-2.3249784168125398</v>
      </c>
    </row>
    <row r="193" spans="1:17" x14ac:dyDescent="0.2">
      <c r="A193" s="3">
        <v>190</v>
      </c>
      <c r="B193" s="304">
        <v>65</v>
      </c>
      <c r="C193" s="304">
        <v>0</v>
      </c>
      <c r="D193" s="304">
        <v>1.5</v>
      </c>
      <c r="E193" s="304">
        <v>2.5</v>
      </c>
      <c r="F193" s="304">
        <v>0.75</v>
      </c>
      <c r="G193" s="304">
        <v>20</v>
      </c>
      <c r="H193" s="304">
        <v>0.75</v>
      </c>
      <c r="I193" s="304">
        <v>0.5</v>
      </c>
      <c r="J193" s="304">
        <v>0.9</v>
      </c>
      <c r="K193" s="304">
        <v>80</v>
      </c>
      <c r="L193" s="304">
        <v>7.0000000000000007E-2</v>
      </c>
      <c r="M193" s="304">
        <v>0.9</v>
      </c>
      <c r="N193" s="338">
        <v>0.05</v>
      </c>
      <c r="O193" s="349">
        <v>-29.742155262971249</v>
      </c>
      <c r="P193" s="358">
        <v>-5.0498526405589725</v>
      </c>
      <c r="Q193" s="361">
        <v>-27.615409967110086</v>
      </c>
    </row>
    <row r="194" spans="1:17" x14ac:dyDescent="0.2">
      <c r="A194" s="3">
        <v>191</v>
      </c>
      <c r="B194" s="304">
        <v>75</v>
      </c>
      <c r="C194" s="304">
        <v>0</v>
      </c>
      <c r="D194" s="304">
        <v>3.5</v>
      </c>
      <c r="E194" s="304">
        <v>1.5</v>
      </c>
      <c r="F194" s="304">
        <v>2.25</v>
      </c>
      <c r="G194" s="304">
        <v>10</v>
      </c>
      <c r="H194" s="304">
        <v>0.25</v>
      </c>
      <c r="I194" s="304">
        <v>1</v>
      </c>
      <c r="J194" s="304">
        <v>0.9</v>
      </c>
      <c r="K194" s="304">
        <v>40</v>
      </c>
      <c r="L194" s="304">
        <v>0.11</v>
      </c>
      <c r="M194" s="304">
        <v>1.3</v>
      </c>
      <c r="N194" s="338">
        <v>0.05</v>
      </c>
      <c r="O194" s="349">
        <v>9.5736069538225408</v>
      </c>
      <c r="P194" s="358">
        <v>30.121347972855741</v>
      </c>
      <c r="Q194" s="361">
        <v>15.792850352236952</v>
      </c>
    </row>
    <row r="195" spans="1:17" x14ac:dyDescent="0.2">
      <c r="A195" s="3">
        <v>192</v>
      </c>
      <c r="B195" s="304">
        <v>65</v>
      </c>
      <c r="C195" s="304">
        <v>-0.01</v>
      </c>
      <c r="D195" s="304">
        <v>3.5</v>
      </c>
      <c r="E195" s="304">
        <v>4.5</v>
      </c>
      <c r="F195" s="304">
        <v>2.25</v>
      </c>
      <c r="G195" s="304">
        <v>10</v>
      </c>
      <c r="H195" s="304">
        <v>0.25</v>
      </c>
      <c r="I195" s="304">
        <v>0.5</v>
      </c>
      <c r="J195" s="304">
        <v>0.3</v>
      </c>
      <c r="K195" s="304">
        <v>60</v>
      </c>
      <c r="L195" s="304">
        <v>7.0000000000000007E-2</v>
      </c>
      <c r="M195" s="304">
        <v>0.7</v>
      </c>
      <c r="N195" s="338">
        <v>0.05</v>
      </c>
      <c r="O195" s="349">
        <v>-64.123560254105968</v>
      </c>
      <c r="P195" s="358">
        <v>-38.817422672072169</v>
      </c>
      <c r="Q195" s="361">
        <v>-62.50435292352357</v>
      </c>
    </row>
    <row r="196" spans="1:17" x14ac:dyDescent="0.2">
      <c r="A196" s="3">
        <v>193</v>
      </c>
      <c r="B196" s="304">
        <v>95</v>
      </c>
      <c r="C196" s="304">
        <v>0.01</v>
      </c>
      <c r="D196" s="304">
        <v>1.5</v>
      </c>
      <c r="E196" s="304">
        <v>1.5</v>
      </c>
      <c r="F196" s="304">
        <v>0.75</v>
      </c>
      <c r="G196" s="304">
        <v>20</v>
      </c>
      <c r="H196" s="304">
        <v>0.75</v>
      </c>
      <c r="I196" s="304">
        <v>0.5</v>
      </c>
      <c r="J196" s="304">
        <v>0.3</v>
      </c>
      <c r="K196" s="304">
        <v>80</v>
      </c>
      <c r="L196" s="304">
        <v>0.15</v>
      </c>
      <c r="M196" s="304">
        <v>0.9</v>
      </c>
      <c r="N196" s="338">
        <v>0.05</v>
      </c>
      <c r="O196" s="349">
        <v>11.939197519385823</v>
      </c>
      <c r="P196" s="358">
        <v>31.272608723705577</v>
      </c>
      <c r="Q196" s="361">
        <v>20.382780125982933</v>
      </c>
    </row>
    <row r="197" spans="1:17" x14ac:dyDescent="0.2">
      <c r="A197" s="3">
        <v>194</v>
      </c>
      <c r="B197" s="304">
        <v>65</v>
      </c>
      <c r="C197" s="304">
        <v>0.01</v>
      </c>
      <c r="D197" s="304">
        <v>1.5</v>
      </c>
      <c r="E197" s="304">
        <v>4.5</v>
      </c>
      <c r="F197" s="304">
        <v>2.25</v>
      </c>
      <c r="G197" s="304">
        <v>20</v>
      </c>
      <c r="H197" s="304">
        <v>0.75</v>
      </c>
      <c r="I197" s="304">
        <v>1.5</v>
      </c>
      <c r="J197" s="304">
        <v>0.9</v>
      </c>
      <c r="K197" s="304">
        <v>40</v>
      </c>
      <c r="L197" s="304">
        <v>7.0000000000000007E-2</v>
      </c>
      <c r="M197" s="304">
        <v>0.7</v>
      </c>
      <c r="N197" s="338">
        <v>0.15</v>
      </c>
      <c r="O197" s="349">
        <v>-36.773703466172201</v>
      </c>
      <c r="P197" s="358">
        <v>-26.235528558487662</v>
      </c>
      <c r="Q197" s="361">
        <v>-35.811503955334715</v>
      </c>
    </row>
    <row r="198" spans="1:17" x14ac:dyDescent="0.2">
      <c r="A198" s="3">
        <v>195</v>
      </c>
      <c r="B198" s="304">
        <v>95</v>
      </c>
      <c r="C198" s="304">
        <v>-0.01</v>
      </c>
      <c r="D198" s="304">
        <v>3.5</v>
      </c>
      <c r="E198" s="304">
        <v>4.5</v>
      </c>
      <c r="F198" s="304">
        <v>2.25</v>
      </c>
      <c r="G198" s="304">
        <v>15</v>
      </c>
      <c r="H198" s="304">
        <v>0.75</v>
      </c>
      <c r="I198" s="304">
        <v>0.5</v>
      </c>
      <c r="J198" s="304">
        <v>0.9</v>
      </c>
      <c r="K198" s="304">
        <v>60</v>
      </c>
      <c r="L198" s="304">
        <v>0.15</v>
      </c>
      <c r="M198" s="304">
        <v>1.3</v>
      </c>
      <c r="N198" s="338">
        <v>0.15</v>
      </c>
      <c r="O198" s="349">
        <v>-4.4796275784818897</v>
      </c>
      <c r="P198" s="358">
        <v>4.8299252128542296</v>
      </c>
      <c r="Q198" s="361">
        <v>2.2343856447268662</v>
      </c>
    </row>
    <row r="199" spans="1:17" x14ac:dyDescent="0.2">
      <c r="A199" s="3">
        <v>196</v>
      </c>
      <c r="B199" s="304">
        <v>65</v>
      </c>
      <c r="C199" s="304">
        <v>0.01</v>
      </c>
      <c r="D199" s="304">
        <v>1.5</v>
      </c>
      <c r="E199" s="304">
        <v>1.5</v>
      </c>
      <c r="F199" s="304">
        <v>0.75</v>
      </c>
      <c r="G199" s="304">
        <v>20</v>
      </c>
      <c r="H199" s="304">
        <v>0.5</v>
      </c>
      <c r="I199" s="304">
        <v>1.5</v>
      </c>
      <c r="J199" s="304">
        <v>0.3</v>
      </c>
      <c r="K199" s="304">
        <v>40</v>
      </c>
      <c r="L199" s="304">
        <v>0.15</v>
      </c>
      <c r="M199" s="304">
        <v>0.7</v>
      </c>
      <c r="N199" s="338">
        <v>0.15</v>
      </c>
      <c r="O199" s="349">
        <v>-8.5516480836508055</v>
      </c>
      <c r="P199" s="358">
        <v>1.1309211616152888</v>
      </c>
      <c r="Q199" s="361">
        <v>-5.3518690847368671</v>
      </c>
    </row>
    <row r="200" spans="1:17" x14ac:dyDescent="0.2">
      <c r="A200" s="3">
        <v>197</v>
      </c>
      <c r="B200" s="304">
        <v>75</v>
      </c>
      <c r="C200" s="304">
        <v>0</v>
      </c>
      <c r="D200" s="304">
        <v>3.5</v>
      </c>
      <c r="E200" s="304">
        <v>1.5</v>
      </c>
      <c r="F200" s="304">
        <v>0.75</v>
      </c>
      <c r="G200" s="304">
        <v>10</v>
      </c>
      <c r="H200" s="304">
        <v>0.5</v>
      </c>
      <c r="I200" s="304">
        <v>1</v>
      </c>
      <c r="J200" s="304">
        <v>0.3</v>
      </c>
      <c r="K200" s="304">
        <v>80</v>
      </c>
      <c r="L200" s="304">
        <v>7.0000000000000007E-2</v>
      </c>
      <c r="M200" s="304">
        <v>1.3</v>
      </c>
      <c r="N200" s="338">
        <v>0.11666</v>
      </c>
      <c r="O200" s="349">
        <v>19.581702057964943</v>
      </c>
      <c r="P200" s="358">
        <v>29.80873554965547</v>
      </c>
      <c r="Q200" s="361">
        <v>21.368330930060509</v>
      </c>
    </row>
    <row r="201" spans="1:17" x14ac:dyDescent="0.2">
      <c r="A201" s="3">
        <v>198</v>
      </c>
      <c r="B201" s="304">
        <v>95</v>
      </c>
      <c r="C201" s="304">
        <v>-0.01</v>
      </c>
      <c r="D201" s="304">
        <v>3.5</v>
      </c>
      <c r="E201" s="304">
        <v>2.5</v>
      </c>
      <c r="F201" s="304">
        <v>1.5</v>
      </c>
      <c r="G201" s="304">
        <v>10</v>
      </c>
      <c r="H201" s="304">
        <v>0.75</v>
      </c>
      <c r="I201" s="304">
        <v>1.5</v>
      </c>
      <c r="J201" s="304">
        <v>0.3</v>
      </c>
      <c r="K201" s="304">
        <v>80</v>
      </c>
      <c r="L201" s="304">
        <v>0.11</v>
      </c>
      <c r="M201" s="304">
        <v>0.7</v>
      </c>
      <c r="N201" s="338">
        <v>0.15</v>
      </c>
      <c r="O201" s="349">
        <v>-5.8684599923667529</v>
      </c>
      <c r="P201" s="358">
        <v>3.5481100592323744</v>
      </c>
      <c r="Q201" s="361">
        <v>-3.3545131926978562</v>
      </c>
    </row>
    <row r="202" spans="1:17" x14ac:dyDescent="0.2">
      <c r="A202" s="3">
        <v>199</v>
      </c>
      <c r="B202" s="304">
        <v>65</v>
      </c>
      <c r="C202" s="304">
        <v>0</v>
      </c>
      <c r="D202" s="304">
        <v>1.5</v>
      </c>
      <c r="E202" s="304">
        <v>1.5</v>
      </c>
      <c r="F202" s="304">
        <v>2.25</v>
      </c>
      <c r="G202" s="304">
        <v>20</v>
      </c>
      <c r="H202" s="304">
        <v>0.75</v>
      </c>
      <c r="I202" s="304">
        <v>1</v>
      </c>
      <c r="J202" s="304">
        <v>0.9</v>
      </c>
      <c r="K202" s="304">
        <v>80</v>
      </c>
      <c r="L202" s="304">
        <v>0.11</v>
      </c>
      <c r="M202" s="304">
        <v>0.7</v>
      </c>
      <c r="N202" s="338">
        <v>0.15</v>
      </c>
      <c r="O202" s="349">
        <v>-15.609621027734669</v>
      </c>
      <c r="P202" s="358">
        <v>-5.0714461200501262</v>
      </c>
      <c r="Q202" s="361">
        <v>-13.594184658572559</v>
      </c>
    </row>
    <row r="203" spans="1:17" x14ac:dyDescent="0.2">
      <c r="A203" s="3">
        <v>200</v>
      </c>
      <c r="B203" s="304">
        <v>95</v>
      </c>
      <c r="C203" s="304">
        <v>-0.01</v>
      </c>
      <c r="D203" s="304">
        <v>1.5</v>
      </c>
      <c r="E203" s="304">
        <v>4.5</v>
      </c>
      <c r="F203" s="304">
        <v>1.5</v>
      </c>
      <c r="G203" s="304">
        <v>10</v>
      </c>
      <c r="H203" s="304">
        <v>0.75</v>
      </c>
      <c r="I203" s="304">
        <v>1.5</v>
      </c>
      <c r="J203" s="304">
        <v>0.3</v>
      </c>
      <c r="K203" s="304">
        <v>60</v>
      </c>
      <c r="L203" s="304">
        <v>0.15</v>
      </c>
      <c r="M203" s="304">
        <v>1.3</v>
      </c>
      <c r="N203" s="338">
        <v>0.05</v>
      </c>
      <c r="O203" s="349">
        <v>-17.052332090724303</v>
      </c>
      <c r="P203" s="358">
        <v>6.0032876536199709</v>
      </c>
      <c r="Q203" s="361">
        <v>-5.5287866476324705</v>
      </c>
    </row>
    <row r="204" spans="1:17" x14ac:dyDescent="0.2">
      <c r="A204" s="3">
        <v>201</v>
      </c>
      <c r="B204" s="304">
        <v>65</v>
      </c>
      <c r="C204" s="304">
        <v>-0.01</v>
      </c>
      <c r="D204" s="304">
        <v>1.5</v>
      </c>
      <c r="E204" s="304">
        <v>1.5</v>
      </c>
      <c r="F204" s="304">
        <v>2.25</v>
      </c>
      <c r="G204" s="304">
        <v>20</v>
      </c>
      <c r="H204" s="304">
        <v>0.25</v>
      </c>
      <c r="I204" s="304">
        <v>0.5</v>
      </c>
      <c r="J204" s="304">
        <v>0.9</v>
      </c>
      <c r="K204" s="304">
        <v>40</v>
      </c>
      <c r="L204" s="304">
        <v>0.15</v>
      </c>
      <c r="M204" s="304">
        <v>0.9</v>
      </c>
      <c r="N204" s="338">
        <v>0.05</v>
      </c>
      <c r="O204" s="349">
        <v>-28.526602537203569</v>
      </c>
      <c r="P204" s="358">
        <v>-3.7994604759945432</v>
      </c>
      <c r="Q204" s="361">
        <v>-22.171852345914488</v>
      </c>
    </row>
    <row r="205" spans="1:17" x14ac:dyDescent="0.2">
      <c r="A205" s="3">
        <v>202</v>
      </c>
      <c r="B205" s="304">
        <v>75</v>
      </c>
      <c r="C205" s="304">
        <v>0.01</v>
      </c>
      <c r="D205" s="304">
        <v>2.5</v>
      </c>
      <c r="E205" s="304">
        <v>2.5</v>
      </c>
      <c r="F205" s="304">
        <v>2.25</v>
      </c>
      <c r="G205" s="304">
        <v>20</v>
      </c>
      <c r="H205" s="304">
        <v>0.25</v>
      </c>
      <c r="I205" s="304">
        <v>0.5</v>
      </c>
      <c r="J205" s="304">
        <v>0.3</v>
      </c>
      <c r="K205" s="304">
        <v>80</v>
      </c>
      <c r="L205" s="304">
        <v>7.0000000000000007E-2</v>
      </c>
      <c r="M205" s="304">
        <v>1.3</v>
      </c>
      <c r="N205" s="338">
        <v>0.05</v>
      </c>
      <c r="O205" s="349">
        <v>1.67844338394663</v>
      </c>
      <c r="P205" s="358">
        <v>22.493442221261002</v>
      </c>
      <c r="Q205" s="361">
        <v>4.966579082773249</v>
      </c>
    </row>
    <row r="206" spans="1:17" x14ac:dyDescent="0.2">
      <c r="A206" s="3">
        <v>203</v>
      </c>
      <c r="B206" s="304">
        <v>65</v>
      </c>
      <c r="C206" s="304">
        <v>0.01</v>
      </c>
      <c r="D206" s="304">
        <v>2.5</v>
      </c>
      <c r="E206" s="304">
        <v>1.5</v>
      </c>
      <c r="F206" s="304">
        <v>2.25</v>
      </c>
      <c r="G206" s="304">
        <v>10</v>
      </c>
      <c r="H206" s="304">
        <v>0.25</v>
      </c>
      <c r="I206" s="304">
        <v>0.5</v>
      </c>
      <c r="J206" s="304">
        <v>0.9</v>
      </c>
      <c r="K206" s="304">
        <v>60</v>
      </c>
      <c r="L206" s="304">
        <v>0.15</v>
      </c>
      <c r="M206" s="304">
        <v>0.9</v>
      </c>
      <c r="N206" s="338">
        <v>0.11666</v>
      </c>
      <c r="O206" s="349">
        <v>-5.5835265029096952</v>
      </c>
      <c r="P206" s="358">
        <v>6.2461692900754864</v>
      </c>
      <c r="Q206" s="361">
        <v>-1.1955802379344536</v>
      </c>
    </row>
    <row r="207" spans="1:17" x14ac:dyDescent="0.2">
      <c r="A207" s="3">
        <v>204</v>
      </c>
      <c r="B207" s="304">
        <v>65</v>
      </c>
      <c r="C207" s="304">
        <v>0.01</v>
      </c>
      <c r="D207" s="304">
        <v>3.5</v>
      </c>
      <c r="E207" s="304">
        <v>1.5</v>
      </c>
      <c r="F207" s="304">
        <v>1.5</v>
      </c>
      <c r="G207" s="304">
        <v>20</v>
      </c>
      <c r="H207" s="304">
        <v>0.75</v>
      </c>
      <c r="I207" s="304">
        <v>0.5</v>
      </c>
      <c r="J207" s="304">
        <v>0.6</v>
      </c>
      <c r="K207" s="304">
        <v>80</v>
      </c>
      <c r="L207" s="304">
        <v>0.11</v>
      </c>
      <c r="M207" s="304">
        <v>0.7</v>
      </c>
      <c r="N207" s="338">
        <v>0.05</v>
      </c>
      <c r="O207" s="349">
        <v>-21.712968190616913</v>
      </c>
      <c r="P207" s="358">
        <v>2.3449323164687881</v>
      </c>
      <c r="Q207" s="361">
        <v>-17.88946687579379</v>
      </c>
    </row>
    <row r="208" spans="1:17" x14ac:dyDescent="0.2">
      <c r="A208" s="3">
        <v>205</v>
      </c>
      <c r="B208" s="304">
        <v>65</v>
      </c>
      <c r="C208" s="304">
        <v>0</v>
      </c>
      <c r="D208" s="304">
        <v>1.5</v>
      </c>
      <c r="E208" s="304">
        <v>4.5</v>
      </c>
      <c r="F208" s="304">
        <v>2.25</v>
      </c>
      <c r="G208" s="304">
        <v>20</v>
      </c>
      <c r="H208" s="304">
        <v>0.5</v>
      </c>
      <c r="I208" s="304">
        <v>0.5</v>
      </c>
      <c r="J208" s="304">
        <v>0.3</v>
      </c>
      <c r="K208" s="304">
        <v>40</v>
      </c>
      <c r="L208" s="304">
        <v>0.11</v>
      </c>
      <c r="M208" s="304">
        <v>1.3</v>
      </c>
      <c r="N208" s="338">
        <v>0.05</v>
      </c>
      <c r="O208" s="349">
        <v>-47.552740417540527</v>
      </c>
      <c r="P208" s="358">
        <v>-22.270750541158595</v>
      </c>
      <c r="Q208" s="361">
        <v>-40.983729609704049</v>
      </c>
    </row>
    <row r="209" spans="1:17" x14ac:dyDescent="0.2">
      <c r="A209" s="3">
        <v>206</v>
      </c>
      <c r="B209" s="304">
        <v>95</v>
      </c>
      <c r="C209" s="304">
        <v>-0.01</v>
      </c>
      <c r="D209" s="304">
        <v>1.5</v>
      </c>
      <c r="E209" s="304">
        <v>1.5</v>
      </c>
      <c r="F209" s="304">
        <v>2.25</v>
      </c>
      <c r="G209" s="304">
        <v>20</v>
      </c>
      <c r="H209" s="304">
        <v>0.75</v>
      </c>
      <c r="I209" s="304">
        <v>0.5</v>
      </c>
      <c r="J209" s="304">
        <v>0.9</v>
      </c>
      <c r="K209" s="304">
        <v>40</v>
      </c>
      <c r="L209" s="304">
        <v>7.0000000000000007E-2</v>
      </c>
      <c r="M209" s="304">
        <v>1.3</v>
      </c>
      <c r="N209" s="338">
        <v>0.15</v>
      </c>
      <c r="O209" s="349">
        <v>15.704412893161297</v>
      </c>
      <c r="P209" s="358">
        <v>23.898546925011949</v>
      </c>
      <c r="Q209" s="361">
        <v>17.507434366882705</v>
      </c>
    </row>
    <row r="210" spans="1:17" x14ac:dyDescent="0.2">
      <c r="A210" s="3">
        <v>207</v>
      </c>
      <c r="B210" s="304">
        <v>95</v>
      </c>
      <c r="C210" s="304">
        <v>-0.01</v>
      </c>
      <c r="D210" s="304">
        <v>2.5</v>
      </c>
      <c r="E210" s="304">
        <v>1.5</v>
      </c>
      <c r="F210" s="304">
        <v>0.75</v>
      </c>
      <c r="G210" s="304">
        <v>10</v>
      </c>
      <c r="H210" s="304">
        <v>0.25</v>
      </c>
      <c r="I210" s="304">
        <v>0.5</v>
      </c>
      <c r="J210" s="304">
        <v>0.9</v>
      </c>
      <c r="K210" s="304">
        <v>40</v>
      </c>
      <c r="L210" s="304">
        <v>7.0000000000000007E-2</v>
      </c>
      <c r="M210" s="304">
        <v>1.3</v>
      </c>
      <c r="N210" s="338">
        <v>0.15</v>
      </c>
      <c r="O210" s="349">
        <v>25.639125835281082</v>
      </c>
      <c r="P210" s="358">
        <v>33.595968115414429</v>
      </c>
      <c r="Q210" s="361">
        <v>27.417855381073558</v>
      </c>
    </row>
    <row r="211" spans="1:17" x14ac:dyDescent="0.2">
      <c r="A211" s="3">
        <v>208</v>
      </c>
      <c r="B211" s="304">
        <v>95</v>
      </c>
      <c r="C211" s="304">
        <v>0.01</v>
      </c>
      <c r="D211" s="304">
        <v>1.5</v>
      </c>
      <c r="E211" s="304">
        <v>4.5</v>
      </c>
      <c r="F211" s="304">
        <v>2.25</v>
      </c>
      <c r="G211" s="304">
        <v>20</v>
      </c>
      <c r="H211" s="304">
        <v>0.75</v>
      </c>
      <c r="I211" s="304">
        <v>0.5</v>
      </c>
      <c r="J211" s="304">
        <v>0.3</v>
      </c>
      <c r="K211" s="304">
        <v>80</v>
      </c>
      <c r="L211" s="304">
        <v>0.11</v>
      </c>
      <c r="M211" s="304">
        <v>1.3</v>
      </c>
      <c r="N211" s="338">
        <v>8.3330000000000001E-2</v>
      </c>
      <c r="O211" s="349">
        <v>-3.2055343585809415</v>
      </c>
      <c r="P211" s="358">
        <v>12.471905604632459</v>
      </c>
      <c r="Q211" s="361">
        <v>3.5965004158173066</v>
      </c>
    </row>
    <row r="212" spans="1:17" x14ac:dyDescent="0.2">
      <c r="A212" s="3">
        <v>209</v>
      </c>
      <c r="B212" s="304">
        <v>65</v>
      </c>
      <c r="C212" s="304">
        <v>0.01</v>
      </c>
      <c r="D212" s="304">
        <v>2.5</v>
      </c>
      <c r="E212" s="304">
        <v>4.5</v>
      </c>
      <c r="F212" s="304">
        <v>2.25</v>
      </c>
      <c r="G212" s="304">
        <v>10</v>
      </c>
      <c r="H212" s="304">
        <v>0.75</v>
      </c>
      <c r="I212" s="304">
        <v>0.5</v>
      </c>
      <c r="J212" s="304">
        <v>0.9</v>
      </c>
      <c r="K212" s="304">
        <v>80</v>
      </c>
      <c r="L212" s="304">
        <v>7.0000000000000007E-2</v>
      </c>
      <c r="M212" s="304">
        <v>1.1000000000000001</v>
      </c>
      <c r="N212" s="338">
        <v>0.11666</v>
      </c>
      <c r="O212" s="349">
        <v>-22.648576532495117</v>
      </c>
      <c r="P212" s="358">
        <v>-9.2769565259944962</v>
      </c>
      <c r="Q212" s="361">
        <v>-20.826540518998424</v>
      </c>
    </row>
    <row r="213" spans="1:17" x14ac:dyDescent="0.2">
      <c r="A213" s="3">
        <v>210</v>
      </c>
      <c r="B213" s="304">
        <v>65</v>
      </c>
      <c r="C213" s="304">
        <v>-0.01</v>
      </c>
      <c r="D213" s="304">
        <v>2.5</v>
      </c>
      <c r="E213" s="304">
        <v>1.5</v>
      </c>
      <c r="F213" s="304">
        <v>0.75</v>
      </c>
      <c r="G213" s="304">
        <v>20</v>
      </c>
      <c r="H213" s="304">
        <v>0.5</v>
      </c>
      <c r="I213" s="304">
        <v>1</v>
      </c>
      <c r="J213" s="304">
        <v>0.3</v>
      </c>
      <c r="K213" s="304">
        <v>60</v>
      </c>
      <c r="L213" s="304">
        <v>0.11</v>
      </c>
      <c r="M213" s="304">
        <v>0.7</v>
      </c>
      <c r="N213" s="338">
        <v>0.05</v>
      </c>
      <c r="O213" s="349">
        <v>-20.938784977839116</v>
      </c>
      <c r="P213" s="358">
        <v>2.9899371018676382</v>
      </c>
      <c r="Q213" s="361">
        <v>-17.654346296549978</v>
      </c>
    </row>
    <row r="214" spans="1:17" x14ac:dyDescent="0.2">
      <c r="A214" s="3">
        <v>211</v>
      </c>
      <c r="B214" s="304">
        <v>65</v>
      </c>
      <c r="C214" s="304">
        <v>0.01</v>
      </c>
      <c r="D214" s="304">
        <v>3.5</v>
      </c>
      <c r="E214" s="304">
        <v>4.5</v>
      </c>
      <c r="F214" s="304">
        <v>0.75</v>
      </c>
      <c r="G214" s="304">
        <v>20</v>
      </c>
      <c r="H214" s="304">
        <v>0.75</v>
      </c>
      <c r="I214" s="304">
        <v>1.5</v>
      </c>
      <c r="J214" s="304">
        <v>0.3</v>
      </c>
      <c r="K214" s="304">
        <v>40</v>
      </c>
      <c r="L214" s="304">
        <v>0.11</v>
      </c>
      <c r="M214" s="304">
        <v>0.9</v>
      </c>
      <c r="N214" s="338">
        <v>0.05</v>
      </c>
      <c r="O214" s="349">
        <v>-55.208740003404529</v>
      </c>
      <c r="P214" s="358">
        <v>-29.902602421370734</v>
      </c>
      <c r="Q214" s="361">
        <v>-50.217271320942679</v>
      </c>
    </row>
    <row r="215" spans="1:17" x14ac:dyDescent="0.2">
      <c r="A215" s="3">
        <v>212</v>
      </c>
      <c r="B215" s="304">
        <v>85</v>
      </c>
      <c r="C215" s="304">
        <v>0.01</v>
      </c>
      <c r="D215" s="304">
        <v>1.5</v>
      </c>
      <c r="E215" s="304">
        <v>4.5</v>
      </c>
      <c r="F215" s="304">
        <v>0.75</v>
      </c>
      <c r="G215" s="304">
        <v>15</v>
      </c>
      <c r="H215" s="304">
        <v>0.25</v>
      </c>
      <c r="I215" s="304">
        <v>0.5</v>
      </c>
      <c r="J215" s="304">
        <v>0.3</v>
      </c>
      <c r="K215" s="304">
        <v>40</v>
      </c>
      <c r="L215" s="304">
        <v>0.15</v>
      </c>
      <c r="M215" s="304">
        <v>1.1000000000000001</v>
      </c>
      <c r="N215" s="338">
        <v>0.15</v>
      </c>
      <c r="O215" s="349">
        <v>-4.7122673390762078</v>
      </c>
      <c r="P215" s="358">
        <v>4.5346237560945228</v>
      </c>
      <c r="Q215" s="361">
        <v>1.0664726990160838</v>
      </c>
    </row>
    <row r="216" spans="1:17" x14ac:dyDescent="0.2">
      <c r="A216" s="3">
        <v>213</v>
      </c>
      <c r="B216" s="304">
        <v>85</v>
      </c>
      <c r="C216" s="304">
        <v>0</v>
      </c>
      <c r="D216" s="304">
        <v>3.5</v>
      </c>
      <c r="E216" s="304">
        <v>4.5</v>
      </c>
      <c r="F216" s="304">
        <v>2.25</v>
      </c>
      <c r="G216" s="304">
        <v>15</v>
      </c>
      <c r="H216" s="304">
        <v>0.25</v>
      </c>
      <c r="I216" s="304">
        <v>1</v>
      </c>
      <c r="J216" s="304">
        <v>0.9</v>
      </c>
      <c r="K216" s="304">
        <v>80</v>
      </c>
      <c r="L216" s="304">
        <v>0.11</v>
      </c>
      <c r="M216" s="304">
        <v>1.1000000000000001</v>
      </c>
      <c r="N216" s="338">
        <v>0.15</v>
      </c>
      <c r="O216" s="349">
        <v>-13.726821297723745</v>
      </c>
      <c r="P216" s="358">
        <v>-3.717447414853182</v>
      </c>
      <c r="Q216" s="361">
        <v>-9.8687754014658271</v>
      </c>
    </row>
    <row r="217" spans="1:17" x14ac:dyDescent="0.2">
      <c r="A217" s="3">
        <v>214</v>
      </c>
      <c r="B217" s="304">
        <v>75</v>
      </c>
      <c r="C217" s="304">
        <v>-0.01</v>
      </c>
      <c r="D217" s="304">
        <v>1.5</v>
      </c>
      <c r="E217" s="304">
        <v>4.5</v>
      </c>
      <c r="F217" s="304">
        <v>2.25</v>
      </c>
      <c r="G217" s="304">
        <v>15</v>
      </c>
      <c r="H217" s="304">
        <v>0.25</v>
      </c>
      <c r="I217" s="304">
        <v>1.5</v>
      </c>
      <c r="J217" s="304">
        <v>0.9</v>
      </c>
      <c r="K217" s="304">
        <v>40</v>
      </c>
      <c r="L217" s="304">
        <v>0.11</v>
      </c>
      <c r="M217" s="304">
        <v>1.3</v>
      </c>
      <c r="N217" s="338">
        <v>0.05</v>
      </c>
      <c r="O217" s="349">
        <v>-48.397177743433865</v>
      </c>
      <c r="P217" s="358">
        <v>-23.59613595404182</v>
      </c>
      <c r="Q217" s="361">
        <v>-41.698865891940905</v>
      </c>
    </row>
    <row r="218" spans="1:17" x14ac:dyDescent="0.2">
      <c r="A218" s="3">
        <v>215</v>
      </c>
      <c r="B218" s="304">
        <v>75</v>
      </c>
      <c r="C218" s="304">
        <v>-0.01</v>
      </c>
      <c r="D218" s="304">
        <v>3.5</v>
      </c>
      <c r="E218" s="304">
        <v>3.5</v>
      </c>
      <c r="F218" s="304">
        <v>2.25</v>
      </c>
      <c r="G218" s="304">
        <v>20</v>
      </c>
      <c r="H218" s="304">
        <v>0.75</v>
      </c>
      <c r="I218" s="304">
        <v>0.5</v>
      </c>
      <c r="J218" s="304">
        <v>0.3</v>
      </c>
      <c r="K218" s="304">
        <v>80</v>
      </c>
      <c r="L218" s="304">
        <v>0.15</v>
      </c>
      <c r="M218" s="304">
        <v>1.3</v>
      </c>
      <c r="N218" s="338">
        <v>0.05</v>
      </c>
      <c r="O218" s="349">
        <v>-31.216738764805239</v>
      </c>
      <c r="P218" s="358">
        <v>-6.9214078208869632</v>
      </c>
      <c r="Q218" s="361">
        <v>-21.104079317798618</v>
      </c>
    </row>
    <row r="219" spans="1:17" x14ac:dyDescent="0.2">
      <c r="A219" s="3">
        <v>216</v>
      </c>
      <c r="B219" s="304">
        <v>75</v>
      </c>
      <c r="C219" s="304">
        <v>-0.01</v>
      </c>
      <c r="D219" s="304">
        <v>1.5</v>
      </c>
      <c r="E219" s="304">
        <v>1.5</v>
      </c>
      <c r="F219" s="304">
        <v>0.75</v>
      </c>
      <c r="G219" s="304">
        <v>10</v>
      </c>
      <c r="H219" s="304">
        <v>0.25</v>
      </c>
      <c r="I219" s="304">
        <v>0.5</v>
      </c>
      <c r="J219" s="304">
        <v>0.3</v>
      </c>
      <c r="K219" s="304">
        <v>40</v>
      </c>
      <c r="L219" s="304">
        <v>7.0000000000000007E-2</v>
      </c>
      <c r="M219" s="304">
        <v>1.3</v>
      </c>
      <c r="N219" s="338">
        <v>0.05</v>
      </c>
      <c r="O219" s="349">
        <v>22.539765799763874</v>
      </c>
      <c r="P219" s="358">
        <v>41.965553123039612</v>
      </c>
      <c r="Q219" s="361">
        <v>25.133101771345448</v>
      </c>
    </row>
    <row r="220" spans="1:17" x14ac:dyDescent="0.2">
      <c r="A220" s="3">
        <v>217</v>
      </c>
      <c r="B220" s="304">
        <v>95</v>
      </c>
      <c r="C220" s="304">
        <v>0</v>
      </c>
      <c r="D220" s="304">
        <v>3.5</v>
      </c>
      <c r="E220" s="304">
        <v>1.5</v>
      </c>
      <c r="F220" s="304">
        <v>0.75</v>
      </c>
      <c r="G220" s="304">
        <v>10</v>
      </c>
      <c r="H220" s="304">
        <v>0.25</v>
      </c>
      <c r="I220" s="304">
        <v>0.5</v>
      </c>
      <c r="J220" s="304">
        <v>0.9</v>
      </c>
      <c r="K220" s="304">
        <v>80</v>
      </c>
      <c r="L220" s="304">
        <v>0.15</v>
      </c>
      <c r="M220" s="304">
        <v>1.3</v>
      </c>
      <c r="N220" s="338">
        <v>0.15</v>
      </c>
      <c r="O220" s="349">
        <v>22.973927242884056</v>
      </c>
      <c r="P220" s="358">
        <v>30.904108913004389</v>
      </c>
      <c r="Q220" s="361">
        <v>29.386946407667949</v>
      </c>
    </row>
    <row r="221" spans="1:17" x14ac:dyDescent="0.2">
      <c r="A221" s="3">
        <v>218</v>
      </c>
      <c r="B221" s="304">
        <v>65</v>
      </c>
      <c r="C221" s="304">
        <v>0</v>
      </c>
      <c r="D221" s="304">
        <v>1.5</v>
      </c>
      <c r="E221" s="304">
        <v>1.5</v>
      </c>
      <c r="F221" s="304">
        <v>2.25</v>
      </c>
      <c r="G221" s="304">
        <v>15</v>
      </c>
      <c r="H221" s="304">
        <v>0.5</v>
      </c>
      <c r="I221" s="304">
        <v>0.5</v>
      </c>
      <c r="J221" s="304">
        <v>0.6</v>
      </c>
      <c r="K221" s="304">
        <v>60</v>
      </c>
      <c r="L221" s="304">
        <v>7.0000000000000007E-2</v>
      </c>
      <c r="M221" s="304">
        <v>1.1000000000000001</v>
      </c>
      <c r="N221" s="338">
        <v>8.3330000000000001E-2</v>
      </c>
      <c r="O221" s="349">
        <v>-2.5303556561781884</v>
      </c>
      <c r="P221" s="358">
        <v>12.76599334424637</v>
      </c>
      <c r="Q221" s="361">
        <v>-0.76947890838812116</v>
      </c>
    </row>
    <row r="222" spans="1:17" x14ac:dyDescent="0.2">
      <c r="A222" s="3">
        <v>219</v>
      </c>
      <c r="B222" s="304">
        <v>85</v>
      </c>
      <c r="C222" s="304">
        <v>0.01</v>
      </c>
      <c r="D222" s="304">
        <v>3.5</v>
      </c>
      <c r="E222" s="304">
        <v>4.5</v>
      </c>
      <c r="F222" s="304">
        <v>0.75</v>
      </c>
      <c r="G222" s="304">
        <v>15</v>
      </c>
      <c r="H222" s="304">
        <v>0.75</v>
      </c>
      <c r="I222" s="304">
        <v>1.5</v>
      </c>
      <c r="J222" s="304">
        <v>0.9</v>
      </c>
      <c r="K222" s="304">
        <v>40</v>
      </c>
      <c r="L222" s="304">
        <v>7.0000000000000007E-2</v>
      </c>
      <c r="M222" s="304">
        <v>1.3</v>
      </c>
      <c r="N222" s="338">
        <v>0.11666</v>
      </c>
      <c r="O222" s="349">
        <v>-0.58817375079791578</v>
      </c>
      <c r="P222" s="358">
        <v>10.972982221842596</v>
      </c>
      <c r="Q222" s="361">
        <v>1.7644147435280109</v>
      </c>
    </row>
    <row r="223" spans="1:17" x14ac:dyDescent="0.2">
      <c r="A223" s="3">
        <v>220</v>
      </c>
      <c r="B223" s="304">
        <v>75</v>
      </c>
      <c r="C223" s="304">
        <v>-0.01</v>
      </c>
      <c r="D223" s="304">
        <v>3.5</v>
      </c>
      <c r="E223" s="304">
        <v>2.5</v>
      </c>
      <c r="F223" s="304">
        <v>2.25</v>
      </c>
      <c r="G223" s="304">
        <v>20</v>
      </c>
      <c r="H223" s="304">
        <v>0.25</v>
      </c>
      <c r="I223" s="304">
        <v>0.5</v>
      </c>
      <c r="J223" s="304">
        <v>0.6</v>
      </c>
      <c r="K223" s="304">
        <v>40</v>
      </c>
      <c r="L223" s="304">
        <v>0.11</v>
      </c>
      <c r="M223" s="304">
        <v>0.7</v>
      </c>
      <c r="N223" s="338">
        <v>0.15</v>
      </c>
      <c r="O223" s="349">
        <v>-16.077213561191044</v>
      </c>
      <c r="P223" s="358">
        <v>-5.5686145228625428</v>
      </c>
      <c r="Q223" s="361">
        <v>-13.829337186996698</v>
      </c>
    </row>
    <row r="224" spans="1:17" x14ac:dyDescent="0.2">
      <c r="A224" s="3">
        <v>221</v>
      </c>
      <c r="B224" s="304">
        <v>65</v>
      </c>
      <c r="C224" s="304">
        <v>0.01</v>
      </c>
      <c r="D224" s="304">
        <v>3.5</v>
      </c>
      <c r="E224" s="304">
        <v>2.5</v>
      </c>
      <c r="F224" s="304">
        <v>1.5</v>
      </c>
      <c r="G224" s="304">
        <v>20</v>
      </c>
      <c r="H224" s="304">
        <v>0.25</v>
      </c>
      <c r="I224" s="304">
        <v>1.5</v>
      </c>
      <c r="J224" s="304">
        <v>0.9</v>
      </c>
      <c r="K224" s="304">
        <v>60</v>
      </c>
      <c r="L224" s="304">
        <v>7.0000000000000007E-2</v>
      </c>
      <c r="M224" s="304">
        <v>1.1000000000000001</v>
      </c>
      <c r="N224" s="338">
        <v>0.15</v>
      </c>
      <c r="O224" s="349">
        <v>-8.4468973178448099</v>
      </c>
      <c r="P224" s="358">
        <v>1.2077432836940412</v>
      </c>
      <c r="Q224" s="361">
        <v>-7.0091164157437928</v>
      </c>
    </row>
    <row r="225" spans="1:17" x14ac:dyDescent="0.2">
      <c r="A225" s="3">
        <v>222</v>
      </c>
      <c r="B225" s="304">
        <v>65</v>
      </c>
      <c r="C225" s="304">
        <v>0</v>
      </c>
      <c r="D225" s="304">
        <v>3.5</v>
      </c>
      <c r="E225" s="304">
        <v>4.5</v>
      </c>
      <c r="F225" s="304">
        <v>2.25</v>
      </c>
      <c r="G225" s="304">
        <v>15</v>
      </c>
      <c r="H225" s="304">
        <v>0.75</v>
      </c>
      <c r="I225" s="304">
        <v>1.5</v>
      </c>
      <c r="J225" s="304">
        <v>0.3</v>
      </c>
      <c r="K225" s="304">
        <v>60</v>
      </c>
      <c r="L225" s="304">
        <v>7.0000000000000007E-2</v>
      </c>
      <c r="M225" s="304">
        <v>1.3</v>
      </c>
      <c r="N225" s="338">
        <v>0.15</v>
      </c>
      <c r="O225" s="349">
        <v>-16.002018356831488</v>
      </c>
      <c r="P225" s="358">
        <v>-5.8005575814902866</v>
      </c>
      <c r="Q225" s="361">
        <v>-14.310066619887962</v>
      </c>
    </row>
    <row r="226" spans="1:17" x14ac:dyDescent="0.2">
      <c r="A226" s="3">
        <v>223</v>
      </c>
      <c r="B226" s="304">
        <v>65</v>
      </c>
      <c r="C226" s="304">
        <v>0.01</v>
      </c>
      <c r="D226" s="304">
        <v>3.5</v>
      </c>
      <c r="E226" s="304">
        <v>2.5</v>
      </c>
      <c r="F226" s="304">
        <v>1.5</v>
      </c>
      <c r="G226" s="304">
        <v>10</v>
      </c>
      <c r="H226" s="304">
        <v>0.75</v>
      </c>
      <c r="I226" s="304">
        <v>1</v>
      </c>
      <c r="J226" s="304">
        <v>0.3</v>
      </c>
      <c r="K226" s="304">
        <v>80</v>
      </c>
      <c r="L226" s="304">
        <v>0.15</v>
      </c>
      <c r="M226" s="304">
        <v>0.9</v>
      </c>
      <c r="N226" s="338">
        <v>0.11666</v>
      </c>
      <c r="O226" s="349">
        <v>-10.239941355107245</v>
      </c>
      <c r="P226" s="358">
        <v>2.1607897458659084</v>
      </c>
      <c r="Q226" s="361">
        <v>-5.6226865504388082</v>
      </c>
    </row>
    <row r="227" spans="1:17" x14ac:dyDescent="0.2">
      <c r="A227" s="3">
        <v>224</v>
      </c>
      <c r="B227" s="304">
        <v>85</v>
      </c>
      <c r="C227" s="304">
        <v>-0.01</v>
      </c>
      <c r="D227" s="304">
        <v>3.5</v>
      </c>
      <c r="E227" s="304">
        <v>4.5</v>
      </c>
      <c r="F227" s="304">
        <v>0.75</v>
      </c>
      <c r="G227" s="304">
        <v>10</v>
      </c>
      <c r="H227" s="304">
        <v>0.75</v>
      </c>
      <c r="I227" s="304">
        <v>1.5</v>
      </c>
      <c r="J227" s="304">
        <v>0.3</v>
      </c>
      <c r="K227" s="304">
        <v>80</v>
      </c>
      <c r="L227" s="304">
        <v>0.15</v>
      </c>
      <c r="M227" s="304">
        <v>0.9</v>
      </c>
      <c r="N227" s="338">
        <v>0.05</v>
      </c>
      <c r="O227" s="349">
        <v>-43.569552598768659</v>
      </c>
      <c r="P227" s="358">
        <v>-18.642151937851537</v>
      </c>
      <c r="Q227" s="361">
        <v>-35.348876976971752</v>
      </c>
    </row>
    <row r="228" spans="1:17" x14ac:dyDescent="0.2">
      <c r="A228" s="3">
        <v>225</v>
      </c>
      <c r="B228" s="304">
        <v>85</v>
      </c>
      <c r="C228" s="304">
        <v>0.01</v>
      </c>
      <c r="D228" s="304">
        <v>1.5</v>
      </c>
      <c r="E228" s="304">
        <v>4.5</v>
      </c>
      <c r="F228" s="304">
        <v>1.5</v>
      </c>
      <c r="G228" s="304">
        <v>20</v>
      </c>
      <c r="H228" s="304">
        <v>0.75</v>
      </c>
      <c r="I228" s="304">
        <v>1.5</v>
      </c>
      <c r="J228" s="304">
        <v>0.3</v>
      </c>
      <c r="K228" s="304">
        <v>60</v>
      </c>
      <c r="L228" s="304">
        <v>7.0000000000000007E-2</v>
      </c>
      <c r="M228" s="304">
        <v>0.7</v>
      </c>
      <c r="N228" s="338">
        <v>0.05</v>
      </c>
      <c r="O228" s="349">
        <v>-54.410379775620015</v>
      </c>
      <c r="P228" s="358">
        <v>-29.104242193586206</v>
      </c>
      <c r="Q228" s="361">
        <v>-52.044953656900994</v>
      </c>
    </row>
    <row r="229" spans="1:17" x14ac:dyDescent="0.2">
      <c r="A229" s="3">
        <v>226</v>
      </c>
      <c r="B229" s="304">
        <v>95</v>
      </c>
      <c r="C229" s="304">
        <v>-0.01</v>
      </c>
      <c r="D229" s="304">
        <v>1.5</v>
      </c>
      <c r="E229" s="304">
        <v>1.5</v>
      </c>
      <c r="F229" s="304">
        <v>2.25</v>
      </c>
      <c r="G229" s="304">
        <v>10</v>
      </c>
      <c r="H229" s="304">
        <v>0.25</v>
      </c>
      <c r="I229" s="304">
        <v>0.5</v>
      </c>
      <c r="J229" s="304">
        <v>0.9</v>
      </c>
      <c r="K229" s="304">
        <v>80</v>
      </c>
      <c r="L229" s="304">
        <v>7.0000000000000007E-2</v>
      </c>
      <c r="M229" s="304">
        <v>0.7</v>
      </c>
      <c r="N229" s="338">
        <v>0.05</v>
      </c>
      <c r="O229" s="349">
        <v>-10.809471345245875</v>
      </c>
      <c r="P229" s="358">
        <v>11.773195816272718</v>
      </c>
      <c r="Q229" s="361">
        <v>-8.8417297620043609</v>
      </c>
    </row>
    <row r="230" spans="1:17" x14ac:dyDescent="0.2">
      <c r="A230" s="3">
        <v>227</v>
      </c>
      <c r="B230" s="304">
        <v>65</v>
      </c>
      <c r="C230" s="304">
        <v>0.01</v>
      </c>
      <c r="D230" s="304">
        <v>3.5</v>
      </c>
      <c r="E230" s="304">
        <v>1.5</v>
      </c>
      <c r="F230" s="304">
        <v>0.75</v>
      </c>
      <c r="G230" s="304">
        <v>10</v>
      </c>
      <c r="H230" s="304">
        <v>0.25</v>
      </c>
      <c r="I230" s="304">
        <v>0.5</v>
      </c>
      <c r="J230" s="304">
        <v>0.9</v>
      </c>
      <c r="K230" s="304">
        <v>80</v>
      </c>
      <c r="L230" s="304">
        <v>7.0000000000000007E-2</v>
      </c>
      <c r="M230" s="304">
        <v>0.7</v>
      </c>
      <c r="N230" s="338">
        <v>0.15</v>
      </c>
      <c r="O230" s="349">
        <v>-2.8541535725533094</v>
      </c>
      <c r="P230" s="358">
        <v>6.0338814172187565</v>
      </c>
      <c r="Q230" s="361">
        <v>-1.9805124314173459</v>
      </c>
    </row>
    <row r="231" spans="1:17" x14ac:dyDescent="0.2">
      <c r="A231" s="3">
        <v>228</v>
      </c>
      <c r="B231" s="304">
        <v>85</v>
      </c>
      <c r="C231" s="304">
        <v>-0.01</v>
      </c>
      <c r="D231" s="304">
        <v>3.5</v>
      </c>
      <c r="E231" s="304">
        <v>1.5</v>
      </c>
      <c r="F231" s="304">
        <v>0.75</v>
      </c>
      <c r="G231" s="304">
        <v>15</v>
      </c>
      <c r="H231" s="304">
        <v>0.5</v>
      </c>
      <c r="I231" s="304">
        <v>1</v>
      </c>
      <c r="J231" s="304">
        <v>0.9</v>
      </c>
      <c r="K231" s="304">
        <v>40</v>
      </c>
      <c r="L231" s="304">
        <v>7.0000000000000007E-2</v>
      </c>
      <c r="M231" s="304">
        <v>0.7</v>
      </c>
      <c r="N231" s="338">
        <v>0.05</v>
      </c>
      <c r="O231" s="349">
        <v>-11.072418387231204</v>
      </c>
      <c r="P231" s="358">
        <v>11.411504925326682</v>
      </c>
      <c r="Q231" s="361">
        <v>-9.2653917563551378</v>
      </c>
    </row>
    <row r="232" spans="1:17" x14ac:dyDescent="0.2">
      <c r="A232" s="3">
        <v>229</v>
      </c>
      <c r="B232" s="304">
        <v>85</v>
      </c>
      <c r="C232" s="304">
        <v>0.01</v>
      </c>
      <c r="D232" s="304">
        <v>2.5</v>
      </c>
      <c r="E232" s="304">
        <v>2.5</v>
      </c>
      <c r="F232" s="304">
        <v>1.5</v>
      </c>
      <c r="G232" s="304">
        <v>20</v>
      </c>
      <c r="H232" s="304">
        <v>0.5</v>
      </c>
      <c r="I232" s="304">
        <v>0.5</v>
      </c>
      <c r="J232" s="304">
        <v>0.9</v>
      </c>
      <c r="K232" s="304">
        <v>80</v>
      </c>
      <c r="L232" s="304">
        <v>0.15</v>
      </c>
      <c r="M232" s="304">
        <v>1.1000000000000001</v>
      </c>
      <c r="N232" s="338">
        <v>0.15</v>
      </c>
      <c r="O232" s="349">
        <v>0.62002013984191662</v>
      </c>
      <c r="P232" s="358">
        <v>9.2904111903661413</v>
      </c>
      <c r="Q232" s="361">
        <v>6.0293685473809564</v>
      </c>
    </row>
    <row r="233" spans="1:17" ht="15" thickBot="1" x14ac:dyDescent="0.25">
      <c r="A233" s="3">
        <v>230</v>
      </c>
      <c r="B233" s="304">
        <v>95</v>
      </c>
      <c r="C233" s="304">
        <v>0.01</v>
      </c>
      <c r="D233" s="304">
        <v>3.5</v>
      </c>
      <c r="E233" s="304">
        <v>4.5</v>
      </c>
      <c r="F233" s="304">
        <v>1.5</v>
      </c>
      <c r="G233" s="304">
        <v>10</v>
      </c>
      <c r="H233" s="304">
        <v>0.25</v>
      </c>
      <c r="I233" s="304">
        <v>1.5</v>
      </c>
      <c r="J233" s="304">
        <v>0.9</v>
      </c>
      <c r="K233" s="304">
        <v>60</v>
      </c>
      <c r="L233" s="304">
        <v>0.15</v>
      </c>
      <c r="M233" s="304">
        <v>1.3</v>
      </c>
      <c r="N233" s="338">
        <v>0.05</v>
      </c>
      <c r="O233" s="350">
        <v>-7.9975302903853951</v>
      </c>
      <c r="P233" s="360">
        <v>14.413619092819715</v>
      </c>
      <c r="Q233" s="362">
        <v>5.3645014852641086</v>
      </c>
    </row>
  </sheetData>
  <mergeCells count="7">
    <mergeCell ref="P1:P2"/>
    <mergeCell ref="Q1:Q2"/>
    <mergeCell ref="A1:A3"/>
    <mergeCell ref="E1:F1"/>
    <mergeCell ref="G1:J1"/>
    <mergeCell ref="B1:D1"/>
    <mergeCell ref="O1:O2"/>
  </mergeCells>
  <conditionalFormatting sqref="O3:P1048576 O1">
    <cfRule type="dataBar" priority="7">
      <dataBar>
        <cfvo type="min"/>
        <cfvo type="max"/>
        <color rgb="FF638EC6"/>
      </dataBar>
      <extLst>
        <ext xmlns:x14="http://schemas.microsoft.com/office/spreadsheetml/2009/9/main" uri="{B025F937-C7B1-47D3-B67F-A62EFF666E3E}">
          <x14:id>{48E0AD7E-7338-477A-BA91-7F9CEA0A720E}</x14:id>
        </ext>
      </extLst>
    </cfRule>
  </conditionalFormatting>
  <conditionalFormatting sqref="T4:T144">
    <cfRule type="dataBar" priority="18">
      <dataBar>
        <cfvo type="min"/>
        <cfvo type="max"/>
        <color rgb="FF638EC6"/>
      </dataBar>
      <extLst>
        <ext xmlns:x14="http://schemas.microsoft.com/office/spreadsheetml/2009/9/main" uri="{B025F937-C7B1-47D3-B67F-A62EFF666E3E}">
          <x14:id>{2D762525-FAEC-4E7E-911E-EC5D1EB83BC8}</x14:id>
        </ext>
      </extLst>
    </cfRule>
  </conditionalFormatting>
  <conditionalFormatting sqref="P1">
    <cfRule type="dataBar" priority="5">
      <dataBar>
        <cfvo type="min"/>
        <cfvo type="max"/>
        <color rgb="FF638EC6"/>
      </dataBar>
      <extLst>
        <ext xmlns:x14="http://schemas.microsoft.com/office/spreadsheetml/2009/9/main" uri="{B025F937-C7B1-47D3-B67F-A62EFF666E3E}">
          <x14:id>{EAAFFD6F-0F9B-4814-9E96-B30D9190B8F8}</x14:id>
        </ext>
      </extLst>
    </cfRule>
  </conditionalFormatting>
  <conditionalFormatting sqref="Q1">
    <cfRule type="dataBar" priority="4">
      <dataBar>
        <cfvo type="min"/>
        <cfvo type="max"/>
        <color rgb="FF638EC6"/>
      </dataBar>
      <extLst>
        <ext xmlns:x14="http://schemas.microsoft.com/office/spreadsheetml/2009/9/main" uri="{B025F937-C7B1-47D3-B67F-A62EFF666E3E}">
          <x14:id>{B7A3381C-DA4A-467B-B241-A6C29C19072A}</x14:id>
        </ext>
      </extLst>
    </cfRule>
  </conditionalFormatting>
  <conditionalFormatting sqref="Q4:Q233">
    <cfRule type="dataBar" priority="3">
      <dataBar>
        <cfvo type="min"/>
        <cfvo type="max"/>
        <color rgb="FFFFB628"/>
      </dataBar>
      <extLst>
        <ext xmlns:x14="http://schemas.microsoft.com/office/spreadsheetml/2009/9/main" uri="{B025F937-C7B1-47D3-B67F-A62EFF666E3E}">
          <x14:id>{B4B925ED-DEA4-4975-9BB6-84DD59BF5CA1}</x14:id>
        </ext>
      </extLst>
    </cfRule>
  </conditionalFormatting>
  <conditionalFormatting sqref="P4:P233">
    <cfRule type="dataBar" priority="1">
      <dataBar>
        <cfvo type="min"/>
        <cfvo type="max"/>
        <color rgb="FF63C384"/>
      </dataBar>
      <extLst>
        <ext xmlns:x14="http://schemas.microsoft.com/office/spreadsheetml/2009/9/main" uri="{B025F937-C7B1-47D3-B67F-A62EFF666E3E}">
          <x14:id>{C5366BBF-CDBB-4AB3-83D2-5D451A5E3388}</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1_Click">
                <anchor moveWithCells="1" sizeWithCells="1">
                  <from>
                    <xdr:col>17</xdr:col>
                    <xdr:colOff>219075</xdr:colOff>
                    <xdr:row>0</xdr:row>
                    <xdr:rowOff>57150</xdr:rowOff>
                  </from>
                  <to>
                    <xdr:col>19</xdr:col>
                    <xdr:colOff>152400</xdr:colOff>
                    <xdr:row>1</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48E0AD7E-7338-477A-BA91-7F9CEA0A720E}">
            <x14:dataBar minLength="0" maxLength="100" border="1" negativeBarBorderColorSameAsPositive="0">
              <x14:cfvo type="autoMin"/>
              <x14:cfvo type="autoMax"/>
              <x14:borderColor rgb="FF638EC6"/>
              <x14:negativeFillColor rgb="FFFF0000"/>
              <x14:negativeBorderColor rgb="FFFF0000"/>
              <x14:axisColor rgb="FF000000"/>
            </x14:dataBar>
          </x14:cfRule>
          <xm:sqref>O3:P1048576 O1</xm:sqref>
        </x14:conditionalFormatting>
        <x14:conditionalFormatting xmlns:xm="http://schemas.microsoft.com/office/excel/2006/main">
          <x14:cfRule type="dataBar" id="{2D762525-FAEC-4E7E-911E-EC5D1EB83BC8}">
            <x14:dataBar minLength="0" maxLength="100" border="1" negativeBarBorderColorSameAsPositive="0">
              <x14:cfvo type="autoMin"/>
              <x14:cfvo type="autoMax"/>
              <x14:borderColor rgb="FF638EC6"/>
              <x14:negativeFillColor rgb="FFFF0000"/>
              <x14:negativeBorderColor rgb="FFFF0000"/>
              <x14:axisColor rgb="FF000000"/>
            </x14:dataBar>
          </x14:cfRule>
          <xm:sqref>T4:T144</xm:sqref>
        </x14:conditionalFormatting>
        <x14:conditionalFormatting xmlns:xm="http://schemas.microsoft.com/office/excel/2006/main">
          <x14:cfRule type="dataBar" id="{EAAFFD6F-0F9B-4814-9E96-B30D9190B8F8}">
            <x14:dataBar minLength="0" maxLength="100" border="1" negativeBarBorderColorSameAsPositive="0">
              <x14:cfvo type="autoMin"/>
              <x14:cfvo type="autoMax"/>
              <x14:borderColor rgb="FF638EC6"/>
              <x14:negativeFillColor rgb="FFFF0000"/>
              <x14:negativeBorderColor rgb="FFFF0000"/>
              <x14:axisColor rgb="FF000000"/>
            </x14:dataBar>
          </x14:cfRule>
          <xm:sqref>P1</xm:sqref>
        </x14:conditionalFormatting>
        <x14:conditionalFormatting xmlns:xm="http://schemas.microsoft.com/office/excel/2006/main">
          <x14:cfRule type="dataBar" id="{B7A3381C-DA4A-467B-B241-A6C29C19072A}">
            <x14:dataBar minLength="0" maxLength="100" border="1" negativeBarBorderColorSameAsPositive="0">
              <x14:cfvo type="autoMin"/>
              <x14:cfvo type="autoMax"/>
              <x14:borderColor rgb="FF638EC6"/>
              <x14:negativeFillColor rgb="FFFF0000"/>
              <x14:negativeBorderColor rgb="FFFF0000"/>
              <x14:axisColor rgb="FF000000"/>
            </x14:dataBar>
          </x14:cfRule>
          <xm:sqref>Q1</xm:sqref>
        </x14:conditionalFormatting>
        <x14:conditionalFormatting xmlns:xm="http://schemas.microsoft.com/office/excel/2006/main">
          <x14:cfRule type="dataBar" id="{B4B925ED-DEA4-4975-9BB6-84DD59BF5CA1}">
            <x14:dataBar minLength="0" maxLength="100" border="1" negativeBarBorderColorSameAsPositive="0">
              <x14:cfvo type="autoMin"/>
              <x14:cfvo type="autoMax"/>
              <x14:borderColor rgb="FFFFB628"/>
              <x14:negativeFillColor rgb="FFFF0000"/>
              <x14:negativeBorderColor rgb="FFFF0000"/>
              <x14:axisColor rgb="FF000000"/>
            </x14:dataBar>
          </x14:cfRule>
          <xm:sqref>Q4:Q233</xm:sqref>
        </x14:conditionalFormatting>
        <x14:conditionalFormatting xmlns:xm="http://schemas.microsoft.com/office/excel/2006/main">
          <x14:cfRule type="dataBar" id="{C5366BBF-CDBB-4AB3-83D2-5D451A5E3388}">
            <x14:dataBar minLength="0" maxLength="100" border="1" negativeBarBorderColorSameAsPositive="0">
              <x14:cfvo type="autoMin"/>
              <x14:cfvo type="autoMax"/>
              <x14:borderColor rgb="FF63C384"/>
              <x14:negativeFillColor rgb="FFFF0000"/>
              <x14:negativeBorderColor rgb="FFFF0000"/>
              <x14:axisColor rgb="FF000000"/>
            </x14:dataBar>
          </x14:cfRule>
          <xm:sqref>P4:P233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4B91C1"/>
  </sheetPr>
  <dimension ref="A1:P10"/>
  <sheetViews>
    <sheetView zoomScale="90" zoomScaleNormal="90" workbookViewId="0">
      <selection activeCell="I30" sqref="I30"/>
    </sheetView>
  </sheetViews>
  <sheetFormatPr defaultRowHeight="12.75" x14ac:dyDescent="0.2"/>
  <cols>
    <col min="1" max="2" width="15.7109375" style="305" customWidth="1"/>
    <col min="3" max="4" width="15.7109375" style="137" customWidth="1"/>
    <col min="5" max="5" width="0.7109375" style="384" customWidth="1"/>
    <col min="6" max="6" width="0.5703125" style="384" customWidth="1"/>
    <col min="7" max="10" width="15.7109375" style="305" customWidth="1"/>
    <col min="11" max="11" width="1" style="383" customWidth="1"/>
    <col min="12" max="12" width="0.28515625" style="383" customWidth="1"/>
    <col min="13" max="16" width="15.7109375" style="305" customWidth="1"/>
  </cols>
  <sheetData>
    <row r="1" spans="1:16" ht="19.5" thickBot="1" x14ac:dyDescent="0.4">
      <c r="A1" s="515" t="s">
        <v>228</v>
      </c>
      <c r="B1" s="516"/>
      <c r="C1" s="516"/>
      <c r="D1" s="517"/>
      <c r="E1" s="381"/>
      <c r="F1" s="381"/>
      <c r="G1" s="515" t="s">
        <v>218</v>
      </c>
      <c r="H1" s="516"/>
      <c r="I1" s="516"/>
      <c r="J1" s="517"/>
      <c r="K1" s="381"/>
      <c r="L1" s="381"/>
      <c r="M1" s="518" t="s">
        <v>223</v>
      </c>
      <c r="N1" s="519"/>
      <c r="O1" s="519"/>
      <c r="P1" s="520"/>
    </row>
    <row r="2" spans="1:16" ht="12.75" customHeight="1" x14ac:dyDescent="0.2">
      <c r="A2" s="530" t="s">
        <v>213</v>
      </c>
      <c r="B2" s="530" t="s">
        <v>216</v>
      </c>
      <c r="C2" s="532" t="s">
        <v>215</v>
      </c>
      <c r="D2" s="532" t="s">
        <v>217</v>
      </c>
      <c r="E2" s="382"/>
      <c r="F2" s="382"/>
      <c r="G2" s="525" t="s">
        <v>213</v>
      </c>
      <c r="H2" s="525" t="s">
        <v>216</v>
      </c>
      <c r="I2" s="527" t="s">
        <v>214</v>
      </c>
      <c r="J2" s="527" t="s">
        <v>217</v>
      </c>
      <c r="K2" s="382"/>
      <c r="L2" s="382"/>
      <c r="M2" s="536" t="s">
        <v>213</v>
      </c>
      <c r="N2" s="538" t="s">
        <v>216</v>
      </c>
      <c r="O2" s="540" t="s">
        <v>214</v>
      </c>
      <c r="P2" s="542" t="s">
        <v>217</v>
      </c>
    </row>
    <row r="3" spans="1:16" ht="13.5" thickBot="1" x14ac:dyDescent="0.25">
      <c r="A3" s="531"/>
      <c r="B3" s="531"/>
      <c r="C3" s="533"/>
      <c r="D3" s="534"/>
      <c r="E3" s="382"/>
      <c r="F3" s="382"/>
      <c r="G3" s="535"/>
      <c r="H3" s="526"/>
      <c r="I3" s="529"/>
      <c r="J3" s="528"/>
      <c r="K3" s="382"/>
      <c r="L3" s="382"/>
      <c r="M3" s="537"/>
      <c r="N3" s="539"/>
      <c r="O3" s="541"/>
      <c r="P3" s="543"/>
    </row>
    <row r="4" spans="1:16" x14ac:dyDescent="0.2">
      <c r="A4" s="307">
        <f>MAX('Experimental Design'!$O$4:$O$233)</f>
        <v>39.177706230368855</v>
      </c>
      <c r="B4" s="307">
        <f>1000000*$A$4/(Cum_Oil+Cum_Gas/10)</f>
        <v>19.250334950686092</v>
      </c>
      <c r="C4" s="307">
        <f>MIN('Experimental Design'!$O$4:$O$233)</f>
        <v>-71.322216769604452</v>
      </c>
      <c r="D4" s="25">
        <f>1000000*$C$4/(Cum_Oil+Cum_Gas/10)</f>
        <v>-35.044842956529571</v>
      </c>
      <c r="E4" s="383"/>
      <c r="F4" s="383"/>
      <c r="G4" s="25">
        <f>MAX('Experimental Design'!$P$4:$P$233)</f>
        <v>58.213895521442026</v>
      </c>
      <c r="H4" s="307">
        <f>1000000*$G$4/(Cum_Oil+Cum_Gas/10)</f>
        <v>28.60394585079958</v>
      </c>
      <c r="I4" s="307">
        <f>MIN('Experimental Design'!$P$4:$P$233)</f>
        <v>-46.016079187570661</v>
      </c>
      <c r="J4" s="306">
        <f>1000000*$I$4/(Cum_Oil+Cum_Gas/10)</f>
        <v>-22.610433910277713</v>
      </c>
      <c r="M4" s="25">
        <f>MAX('Experimental Design'!$Q$4:$Q$233)</f>
        <v>42.632089645347961</v>
      </c>
      <c r="N4" s="25">
        <f>1000000*$M$4/(Cum_Oil+Cum_Gas/10)</f>
        <v>20.94767877667293</v>
      </c>
      <c r="O4" s="25">
        <f>MIN('Experimental Design'!$Q$4:$Q$233)</f>
        <v>-65.539220431498151</v>
      </c>
      <c r="P4" s="25">
        <f>1000000*$O$4/(Cum_Oil+Cum_Gas/10)</f>
        <v>-32.2033132387728</v>
      </c>
    </row>
    <row r="6" spans="1:16" ht="13.5" thickBot="1" x14ac:dyDescent="0.25"/>
    <row r="7" spans="1:16" ht="19.5" thickBot="1" x14ac:dyDescent="0.4">
      <c r="A7" s="515" t="s">
        <v>228</v>
      </c>
      <c r="B7" s="516"/>
      <c r="C7" s="516"/>
      <c r="D7" s="517"/>
      <c r="E7" s="381"/>
      <c r="F7" s="381"/>
      <c r="G7" s="515" t="s">
        <v>218</v>
      </c>
      <c r="H7" s="516"/>
      <c r="I7" s="516"/>
      <c r="J7" s="517"/>
      <c r="K7" s="381"/>
      <c r="L7" s="381"/>
      <c r="M7" s="518" t="s">
        <v>223</v>
      </c>
      <c r="N7" s="519"/>
      <c r="O7" s="519"/>
      <c r="P7" s="520"/>
    </row>
    <row r="8" spans="1:16" ht="12.75" customHeight="1" x14ac:dyDescent="0.2">
      <c r="A8" s="521" t="s">
        <v>224</v>
      </c>
      <c r="B8" s="521" t="s">
        <v>225</v>
      </c>
      <c r="C8" s="523" t="s">
        <v>226</v>
      </c>
      <c r="D8" s="523" t="s">
        <v>227</v>
      </c>
      <c r="E8" s="385"/>
      <c r="F8" s="385"/>
      <c r="G8" s="521" t="s">
        <v>224</v>
      </c>
      <c r="H8" s="521" t="s">
        <v>225</v>
      </c>
      <c r="I8" s="523" t="s">
        <v>226</v>
      </c>
      <c r="J8" s="523" t="s">
        <v>227</v>
      </c>
      <c r="K8" s="385"/>
      <c r="L8" s="385"/>
      <c r="M8" s="521" t="s">
        <v>224</v>
      </c>
      <c r="N8" s="521" t="s">
        <v>225</v>
      </c>
      <c r="O8" s="523" t="s">
        <v>226</v>
      </c>
      <c r="P8" s="523" t="s">
        <v>227</v>
      </c>
    </row>
    <row r="9" spans="1:16" ht="13.5" thickBot="1" x14ac:dyDescent="0.25">
      <c r="A9" s="522"/>
      <c r="B9" s="522"/>
      <c r="C9" s="524"/>
      <c r="D9" s="524"/>
      <c r="E9" s="385"/>
      <c r="F9" s="385"/>
      <c r="G9" s="522"/>
      <c r="H9" s="522"/>
      <c r="I9" s="524"/>
      <c r="J9" s="524"/>
      <c r="K9" s="385"/>
      <c r="L9" s="385"/>
      <c r="M9" s="522"/>
      <c r="N9" s="522"/>
      <c r="O9" s="524"/>
      <c r="P9" s="524"/>
    </row>
    <row r="10" spans="1:16" x14ac:dyDescent="0.2">
      <c r="A10" s="25">
        <f>A4</f>
        <v>39.177706230368855</v>
      </c>
      <c r="B10" s="25">
        <f t="shared" ref="B10:P10" si="0">B4</f>
        <v>19.250334950686092</v>
      </c>
      <c r="C10" s="25">
        <f t="shared" si="0"/>
        <v>-71.322216769604452</v>
      </c>
      <c r="D10" s="306">
        <f t="shared" si="0"/>
        <v>-35.044842956529571</v>
      </c>
      <c r="E10" s="383"/>
      <c r="F10" s="383"/>
      <c r="G10" s="306">
        <f t="shared" si="0"/>
        <v>58.213895521442026</v>
      </c>
      <c r="H10" s="25">
        <f t="shared" si="0"/>
        <v>28.60394585079958</v>
      </c>
      <c r="I10" s="25">
        <f t="shared" si="0"/>
        <v>-46.016079187570661</v>
      </c>
      <c r="J10" s="306">
        <f t="shared" si="0"/>
        <v>-22.610433910277713</v>
      </c>
      <c r="M10" s="25">
        <f t="shared" si="0"/>
        <v>42.632089645347961</v>
      </c>
      <c r="N10" s="25">
        <f t="shared" si="0"/>
        <v>20.94767877667293</v>
      </c>
      <c r="O10" s="25">
        <f t="shared" si="0"/>
        <v>-65.539220431498151</v>
      </c>
      <c r="P10" s="25">
        <f t="shared" si="0"/>
        <v>-32.2033132387728</v>
      </c>
    </row>
  </sheetData>
  <mergeCells count="30">
    <mergeCell ref="M1:P1"/>
    <mergeCell ref="M2:M3"/>
    <mergeCell ref="N2:N3"/>
    <mergeCell ref="O2:O3"/>
    <mergeCell ref="P2:P3"/>
    <mergeCell ref="H2:H3"/>
    <mergeCell ref="J2:J3"/>
    <mergeCell ref="A1:D1"/>
    <mergeCell ref="G1:J1"/>
    <mergeCell ref="I2:I3"/>
    <mergeCell ref="A2:A3"/>
    <mergeCell ref="C2:C3"/>
    <mergeCell ref="B2:B3"/>
    <mergeCell ref="D2:D3"/>
    <mergeCell ref="G2:G3"/>
    <mergeCell ref="A7:D7"/>
    <mergeCell ref="G7:J7"/>
    <mergeCell ref="M7:P7"/>
    <mergeCell ref="A8:A9"/>
    <mergeCell ref="B8:B9"/>
    <mergeCell ref="C8:C9"/>
    <mergeCell ref="D8:D9"/>
    <mergeCell ref="G8:G9"/>
    <mergeCell ref="H8:H9"/>
    <mergeCell ref="I8:I9"/>
    <mergeCell ref="J8:J9"/>
    <mergeCell ref="M8:M9"/>
    <mergeCell ref="N8:N9"/>
    <mergeCell ref="O8:O9"/>
    <mergeCell ref="P8:P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22</vt:i4>
      </vt:variant>
    </vt:vector>
  </HeadingPairs>
  <TitlesOfParts>
    <vt:vector size="29" baseType="lpstr">
      <vt:lpstr>General Info</vt:lpstr>
      <vt:lpstr>IN_DATA</vt:lpstr>
      <vt:lpstr>Economics Summary</vt:lpstr>
      <vt:lpstr>OpCost</vt:lpstr>
      <vt:lpstr>Reference-Crown Royalties</vt:lpstr>
      <vt:lpstr>Experimental Design</vt:lpstr>
      <vt:lpstr>Results Summary</vt:lpstr>
      <vt:lpstr>CO2_Incentive</vt:lpstr>
      <vt:lpstr>CO2_PercenatgeStorage</vt:lpstr>
      <vt:lpstr>CO2_Royalty_Factor</vt:lpstr>
      <vt:lpstr>CO2_StoredMass</vt:lpstr>
      <vt:lpstr>CO2_StoredVol</vt:lpstr>
      <vt:lpstr>Cum_Gas</vt:lpstr>
      <vt:lpstr>Cum_Oil</vt:lpstr>
      <vt:lpstr>FPF</vt:lpstr>
      <vt:lpstr>Frc_Dir</vt:lpstr>
      <vt:lpstr>Frc_HFL</vt:lpstr>
      <vt:lpstr>FrcStage_Cost</vt:lpstr>
      <vt:lpstr>max_gas_price</vt:lpstr>
      <vt:lpstr>max_NGL_price</vt:lpstr>
      <vt:lpstr>max_oil_price</vt:lpstr>
      <vt:lpstr>min_gas_price</vt:lpstr>
      <vt:lpstr>min_NGL_price</vt:lpstr>
      <vt:lpstr>min_oil_price</vt:lpstr>
      <vt:lpstr>N_Frc</vt:lpstr>
      <vt:lpstr>N_Well</vt:lpstr>
      <vt:lpstr>NPV_DiscountRate</vt:lpstr>
      <vt:lpstr>OCF</vt:lpstr>
      <vt:lpstr>Tax_Rate</vt:lpstr>
    </vt:vector>
  </TitlesOfParts>
  <Company>Penn West Energy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Seto</dc:creator>
  <cp:lastModifiedBy>Sara</cp:lastModifiedBy>
  <dcterms:created xsi:type="dcterms:W3CDTF">2011-04-01T14:03:43Z</dcterms:created>
  <dcterms:modified xsi:type="dcterms:W3CDTF">2019-06-06T21:01:46Z</dcterms:modified>
</cp:coreProperties>
</file>